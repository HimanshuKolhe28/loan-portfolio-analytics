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Guide" sheetId="1" state="visible" r:id="rId1"/>
    <sheet name="Dashboard" sheetId="2" state="visible" r:id="rId2"/>
    <sheet name="Loans" sheetId="3" state="visible" r:id="rId3"/>
    <sheet name="Vintage" sheetId="4" state="visible" r:id="rId4"/>
    <sheet name="EMI Calculator" sheetId="5" state="visible" r:id="rId5"/>
    <sheet name="Assumptions" sheetId="6" state="visible" r:id="rId6"/>
    <sheet name="Branches" sheetId="7" state="visible" r:id="rId7"/>
  </sheets>
  <definedNames>
    <definedName name="AsOfDate">Assumptions!$C$4</definedName>
    <definedName name="DPD_From">Assumptions!$B$8:$B$14</definedName>
    <definedName name="DPD_Bucket">Assumptions!$C$8:$C$14</definedName>
    <definedName name="DPD_Class">Assumptions!$D$8:$D$14</definedName>
    <definedName name="DPD_NPA">Assumptions!$E$8:$E$14</definedName>
    <definedName name="DPD_Prov">Assumptions!$F$8:$F$14</definedName>
    <definedName name="CIBIL_From">Assumptions!$H$8:$H$11</definedName>
    <definedName name="CIBIL_Grade">Assumptions!$I$8:$I$11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-mmm-yyyy"/>
    <numFmt numFmtId="166" formatCode="0.00%;(0.00%);&quot;-&quot;"/>
    <numFmt numFmtId="167" formatCode="dd-mmm-yy"/>
    <numFmt numFmtId="168" formatCode="₹#,##0;(₹#,##0);&quot;-&quot;"/>
    <numFmt numFmtId="169" formatCode="0.0%"/>
    <numFmt numFmtId="170" formatCode="#,##0;(#,##0);&quot;-&quot;"/>
    <numFmt numFmtId="171" formatCode="₹#,##0.00&quot; Cr&quot;;(₹#,##0.00&quot; Cr&quot;);&quot;-&quot;"/>
    <numFmt numFmtId="172" formatCode="₹#,##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1F3864"/>
      <sz val="12"/>
    </font>
    <font>
      <name val="Arial"/>
      <b val="1"/>
      <color rgb="000000FF"/>
    </font>
    <font>
      <name val="Arial"/>
      <b val="1"/>
      <color rgb="00595959"/>
      <sz val="9"/>
    </font>
    <font>
      <name val="Arial"/>
      <b val="1"/>
      <color rgb="001F3864"/>
      <sz val="16"/>
    </font>
    <font>
      <name val="Arial"/>
      <b val="1"/>
      <color rgb="001F3864"/>
      <sz val="13"/>
    </font>
    <font>
      <name val="Arial"/>
      <i val="1"/>
      <color rgb="00008000"/>
      <sz val="9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70" fontId="11" fillId="4" borderId="1" applyAlignment="1" pivotButton="0" quotePrefix="0" xfId="0">
      <alignment horizontal="center" vertical="center" wrapText="1"/>
    </xf>
    <xf numFmtId="171" fontId="11" fillId="4" borderId="1" applyAlignment="1" pivotButton="0" quotePrefix="0" xfId="0">
      <alignment horizontal="center" vertical="center" wrapText="1"/>
    </xf>
    <xf numFmtId="166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1" fontId="12" fillId="5" borderId="1" applyAlignment="1" pivotButton="0" quotePrefix="0" xfId="0">
      <alignment horizontal="center" vertical="center" wrapText="1"/>
    </xf>
    <xf numFmtId="4" fontId="12" fillId="5" borderId="1" applyAlignment="1" pivotButton="0" quotePrefix="0" xfId="0">
      <alignment horizontal="center" vertical="center" wrapText="1"/>
    </xf>
    <xf numFmtId="170" fontId="12" fillId="5" borderId="1" applyAlignment="1" pivotButton="0" quotePrefix="0" xfId="0">
      <alignment horizontal="center" vertical="center" wrapText="1"/>
    </xf>
    <xf numFmtId="171" fontId="12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1" pivotButton="0" quotePrefix="0" xfId="0"/>
    <xf numFmtId="170" fontId="4" fillId="0" borderId="1" pivotButton="0" quotePrefix="0" xfId="0"/>
    <xf numFmtId="171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170" fontId="3" fillId="4" borderId="1" pivotButton="0" quotePrefix="0" xfId="0"/>
    <xf numFmtId="171" fontId="3" fillId="4" borderId="1" pivotButton="0" quotePrefix="0" xfId="0"/>
    <xf numFmtId="166" fontId="3" fillId="4" borderId="1" pivotButton="0" quotePrefix="0" xfId="0"/>
    <xf numFmtId="0" fontId="1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168" fontId="4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0" fontId="6" fillId="0" borderId="0" pivotButton="0" quotePrefix="0" xfId="0"/>
    <xf numFmtId="168" fontId="4" fillId="0" borderId="0" pivotButton="0" quotePrefix="0" xfId="0"/>
    <xf numFmtId="0" fontId="4" fillId="0" borderId="0" pivotButton="0" quotePrefix="0" xfId="0"/>
    <xf numFmtId="169" fontId="4" fillId="0" borderId="0" pivotButton="0" quotePrefix="0" xfId="0"/>
    <xf numFmtId="3" fontId="4" fillId="0" borderId="0" pivotButton="0" quotePrefix="0" xfId="0"/>
    <xf numFmtId="4" fontId="4" fillId="0" borderId="1" pivotButton="0" quotePrefix="0" xfId="0"/>
    <xf numFmtId="1" fontId="4" fillId="0" borderId="1" pivotButton="0" quotePrefix="0" xfId="0"/>
    <xf numFmtId="4" fontId="3" fillId="4" borderId="1" pivotButton="0" quotePrefix="0" xfId="0"/>
    <xf numFmtId="168" fontId="6" fillId="3" borderId="1" pivotButton="0" quotePrefix="0" xfId="0"/>
    <xf numFmtId="17" fontId="4" fillId="0" borderId="0" pivotButton="0" quotePrefix="0" xfId="0"/>
    <xf numFmtId="172" fontId="4" fillId="0" borderId="0" pivotButton="0" quotePrefix="0" xfId="0"/>
    <xf numFmtId="10" fontId="6" fillId="3" borderId="1" pivotButton="0" quotePrefix="0" xfId="0"/>
    <xf numFmtId="1" fontId="6" fillId="3" borderId="1" pivotButton="0" quotePrefix="0" xfId="0"/>
    <xf numFmtId="165" fontId="6" fillId="3" borderId="1" pivotButton="0" quotePrefix="0" xfId="0"/>
    <xf numFmtId="168" fontId="14" fillId="4" borderId="1" pivotButton="0" quotePrefix="0" xfId="0"/>
    <xf numFmtId="169" fontId="14" fillId="4" borderId="1" pivotButton="0" quotePrefix="0" xfId="0"/>
    <xf numFmtId="165" fontId="14" fillId="4" borderId="1" pivotButton="0" quotePrefix="0" xfId="0"/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6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Outstanding by DPD Bucket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'Dashboard'!D14</f>
            </strRef>
          </tx>
          <spPr>
            <a:ln>
              <a:prstDash val="solid"/>
            </a:ln>
          </spPr>
          <cat>
            <numRef>
              <f>'Dashboard'!$B$15:$B$21</f>
            </numRef>
          </cat>
          <val>
            <numRef>
              <f>'Dashboard'!$D$15:$D$21</f>
            </numRef>
          </val>
        </ser>
        <dLbls>
          <numFmt formatCode="0.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GNPA %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'Dashboard'!K14</f>
            </strRef>
          </tx>
          <spPr>
            <a:ln>
              <a:prstDash val="solid"/>
            </a:ln>
          </spPr>
          <cat>
            <numRef>
              <f>'Dashboard'!$H$15:$H$19</f>
            </numRef>
          </cat>
          <val>
            <numRef>
              <f>'Dashboard'!$K$15:$K$19</f>
            </numRef>
          </val>
        </ser>
        <dLbls>
          <numFmt formatCode="0.0%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AUM Mix by Region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'Dashboard'!I23</f>
            </strRef>
          </tx>
          <spPr>
            <a:ln>
              <a:prstDash val="solid"/>
            </a:ln>
          </spPr>
          <cat>
            <numRef>
              <f>'Dashboard'!$H$24:$H$27</f>
            </numRef>
          </cat>
          <val>
            <numRef>
              <f>'Dashboard'!$I$24:$I$27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Disbursals vs GNPA % by Vintage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'Vintage'!D5</f>
            </strRef>
          </tx>
          <spPr>
            <a:ln>
              <a:prstDash val="solid"/>
            </a:ln>
          </spPr>
          <cat>
            <numRef>
              <f>'Vintage'!$B$6:$B$17</f>
            </numRef>
          </cat>
          <val>
            <numRef>
              <f>'Vintage'!$D$6:$D$17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'Vintage'!G5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'Vintage'!$G$6:$G$17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₹ Cr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GNPA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Interest vs Principal per EMI</a:t>
            </a:r>
          </a:p>
        </rich>
      </tx>
    </title>
    <plotArea>
      <lineChart>
        <grouping val="standard"/>
        <ser>
          <idx val="0"/>
          <order val="0"/>
          <tx>
            <strRef>
              <f>'EMI Calculator'!I3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'EMI Calculator'!$E$4:$E$123</f>
            </numRef>
          </cat>
          <val>
            <numRef>
              <f>'EMI Calculator'!$I$4:$I$123</f>
            </numRef>
          </val>
        </ser>
        <ser>
          <idx val="1"/>
          <order val="1"/>
          <tx>
            <strRef>
              <f>'EMI Calculator'!J3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'EMI Calculator'!$E$4:$E$123</f>
            </numRef>
          </cat>
          <val>
            <numRef>
              <f>'EMI Calculator'!$J$4:$J$123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N1" authorId="0" shapeId="0">
      <text>
        <t>Assumes each 30 DPD = one missed EMI.</t>
      </text>
    </comment>
    <comment ref="X1" authorId="0" shapeId="0">
      <text>
        <t>1 when the loan matches the Dashboard Region/Product selection. Drives every Dashboard KPI.</t>
      </text>
    </comment>
    <comment ref="Y1" authorId="0" shapeId="0">
      <text>
        <t>Outstanding + ROW()/1e6 for filtered NPA loans — the tiny row offset breaks ties so LARGE/MATCH returns unique rows.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C4" authorId="0" shapeId="0">
      <text>
        <t>Example input — replace with any amount.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C4" authorId="0" shapeId="0">
      <text>
        <t>Portfolio snapshot date. All ageing, outstanding and vintage calculations are measured to this date.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39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oans" displayName="tblLoans" ref="A1:Y1001" headerRowCount="1">
  <autoFilter ref="A1:Y1001"/>
  <tableColumns count="25">
    <tableColumn id="1" name="Loan ID"/>
    <tableColumn id="2" name="Customer"/>
    <tableColumn id="3" name="Branch"/>
    <tableColumn id="4" name="Region"/>
    <tableColumn id="5" name="Product"/>
    <tableColumn id="6" name="Disbursal Date"/>
    <tableColumn id="7" name="Loan Amount (₹)"/>
    <tableColumn id="8" name="Rate (p.a.)"/>
    <tableColumn id="9" name="Tenure (m)"/>
    <tableColumn id="10" name="CIBIL"/>
    <tableColumn id="11" name="DPD"/>
    <tableColumn id="12" name="EMI (₹)"/>
    <tableColumn id="13" name="Months Elapsed"/>
    <tableColumn id="14" name="EMIs Paid"/>
    <tableColumn id="15" name="Outstanding (₹)"/>
    <tableColumn id="16" name="Overdue (₹)"/>
    <tableColumn id="17" name="DPD Bucket"/>
    <tableColumn id="18" name="Asset Class"/>
    <tableColumn id="19" name="NPA?"/>
    <tableColumn id="20" name="Provision %"/>
    <tableColumn id="21" name="Provision (₹)"/>
    <tableColumn id="22" name="Risk Grade"/>
    <tableColumn id="23" name="Vintage Qtr"/>
    <tableColumn id="24" name="In Filter"/>
    <tableColumn id="25" name="NPA Rank Key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Loan Portfolio Risk Analytics</t>
        </is>
      </c>
    </row>
    <row r="3">
      <c r="B3" s="2" t="inlineStr">
        <is>
          <t>Formula-driven credit-risk model for a synthetic retail &amp; SME loan book (India / BFSI)</t>
        </is>
      </c>
    </row>
    <row r="5" ht="30" customHeight="1">
      <c r="B5" s="3" t="inlineStr">
        <is>
          <t>SHEET</t>
        </is>
      </c>
      <c r="C5" s="3" t="inlineStr">
        <is>
          <t>WHAT IT DOES</t>
        </is>
      </c>
    </row>
    <row r="6">
      <c r="B6" s="4" t="inlineStr">
        <is>
          <t>Dashboard</t>
        </is>
      </c>
      <c r="C6" s="5" t="inlineStr">
        <is>
          <t>Interactive KPIs &amp; charts. Pick Region / Product in the yellow cells (C4, C5) — every figure, chart and the Top-10 table updates.</t>
        </is>
      </c>
    </row>
    <row r="7">
      <c r="B7" s="4" t="inlineStr">
        <is>
          <t>Loans</t>
        </is>
      </c>
      <c r="C7" s="5" t="inlineStr">
        <is>
          <t>Loan-level book. Blue columns are raw inputs; black columns are formulas (EMI, outstanding, DPD bucket, asset class, provision, risk grade).</t>
        </is>
      </c>
    </row>
    <row r="8">
      <c r="B8" s="4" t="inlineStr">
        <is>
          <t>Vintage</t>
        </is>
      </c>
      <c r="C8" s="5" t="inlineStr">
        <is>
          <t>Cohort analysis by disbursal quarter: count, disbursed, GNPA % — heat-mapped to spot bad vintages.</t>
        </is>
      </c>
    </row>
    <row r="9">
      <c r="B9" s="4" t="inlineStr">
        <is>
          <t>EMI Calculator</t>
        </is>
      </c>
      <c r="C9" s="5" t="inlineStr">
        <is>
          <t>Standalone EMI tool with full amortization schedule (PMT / IPMT / PPMT) and principal-vs-interest chart.</t>
        </is>
      </c>
    </row>
    <row r="10">
      <c r="B10" s="4" t="inlineStr">
        <is>
          <t>Assumptions</t>
        </is>
      </c>
      <c r="C10" s="5" t="inlineStr">
        <is>
          <t>As-of date, RBI-style asset-classification &amp; provisioning table, CIBIL risk-grade bands. Edit here to re-run the model.</t>
        </is>
      </c>
    </row>
    <row r="11">
      <c r="B11" s="4" t="inlineStr">
        <is>
          <t>Branches</t>
        </is>
      </c>
      <c r="C11" s="5" t="inlineStr">
        <is>
          <t>Branch master used to map each loan to City / Region via INDEX-MATCH.</t>
        </is>
      </c>
    </row>
    <row r="12">
      <c r="B12" s="4" t="inlineStr"/>
      <c r="C12" s="5" t="inlineStr"/>
    </row>
    <row r="13">
      <c r="B13" s="4" t="inlineStr">
        <is>
          <t>COLOUR KEY</t>
        </is>
      </c>
      <c r="C13" s="5" t="inlineStr"/>
    </row>
    <row r="14">
      <c r="B14" s="6" t="inlineStr">
        <is>
          <t>Blue text</t>
        </is>
      </c>
      <c r="C14" s="5" t="inlineStr">
        <is>
          <t>Hardcoded input — safe to edit.</t>
        </is>
      </c>
    </row>
    <row r="15">
      <c r="B15" s="7" t="inlineStr">
        <is>
          <t>Black text</t>
        </is>
      </c>
      <c r="C15" s="5" t="inlineStr">
        <is>
          <t>Formula — do not overwrite.</t>
        </is>
      </c>
    </row>
    <row r="16">
      <c r="B16" s="8" t="inlineStr">
        <is>
          <t>Green text</t>
        </is>
      </c>
      <c r="C16" s="5" t="inlineStr">
        <is>
          <t>Link pulled from another sheet.</t>
        </is>
      </c>
    </row>
    <row r="17">
      <c r="B17" s="9" t="inlineStr">
        <is>
          <t>Yellow fill</t>
        </is>
      </c>
      <c r="C17" s="5" t="inlineStr">
        <is>
          <t>Key assumption / user selection.</t>
        </is>
      </c>
    </row>
    <row r="18">
      <c r="B18" s="4" t="inlineStr"/>
      <c r="C18" s="5" t="inlineStr"/>
    </row>
    <row r="19" ht="45" customHeight="1">
      <c r="B19" s="4" t="inlineStr">
        <is>
          <t>TECHNIQUES USED</t>
        </is>
      </c>
      <c r="C19" s="5" t="inlineStr">
        <is>
          <t>SUMIFS / COUNTIFS / SUMPRODUCT, INDEX-MATCH (exact &amp; approximate), LARGE with tie-break keys, PMT / PV / IPMT / PPMT, EDATE, named ranges, data validation dropdowns, dynamic filter flag column, conditional formatting (data bars, colour scales, formula rules), Excel Tables, combo &amp; doughnut charts, frozen panes, cell comments documenting assumptions.</t>
        </is>
      </c>
    </row>
    <row r="20" ht="30" customHeight="1">
      <c r="B20" s="4" t="inlineStr">
        <is>
          <t>DISCLAIMER</t>
        </is>
      </c>
      <c r="C20" s="5" t="inlineStr">
        <is>
          <t>All data is synthetic (seeded random). Provisioning rates are simplified illustrations of RBI IRACP norms, not regulatory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6" customWidth="1" min="4" max="4"/>
    <col width="14" customWidth="1" min="5" max="5"/>
    <col width="14" customWidth="1" min="6" max="6"/>
    <col width="3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3" customWidth="1" min="13" max="13"/>
  </cols>
  <sheetData>
    <row r="2">
      <c r="B2" s="1" t="inlineStr">
        <is>
          <t>Loan Portfolio Risk Dashboard</t>
        </is>
      </c>
    </row>
    <row r="3">
      <c r="B3" s="2">
        <f>"Snapshot as of "&amp;TEXT(AsOfDate,"dd-mmm-yyyy")&amp;"  |  All amounts in ₹ Crore"</f>
        <v/>
      </c>
    </row>
    <row r="4">
      <c r="B4" s="10" t="inlineStr">
        <is>
          <t>Region</t>
        </is>
      </c>
      <c r="C4" s="11" t="inlineStr">
        <is>
          <t>All</t>
        </is>
      </c>
      <c r="D4" s="2" t="inlineStr">
        <is>
          <t>◀ select filters</t>
        </is>
      </c>
    </row>
    <row r="5">
      <c r="B5" s="10" t="inlineStr">
        <is>
          <t>Product</t>
        </is>
      </c>
      <c r="C5" s="11" t="inlineStr">
        <is>
          <t>All</t>
        </is>
      </c>
    </row>
    <row r="7" ht="26" customHeight="1">
      <c r="B7" s="12" t="inlineStr">
        <is>
          <t>ACTIVE LOANS</t>
        </is>
      </c>
      <c r="C7" s="12" t="inlineStr">
        <is>
          <t>DISBURSED</t>
        </is>
      </c>
      <c r="D7" s="12" t="inlineStr">
        <is>
          <t>OUTSTANDING (AUM)</t>
        </is>
      </c>
      <c r="E7" s="12" t="inlineStr">
        <is>
          <t>GROSS NPA</t>
        </is>
      </c>
      <c r="F7" s="12" t="inlineStr">
        <is>
          <t>GNPA %</t>
        </is>
      </c>
      <c r="H7" s="12" t="inlineStr">
        <is>
          <t>TOTAL PROVISION</t>
        </is>
      </c>
      <c r="I7" s="12" t="inlineStr">
        <is>
          <t>NET NPA</t>
        </is>
      </c>
      <c r="J7" s="12" t="inlineStr">
        <is>
          <t>NNPA %</t>
        </is>
      </c>
      <c r="K7" s="12" t="inlineStr">
        <is>
          <t>PROVISION COVERAGE</t>
        </is>
      </c>
      <c r="L7" s="12" t="inlineStr">
        <is>
          <t>SMA (EARLY STRESS)</t>
        </is>
      </c>
    </row>
    <row r="8" ht="34" customHeight="1">
      <c r="B8" s="13">
        <f>COUNTIFS(Loans!$X$2:$X$1001,1,Loans!$O$2:$O$1001,"&gt;0")</f>
        <v/>
      </c>
      <c r="C8" s="14">
        <f>SUMIFS(Loans!$G$2:$G$1001,Loans!$X$2:$X$1001,1)/10^7</f>
        <v/>
      </c>
      <c r="D8" s="14">
        <f>SUMIFS(Loans!$O$2:$O$1001,Loans!$X$2:$X$1001,1)/10^7</f>
        <v/>
      </c>
      <c r="E8" s="14">
        <f>SUMIFS(Loans!$O$2:$O$1001,Loans!$X$2:$X$1001,1,Loans!$S$2:$S$1001,"Yes")/10^7</f>
        <v/>
      </c>
      <c r="F8" s="15">
        <f>IFERROR(E8/D8,0)</f>
        <v/>
      </c>
      <c r="H8" s="14">
        <f>SUMIFS(Loans!$U$2:$U$1001,Loans!$X$2:$X$1001,1)/10^7</f>
        <v/>
      </c>
      <c r="I8" s="14">
        <f>E8-SUMIFS(Loans!$U$2:$U$1001,Loans!$X$2:$X$1001,1,Loans!$S$2:$S$1001,"Yes")/10^7</f>
        <v/>
      </c>
      <c r="J8" s="15">
        <f>IFERROR(I8/(D8-(E8-I8)),0)</f>
        <v/>
      </c>
      <c r="K8" s="15">
        <f>IFERROR((E8-I8)/E8,0)</f>
        <v/>
      </c>
      <c r="L8" s="14">
        <f>SUMIFS(Loans!$O$2:$O$1001,Loans!$X$2:$X$1001,1,Loans!$K$2:$K$1001,"&gt;0",Loans!$S$2:$S$1001,"No")/10^7</f>
        <v/>
      </c>
    </row>
    <row r="10" ht="26" customHeight="1">
      <c r="B10" s="16" t="inlineStr">
        <is>
          <t>WTD AVG RATE</t>
        </is>
      </c>
      <c r="C10" s="16" t="inlineStr">
        <is>
          <t>AVG CIBIL</t>
        </is>
      </c>
      <c r="D10" s="16" t="inlineStr">
        <is>
          <t>AVG TICKET (₹ Lakh)</t>
        </is>
      </c>
      <c r="E10" s="16" t="inlineStr">
        <is>
          <t>NPA ACCOUNTS</t>
        </is>
      </c>
      <c r="F10" s="16" t="inlineStr">
        <is>
          <t>OVERDUE AMT</t>
        </is>
      </c>
      <c r="H10" s="2" t="inlineStr">
        <is>
          <t>Traffic light: GNPA % &gt; 5% turns red, 3–5% amber, &lt; 3% green.</t>
        </is>
      </c>
    </row>
    <row r="11" ht="28" customHeight="1">
      <c r="B11" s="17">
        <f>IFERROR(SUMPRODUCT(Loans!$X$2:$X$1001,Loans!$O$2:$O$1001,Loans!$H$2:$H$1001)/SUMPRODUCT(Loans!$X$2:$X$1001,Loans!$O$2:$O$1001),0)</f>
        <v/>
      </c>
      <c r="C11" s="18">
        <f>IFERROR(AVERAGEIFS(Loans!$J$2:$J$1001,Loans!$X$2:$X$1001,1),0)</f>
        <v/>
      </c>
      <c r="D11" s="19">
        <f>IFERROR(SUMIFS(Loans!$G$2:$G$1001,Loans!$X$2:$X$1001,1)/COUNTIFS(Loans!$X$2:$X$1001,1)/10^5,0)</f>
        <v/>
      </c>
      <c r="E11" s="20">
        <f>COUNTIFS(Loans!$X$2:$X$1001,1,Loans!$S$2:$S$1001,"Yes")</f>
        <v/>
      </c>
      <c r="F11" s="21">
        <f>SUMIFS(Loans!$P$2:$P$1001,Loans!$X$2:$X$1001,1)/10^7</f>
        <v/>
      </c>
    </row>
    <row r="13">
      <c r="B13" s="22" t="inlineStr">
        <is>
          <t>Book by DPD Bucket</t>
        </is>
      </c>
      <c r="H13" s="22" t="inlineStr">
        <is>
          <t>Performance by Product</t>
        </is>
      </c>
    </row>
    <row r="14" ht="30" customHeight="1">
      <c r="B14" s="3" t="inlineStr">
        <is>
          <t>Bucket</t>
        </is>
      </c>
      <c r="C14" s="3" t="inlineStr">
        <is>
          <t>Accounts</t>
        </is>
      </c>
      <c r="D14" s="3" t="inlineStr">
        <is>
          <t>Outstanding</t>
        </is>
      </c>
      <c r="E14" s="3" t="inlineStr">
        <is>
          <t>% of Book</t>
        </is>
      </c>
      <c r="F14" s="3" t="inlineStr">
        <is>
          <t>Provision</t>
        </is>
      </c>
      <c r="H14" s="3" t="inlineStr">
        <is>
          <t>Product</t>
        </is>
      </c>
      <c r="I14" s="3" t="inlineStr">
        <is>
          <t>Outstanding</t>
        </is>
      </c>
      <c r="J14" s="3" t="inlineStr">
        <is>
          <t>GNPA</t>
        </is>
      </c>
      <c r="K14" s="3" t="inlineStr">
        <is>
          <t>GNPA %</t>
        </is>
      </c>
      <c r="L14" s="3" t="inlineStr">
        <is>
          <t>Wtd Rate</t>
        </is>
      </c>
    </row>
    <row r="15">
      <c r="B15" s="23">
        <f>INDEX(DPD_Bucket,1)</f>
        <v/>
      </c>
      <c r="C15" s="24">
        <f>COUNTIFS(Loans!$X$2:$X$1001,1,Loans!$Q$2:$Q$1001,B15,Loans!$O$2:$O$1001,"&gt;0")</f>
        <v/>
      </c>
      <c r="D15" s="25">
        <f>SUMIFS(Loans!$O$2:$O$1001,Loans!$X$2:$X$1001,1,Loans!$Q$2:$Q$1001,B15)/10^7</f>
        <v/>
      </c>
      <c r="E15" s="26">
        <f>IFERROR(D15/$D$8,0)</f>
        <v/>
      </c>
      <c r="F15" s="25">
        <f>SUMIFS(Loans!$U$2:$U$1001,Loans!$X$2:$X$1001,1,Loans!$Q$2:$Q$1001,B15)/10^7</f>
        <v/>
      </c>
      <c r="H15" s="27" t="inlineStr">
        <is>
          <t>Home Loan</t>
        </is>
      </c>
      <c r="I15" s="25">
        <f>SUMIFS(Loans!$O$2:$O$1001,Loans!$X$2:$X$1001,1,Loans!$E$2:$E$1001,H15)/10^7</f>
        <v/>
      </c>
      <c r="J15" s="25">
        <f>SUMIFS(Loans!$O$2:$O$1001,Loans!$X$2:$X$1001,1,Loans!$E$2:$E$1001,H15,Loans!$S$2:$S$1001,"Yes")/10^7</f>
        <v/>
      </c>
      <c r="K15" s="26">
        <f>IFERROR(J15/I15,0)</f>
        <v/>
      </c>
      <c r="L15" s="26">
        <f>IFERROR(SUMPRODUCT(Loans!$X$2:$X$1001,--(Loans!$E$2:$E$1001=H15),Loans!$O$2:$O$1001,Loans!$H$2:$H$1001)/SUMPRODUCT(Loans!$X$2:$X$1001,--(Loans!$E$2:$E$1001=H15),Loans!$O$2:$O$1001),0)</f>
        <v/>
      </c>
    </row>
    <row r="16">
      <c r="B16" s="23">
        <f>INDEX(DPD_Bucket,2)</f>
        <v/>
      </c>
      <c r="C16" s="24">
        <f>COUNTIFS(Loans!$X$2:$X$1001,1,Loans!$Q$2:$Q$1001,B16,Loans!$O$2:$O$1001,"&gt;0")</f>
        <v/>
      </c>
      <c r="D16" s="25">
        <f>SUMIFS(Loans!$O$2:$O$1001,Loans!$X$2:$X$1001,1,Loans!$Q$2:$Q$1001,B16)/10^7</f>
        <v/>
      </c>
      <c r="E16" s="26">
        <f>IFERROR(D16/$D$8,0)</f>
        <v/>
      </c>
      <c r="F16" s="25">
        <f>SUMIFS(Loans!$U$2:$U$1001,Loans!$X$2:$X$1001,1,Loans!$Q$2:$Q$1001,B16)/10^7</f>
        <v/>
      </c>
      <c r="H16" s="27" t="inlineStr">
        <is>
          <t>Auto Loan</t>
        </is>
      </c>
      <c r="I16" s="25">
        <f>SUMIFS(Loans!$O$2:$O$1001,Loans!$X$2:$X$1001,1,Loans!$E$2:$E$1001,H16)/10^7</f>
        <v/>
      </c>
      <c r="J16" s="25">
        <f>SUMIFS(Loans!$O$2:$O$1001,Loans!$X$2:$X$1001,1,Loans!$E$2:$E$1001,H16,Loans!$S$2:$S$1001,"Yes")/10^7</f>
        <v/>
      </c>
      <c r="K16" s="26">
        <f>IFERROR(J16/I16,0)</f>
        <v/>
      </c>
      <c r="L16" s="26">
        <f>IFERROR(SUMPRODUCT(Loans!$X$2:$X$1001,--(Loans!$E$2:$E$1001=H16),Loans!$O$2:$O$1001,Loans!$H$2:$H$1001)/SUMPRODUCT(Loans!$X$2:$X$1001,--(Loans!$E$2:$E$1001=H16),Loans!$O$2:$O$1001),0)</f>
        <v/>
      </c>
    </row>
    <row r="17">
      <c r="B17" s="23">
        <f>INDEX(DPD_Bucket,3)</f>
        <v/>
      </c>
      <c r="C17" s="24">
        <f>COUNTIFS(Loans!$X$2:$X$1001,1,Loans!$Q$2:$Q$1001,B17,Loans!$O$2:$O$1001,"&gt;0")</f>
        <v/>
      </c>
      <c r="D17" s="25">
        <f>SUMIFS(Loans!$O$2:$O$1001,Loans!$X$2:$X$1001,1,Loans!$Q$2:$Q$1001,B17)/10^7</f>
        <v/>
      </c>
      <c r="E17" s="26">
        <f>IFERROR(D17/$D$8,0)</f>
        <v/>
      </c>
      <c r="F17" s="25">
        <f>SUMIFS(Loans!$U$2:$U$1001,Loans!$X$2:$X$1001,1,Loans!$Q$2:$Q$1001,B17)/10^7</f>
        <v/>
      </c>
      <c r="H17" s="27" t="inlineStr">
        <is>
          <t>Personal Loan</t>
        </is>
      </c>
      <c r="I17" s="25">
        <f>SUMIFS(Loans!$O$2:$O$1001,Loans!$X$2:$X$1001,1,Loans!$E$2:$E$1001,H17)/10^7</f>
        <v/>
      </c>
      <c r="J17" s="25">
        <f>SUMIFS(Loans!$O$2:$O$1001,Loans!$X$2:$X$1001,1,Loans!$E$2:$E$1001,H17,Loans!$S$2:$S$1001,"Yes")/10^7</f>
        <v/>
      </c>
      <c r="K17" s="26">
        <f>IFERROR(J17/I17,0)</f>
        <v/>
      </c>
      <c r="L17" s="26">
        <f>IFERROR(SUMPRODUCT(Loans!$X$2:$X$1001,--(Loans!$E$2:$E$1001=H17),Loans!$O$2:$O$1001,Loans!$H$2:$H$1001)/SUMPRODUCT(Loans!$X$2:$X$1001,--(Loans!$E$2:$E$1001=H17),Loans!$O$2:$O$1001),0)</f>
        <v/>
      </c>
    </row>
    <row r="18">
      <c r="B18" s="23">
        <f>INDEX(DPD_Bucket,4)</f>
        <v/>
      </c>
      <c r="C18" s="24">
        <f>COUNTIFS(Loans!$X$2:$X$1001,1,Loans!$Q$2:$Q$1001,B18,Loans!$O$2:$O$1001,"&gt;0")</f>
        <v/>
      </c>
      <c r="D18" s="25">
        <f>SUMIFS(Loans!$O$2:$O$1001,Loans!$X$2:$X$1001,1,Loans!$Q$2:$Q$1001,B18)/10^7</f>
        <v/>
      </c>
      <c r="E18" s="26">
        <f>IFERROR(D18/$D$8,0)</f>
        <v/>
      </c>
      <c r="F18" s="25">
        <f>SUMIFS(Loans!$U$2:$U$1001,Loans!$X$2:$X$1001,1,Loans!$Q$2:$Q$1001,B18)/10^7</f>
        <v/>
      </c>
      <c r="H18" s="27" t="inlineStr">
        <is>
          <t>Business Loan</t>
        </is>
      </c>
      <c r="I18" s="25">
        <f>SUMIFS(Loans!$O$2:$O$1001,Loans!$X$2:$X$1001,1,Loans!$E$2:$E$1001,H18)/10^7</f>
        <v/>
      </c>
      <c r="J18" s="25">
        <f>SUMIFS(Loans!$O$2:$O$1001,Loans!$X$2:$X$1001,1,Loans!$E$2:$E$1001,H18,Loans!$S$2:$S$1001,"Yes")/10^7</f>
        <v/>
      </c>
      <c r="K18" s="26">
        <f>IFERROR(J18/I18,0)</f>
        <v/>
      </c>
      <c r="L18" s="26">
        <f>IFERROR(SUMPRODUCT(Loans!$X$2:$X$1001,--(Loans!$E$2:$E$1001=H18),Loans!$O$2:$O$1001,Loans!$H$2:$H$1001)/SUMPRODUCT(Loans!$X$2:$X$1001,--(Loans!$E$2:$E$1001=H18),Loans!$O$2:$O$1001),0)</f>
        <v/>
      </c>
    </row>
    <row r="19">
      <c r="B19" s="23">
        <f>INDEX(DPD_Bucket,5)</f>
        <v/>
      </c>
      <c r="C19" s="24">
        <f>COUNTIFS(Loans!$X$2:$X$1001,1,Loans!$Q$2:$Q$1001,B19,Loans!$O$2:$O$1001,"&gt;0")</f>
        <v/>
      </c>
      <c r="D19" s="25">
        <f>SUMIFS(Loans!$O$2:$O$1001,Loans!$X$2:$X$1001,1,Loans!$Q$2:$Q$1001,B19)/10^7</f>
        <v/>
      </c>
      <c r="E19" s="26">
        <f>IFERROR(D19/$D$8,0)</f>
        <v/>
      </c>
      <c r="F19" s="25">
        <f>SUMIFS(Loans!$U$2:$U$1001,Loans!$X$2:$X$1001,1,Loans!$Q$2:$Q$1001,B19)/10^7</f>
        <v/>
      </c>
      <c r="H19" s="27" t="inlineStr">
        <is>
          <t>Gold Loan</t>
        </is>
      </c>
      <c r="I19" s="25">
        <f>SUMIFS(Loans!$O$2:$O$1001,Loans!$X$2:$X$1001,1,Loans!$E$2:$E$1001,H19)/10^7</f>
        <v/>
      </c>
      <c r="J19" s="25">
        <f>SUMIFS(Loans!$O$2:$O$1001,Loans!$X$2:$X$1001,1,Loans!$E$2:$E$1001,H19,Loans!$S$2:$S$1001,"Yes")/10^7</f>
        <v/>
      </c>
      <c r="K19" s="26">
        <f>IFERROR(J19/I19,0)</f>
        <v/>
      </c>
      <c r="L19" s="26">
        <f>IFERROR(SUMPRODUCT(Loans!$X$2:$X$1001,--(Loans!$E$2:$E$1001=H19),Loans!$O$2:$O$1001,Loans!$H$2:$H$1001)/SUMPRODUCT(Loans!$X$2:$X$1001,--(Loans!$E$2:$E$1001=H19),Loans!$O$2:$O$1001),0)</f>
        <v/>
      </c>
    </row>
    <row r="20">
      <c r="B20" s="23">
        <f>INDEX(DPD_Bucket,6)</f>
        <v/>
      </c>
      <c r="C20" s="24">
        <f>COUNTIFS(Loans!$X$2:$X$1001,1,Loans!$Q$2:$Q$1001,B20,Loans!$O$2:$O$1001,"&gt;0")</f>
        <v/>
      </c>
      <c r="D20" s="25">
        <f>SUMIFS(Loans!$O$2:$O$1001,Loans!$X$2:$X$1001,1,Loans!$Q$2:$Q$1001,B20)/10^7</f>
        <v/>
      </c>
      <c r="E20" s="26">
        <f>IFERROR(D20/$D$8,0)</f>
        <v/>
      </c>
      <c r="F20" s="25">
        <f>SUMIFS(Loans!$U$2:$U$1001,Loans!$X$2:$X$1001,1,Loans!$Q$2:$Q$1001,B20)/10^7</f>
        <v/>
      </c>
    </row>
    <row r="21">
      <c r="B21" s="23">
        <f>INDEX(DPD_Bucket,7)</f>
        <v/>
      </c>
      <c r="C21" s="24">
        <f>COUNTIFS(Loans!$X$2:$X$1001,1,Loans!$Q$2:$Q$1001,B21,Loans!$O$2:$O$1001,"&gt;0")</f>
        <v/>
      </c>
      <c r="D21" s="25">
        <f>SUMIFS(Loans!$O$2:$O$1001,Loans!$X$2:$X$1001,1,Loans!$Q$2:$Q$1001,B21)/10^7</f>
        <v/>
      </c>
      <c r="E21" s="26">
        <f>IFERROR(D21/$D$8,0)</f>
        <v/>
      </c>
      <c r="F21" s="25">
        <f>SUMIFS(Loans!$U$2:$U$1001,Loans!$X$2:$X$1001,1,Loans!$Q$2:$Q$1001,B21)/10^7</f>
        <v/>
      </c>
    </row>
    <row r="22">
      <c r="B22" s="28" t="inlineStr">
        <is>
          <t>Total</t>
        </is>
      </c>
      <c r="C22" s="29">
        <f>SUM(C15:C21)</f>
        <v/>
      </c>
      <c r="D22" s="30">
        <f>SUM(D15:D21)</f>
        <v/>
      </c>
      <c r="E22" s="31">
        <f>SUM(E15:E21)</f>
        <v/>
      </c>
      <c r="F22" s="30">
        <f>SUM(F15:F21)</f>
        <v/>
      </c>
      <c r="H22" s="22" t="inlineStr">
        <is>
          <t>Performance by Region</t>
        </is>
      </c>
    </row>
    <row r="23" ht="30" customHeight="1">
      <c r="B23" s="32">
        <f>IF(ABS(D22-D8)&lt;0.0001,"✔ Reconciles to AUM","✖ Check: bucket total ≠ AUM")</f>
        <v/>
      </c>
      <c r="H23" s="3" t="inlineStr">
        <is>
          <t>Region</t>
        </is>
      </c>
      <c r="I23" s="3" t="inlineStr">
        <is>
          <t>Outstanding</t>
        </is>
      </c>
      <c r="J23" s="3" t="inlineStr">
        <is>
          <t>GNPA</t>
        </is>
      </c>
      <c r="K23" s="3" t="inlineStr">
        <is>
          <t>GNPA %</t>
        </is>
      </c>
      <c r="L23" s="3" t="inlineStr">
        <is>
          <t>Accounts</t>
        </is>
      </c>
    </row>
    <row r="24">
      <c r="H24" s="27" t="inlineStr">
        <is>
          <t>North</t>
        </is>
      </c>
      <c r="I24" s="25">
        <f>SUMIFS(Loans!$O$2:$O$1001,Loans!$X$2:$X$1001,1,Loans!$D$2:$D$1001,H24)/10^7</f>
        <v/>
      </c>
      <c r="J24" s="25">
        <f>SUMIFS(Loans!$O$2:$O$1001,Loans!$X$2:$X$1001,1,Loans!$D$2:$D$1001,H24,Loans!$S$2:$S$1001,"Yes")/10^7</f>
        <v/>
      </c>
      <c r="K24" s="26">
        <f>IFERROR(J24/I24,0)</f>
        <v/>
      </c>
      <c r="L24" s="24">
        <f>COUNTIFS(Loans!$X$2:$X$1001,1,Loans!$D$2:$D$1001,H24)</f>
        <v/>
      </c>
    </row>
    <row r="25">
      <c r="H25" s="27" t="inlineStr">
        <is>
          <t>South</t>
        </is>
      </c>
      <c r="I25" s="25">
        <f>SUMIFS(Loans!$O$2:$O$1001,Loans!$X$2:$X$1001,1,Loans!$D$2:$D$1001,H25)/10^7</f>
        <v/>
      </c>
      <c r="J25" s="25">
        <f>SUMIFS(Loans!$O$2:$O$1001,Loans!$X$2:$X$1001,1,Loans!$D$2:$D$1001,H25,Loans!$S$2:$S$1001,"Yes")/10^7</f>
        <v/>
      </c>
      <c r="K25" s="26">
        <f>IFERROR(J25/I25,0)</f>
        <v/>
      </c>
      <c r="L25" s="24">
        <f>COUNTIFS(Loans!$X$2:$X$1001,1,Loans!$D$2:$D$1001,H25)</f>
        <v/>
      </c>
    </row>
    <row r="26">
      <c r="H26" s="27" t="inlineStr">
        <is>
          <t>East</t>
        </is>
      </c>
      <c r="I26" s="25">
        <f>SUMIFS(Loans!$O$2:$O$1001,Loans!$X$2:$X$1001,1,Loans!$D$2:$D$1001,H26)/10^7</f>
        <v/>
      </c>
      <c r="J26" s="25">
        <f>SUMIFS(Loans!$O$2:$O$1001,Loans!$X$2:$X$1001,1,Loans!$D$2:$D$1001,H26,Loans!$S$2:$S$1001,"Yes")/10^7</f>
        <v/>
      </c>
      <c r="K26" s="26">
        <f>IFERROR(J26/I26,0)</f>
        <v/>
      </c>
      <c r="L26" s="24">
        <f>COUNTIFS(Loans!$X$2:$X$1001,1,Loans!$D$2:$D$1001,H26)</f>
        <v/>
      </c>
    </row>
    <row r="27">
      <c r="H27" s="27" t="inlineStr">
        <is>
          <t>West</t>
        </is>
      </c>
      <c r="I27" s="25">
        <f>SUMIFS(Loans!$O$2:$O$1001,Loans!$X$2:$X$1001,1,Loans!$D$2:$D$1001,H27)/10^7</f>
        <v/>
      </c>
      <c r="J27" s="25">
        <f>SUMIFS(Loans!$O$2:$O$1001,Loans!$X$2:$X$1001,1,Loans!$D$2:$D$1001,H27,Loans!$S$2:$S$1001,"Yes")/10^7</f>
        <v/>
      </c>
      <c r="K27" s="26">
        <f>IFERROR(J27/I27,0)</f>
        <v/>
      </c>
      <c r="L27" s="24">
        <f>COUNTIFS(Loans!$X$2:$X$1001,1,Loans!$D$2:$D$1001,H27)</f>
        <v/>
      </c>
    </row>
    <row r="29">
      <c r="B29" s="22" t="inlineStr">
        <is>
          <t>Top 10 NPA Exposures (current filter)</t>
        </is>
      </c>
    </row>
    <row r="30" ht="30" customHeight="1">
      <c r="B30" s="3" t="inlineStr">
        <is>
          <t>Rank</t>
        </is>
      </c>
      <c r="C30" s="3" t="inlineStr">
        <is>
          <t>Loan ID</t>
        </is>
      </c>
      <c r="D30" s="3" t="inlineStr">
        <is>
          <t>Customer</t>
        </is>
      </c>
      <c r="E30" s="3" t="inlineStr">
        <is>
          <t>Product</t>
        </is>
      </c>
      <c r="F30" s="3" t="inlineStr">
        <is>
          <t>Outstanding (₹)</t>
        </is>
      </c>
      <c r="H30" s="3" t="inlineStr">
        <is>
          <t>DPD</t>
        </is>
      </c>
      <c r="I30" s="3" t="inlineStr">
        <is>
          <t>Asset Class</t>
        </is>
      </c>
      <c r="J30" s="3" t="inlineStr">
        <is>
          <t>Branch</t>
        </is>
      </c>
      <c r="K30" s="3" t="inlineStr">
        <is>
          <t>CIBIL</t>
        </is>
      </c>
    </row>
    <row r="31">
      <c r="B31" s="33" t="n">
        <v>1</v>
      </c>
      <c r="C31" s="27">
        <f>IF(LARGE(Loans!$Y$2:$Y$1001,B31)=0,"",INDEX(Loans!$A$2:$A$1001,MATCH(LARGE(Loans!$Y$2:$Y$1001,B31),Loans!$Y$2:$Y$1001,0)))</f>
        <v/>
      </c>
      <c r="D31" s="27">
        <f>IF(C31="","",INDEX(Loans!$B$2:$B$1001,MATCH(LARGE(Loans!$Y$2:$Y$1001,B31),Loans!$Y$2:$Y$1001,0)))</f>
        <v/>
      </c>
      <c r="E31" s="27">
        <f>IF(C31="","",INDEX(Loans!$E$2:$E$1001,MATCH(LARGE(Loans!$Y$2:$Y$1001,B31),Loans!$Y$2:$Y$1001,0)))</f>
        <v/>
      </c>
      <c r="F31" s="34">
        <f>IF(C31="","",INDEX(Loans!$O$2:$O$1001,MATCH(LARGE(Loans!$Y$2:$Y$1001,B31),Loans!$Y$2:$Y$1001,0)))</f>
        <v/>
      </c>
      <c r="H31" s="33">
        <f>IF(C31="","",INDEX(Loans!$K$2:$K$1001,MATCH(LARGE(Loans!$Y$2:$Y$1001,B31),Loans!$Y$2:$Y$1001,0)))</f>
        <v/>
      </c>
      <c r="I31" s="27">
        <f>IF(C31="","",INDEX(Loans!$Q$2:$Q$1001,MATCH(LARGE(Loans!$Y$2:$Y$1001,B31),Loans!$Y$2:$Y$1001,0)))</f>
        <v/>
      </c>
      <c r="J31" s="27">
        <f>IF(C31="","",INDEX(Loans!$C$2:$C$1001,MATCH(LARGE(Loans!$Y$2:$Y$1001,B31),Loans!$Y$2:$Y$1001,0)))</f>
        <v/>
      </c>
      <c r="K31" s="33">
        <f>IF(C31="","",INDEX(Loans!$J$2:$J$1001,MATCH(LARGE(Loans!$Y$2:$Y$1001,B31),Loans!$Y$2:$Y$1001,0)))</f>
        <v/>
      </c>
    </row>
    <row r="32">
      <c r="B32" s="33" t="n">
        <v>2</v>
      </c>
      <c r="C32" s="27">
        <f>IF(LARGE(Loans!$Y$2:$Y$1001,B32)=0,"",INDEX(Loans!$A$2:$A$1001,MATCH(LARGE(Loans!$Y$2:$Y$1001,B32),Loans!$Y$2:$Y$1001,0)))</f>
        <v/>
      </c>
      <c r="D32" s="27">
        <f>IF(C32="","",INDEX(Loans!$B$2:$B$1001,MATCH(LARGE(Loans!$Y$2:$Y$1001,B32),Loans!$Y$2:$Y$1001,0)))</f>
        <v/>
      </c>
      <c r="E32" s="27">
        <f>IF(C32="","",INDEX(Loans!$E$2:$E$1001,MATCH(LARGE(Loans!$Y$2:$Y$1001,B32),Loans!$Y$2:$Y$1001,0)))</f>
        <v/>
      </c>
      <c r="F32" s="34">
        <f>IF(C32="","",INDEX(Loans!$O$2:$O$1001,MATCH(LARGE(Loans!$Y$2:$Y$1001,B32),Loans!$Y$2:$Y$1001,0)))</f>
        <v/>
      </c>
      <c r="H32" s="33">
        <f>IF(C32="","",INDEX(Loans!$K$2:$K$1001,MATCH(LARGE(Loans!$Y$2:$Y$1001,B32),Loans!$Y$2:$Y$1001,0)))</f>
        <v/>
      </c>
      <c r="I32" s="27">
        <f>IF(C32="","",INDEX(Loans!$Q$2:$Q$1001,MATCH(LARGE(Loans!$Y$2:$Y$1001,B32),Loans!$Y$2:$Y$1001,0)))</f>
        <v/>
      </c>
      <c r="J32" s="27">
        <f>IF(C32="","",INDEX(Loans!$C$2:$C$1001,MATCH(LARGE(Loans!$Y$2:$Y$1001,B32),Loans!$Y$2:$Y$1001,0)))</f>
        <v/>
      </c>
      <c r="K32" s="33">
        <f>IF(C32="","",INDEX(Loans!$J$2:$J$1001,MATCH(LARGE(Loans!$Y$2:$Y$1001,B32),Loans!$Y$2:$Y$1001,0)))</f>
        <v/>
      </c>
    </row>
    <row r="33">
      <c r="B33" s="33" t="n">
        <v>3</v>
      </c>
      <c r="C33" s="27">
        <f>IF(LARGE(Loans!$Y$2:$Y$1001,B33)=0,"",INDEX(Loans!$A$2:$A$1001,MATCH(LARGE(Loans!$Y$2:$Y$1001,B33),Loans!$Y$2:$Y$1001,0)))</f>
        <v/>
      </c>
      <c r="D33" s="27">
        <f>IF(C33="","",INDEX(Loans!$B$2:$B$1001,MATCH(LARGE(Loans!$Y$2:$Y$1001,B33),Loans!$Y$2:$Y$1001,0)))</f>
        <v/>
      </c>
      <c r="E33" s="27">
        <f>IF(C33="","",INDEX(Loans!$E$2:$E$1001,MATCH(LARGE(Loans!$Y$2:$Y$1001,B33),Loans!$Y$2:$Y$1001,0)))</f>
        <v/>
      </c>
      <c r="F33" s="34">
        <f>IF(C33="","",INDEX(Loans!$O$2:$O$1001,MATCH(LARGE(Loans!$Y$2:$Y$1001,B33),Loans!$Y$2:$Y$1001,0)))</f>
        <v/>
      </c>
      <c r="H33" s="33">
        <f>IF(C33="","",INDEX(Loans!$K$2:$K$1001,MATCH(LARGE(Loans!$Y$2:$Y$1001,B33),Loans!$Y$2:$Y$1001,0)))</f>
        <v/>
      </c>
      <c r="I33" s="27">
        <f>IF(C33="","",INDEX(Loans!$Q$2:$Q$1001,MATCH(LARGE(Loans!$Y$2:$Y$1001,B33),Loans!$Y$2:$Y$1001,0)))</f>
        <v/>
      </c>
      <c r="J33" s="27">
        <f>IF(C33="","",INDEX(Loans!$C$2:$C$1001,MATCH(LARGE(Loans!$Y$2:$Y$1001,B33),Loans!$Y$2:$Y$1001,0)))</f>
        <v/>
      </c>
      <c r="K33" s="33">
        <f>IF(C33="","",INDEX(Loans!$J$2:$J$1001,MATCH(LARGE(Loans!$Y$2:$Y$1001,B33),Loans!$Y$2:$Y$1001,0)))</f>
        <v/>
      </c>
    </row>
    <row r="34">
      <c r="B34" s="33" t="n">
        <v>4</v>
      </c>
      <c r="C34" s="27">
        <f>IF(LARGE(Loans!$Y$2:$Y$1001,B34)=0,"",INDEX(Loans!$A$2:$A$1001,MATCH(LARGE(Loans!$Y$2:$Y$1001,B34),Loans!$Y$2:$Y$1001,0)))</f>
        <v/>
      </c>
      <c r="D34" s="27">
        <f>IF(C34="","",INDEX(Loans!$B$2:$B$1001,MATCH(LARGE(Loans!$Y$2:$Y$1001,B34),Loans!$Y$2:$Y$1001,0)))</f>
        <v/>
      </c>
      <c r="E34" s="27">
        <f>IF(C34="","",INDEX(Loans!$E$2:$E$1001,MATCH(LARGE(Loans!$Y$2:$Y$1001,B34),Loans!$Y$2:$Y$1001,0)))</f>
        <v/>
      </c>
      <c r="F34" s="34">
        <f>IF(C34="","",INDEX(Loans!$O$2:$O$1001,MATCH(LARGE(Loans!$Y$2:$Y$1001,B34),Loans!$Y$2:$Y$1001,0)))</f>
        <v/>
      </c>
      <c r="H34" s="33">
        <f>IF(C34="","",INDEX(Loans!$K$2:$K$1001,MATCH(LARGE(Loans!$Y$2:$Y$1001,B34),Loans!$Y$2:$Y$1001,0)))</f>
        <v/>
      </c>
      <c r="I34" s="27">
        <f>IF(C34="","",INDEX(Loans!$Q$2:$Q$1001,MATCH(LARGE(Loans!$Y$2:$Y$1001,B34),Loans!$Y$2:$Y$1001,0)))</f>
        <v/>
      </c>
      <c r="J34" s="27">
        <f>IF(C34="","",INDEX(Loans!$C$2:$C$1001,MATCH(LARGE(Loans!$Y$2:$Y$1001,B34),Loans!$Y$2:$Y$1001,0)))</f>
        <v/>
      </c>
      <c r="K34" s="33">
        <f>IF(C34="","",INDEX(Loans!$J$2:$J$1001,MATCH(LARGE(Loans!$Y$2:$Y$1001,B34),Loans!$Y$2:$Y$1001,0)))</f>
        <v/>
      </c>
    </row>
    <row r="35">
      <c r="B35" s="33" t="n">
        <v>5</v>
      </c>
      <c r="C35" s="27">
        <f>IF(LARGE(Loans!$Y$2:$Y$1001,B35)=0,"",INDEX(Loans!$A$2:$A$1001,MATCH(LARGE(Loans!$Y$2:$Y$1001,B35),Loans!$Y$2:$Y$1001,0)))</f>
        <v/>
      </c>
      <c r="D35" s="27">
        <f>IF(C35="","",INDEX(Loans!$B$2:$B$1001,MATCH(LARGE(Loans!$Y$2:$Y$1001,B35),Loans!$Y$2:$Y$1001,0)))</f>
        <v/>
      </c>
      <c r="E35" s="27">
        <f>IF(C35="","",INDEX(Loans!$E$2:$E$1001,MATCH(LARGE(Loans!$Y$2:$Y$1001,B35),Loans!$Y$2:$Y$1001,0)))</f>
        <v/>
      </c>
      <c r="F35" s="34">
        <f>IF(C35="","",INDEX(Loans!$O$2:$O$1001,MATCH(LARGE(Loans!$Y$2:$Y$1001,B35),Loans!$Y$2:$Y$1001,0)))</f>
        <v/>
      </c>
      <c r="H35" s="33">
        <f>IF(C35="","",INDEX(Loans!$K$2:$K$1001,MATCH(LARGE(Loans!$Y$2:$Y$1001,B35),Loans!$Y$2:$Y$1001,0)))</f>
        <v/>
      </c>
      <c r="I35" s="27">
        <f>IF(C35="","",INDEX(Loans!$Q$2:$Q$1001,MATCH(LARGE(Loans!$Y$2:$Y$1001,B35),Loans!$Y$2:$Y$1001,0)))</f>
        <v/>
      </c>
      <c r="J35" s="27">
        <f>IF(C35="","",INDEX(Loans!$C$2:$C$1001,MATCH(LARGE(Loans!$Y$2:$Y$1001,B35),Loans!$Y$2:$Y$1001,0)))</f>
        <v/>
      </c>
      <c r="K35" s="33">
        <f>IF(C35="","",INDEX(Loans!$J$2:$J$1001,MATCH(LARGE(Loans!$Y$2:$Y$1001,B35),Loans!$Y$2:$Y$1001,0)))</f>
        <v/>
      </c>
    </row>
    <row r="36">
      <c r="B36" s="33" t="n">
        <v>6</v>
      </c>
      <c r="C36" s="27">
        <f>IF(LARGE(Loans!$Y$2:$Y$1001,B36)=0,"",INDEX(Loans!$A$2:$A$1001,MATCH(LARGE(Loans!$Y$2:$Y$1001,B36),Loans!$Y$2:$Y$1001,0)))</f>
        <v/>
      </c>
      <c r="D36" s="27">
        <f>IF(C36="","",INDEX(Loans!$B$2:$B$1001,MATCH(LARGE(Loans!$Y$2:$Y$1001,B36),Loans!$Y$2:$Y$1001,0)))</f>
        <v/>
      </c>
      <c r="E36" s="27">
        <f>IF(C36="","",INDEX(Loans!$E$2:$E$1001,MATCH(LARGE(Loans!$Y$2:$Y$1001,B36),Loans!$Y$2:$Y$1001,0)))</f>
        <v/>
      </c>
      <c r="F36" s="34">
        <f>IF(C36="","",INDEX(Loans!$O$2:$O$1001,MATCH(LARGE(Loans!$Y$2:$Y$1001,B36),Loans!$Y$2:$Y$1001,0)))</f>
        <v/>
      </c>
      <c r="H36" s="33">
        <f>IF(C36="","",INDEX(Loans!$K$2:$K$1001,MATCH(LARGE(Loans!$Y$2:$Y$1001,B36),Loans!$Y$2:$Y$1001,0)))</f>
        <v/>
      </c>
      <c r="I36" s="27">
        <f>IF(C36="","",INDEX(Loans!$Q$2:$Q$1001,MATCH(LARGE(Loans!$Y$2:$Y$1001,B36),Loans!$Y$2:$Y$1001,0)))</f>
        <v/>
      </c>
      <c r="J36" s="27">
        <f>IF(C36="","",INDEX(Loans!$C$2:$C$1001,MATCH(LARGE(Loans!$Y$2:$Y$1001,B36),Loans!$Y$2:$Y$1001,0)))</f>
        <v/>
      </c>
      <c r="K36" s="33">
        <f>IF(C36="","",INDEX(Loans!$J$2:$J$1001,MATCH(LARGE(Loans!$Y$2:$Y$1001,B36),Loans!$Y$2:$Y$1001,0)))</f>
        <v/>
      </c>
    </row>
    <row r="37">
      <c r="B37" s="33" t="n">
        <v>7</v>
      </c>
      <c r="C37" s="27">
        <f>IF(LARGE(Loans!$Y$2:$Y$1001,B37)=0,"",INDEX(Loans!$A$2:$A$1001,MATCH(LARGE(Loans!$Y$2:$Y$1001,B37),Loans!$Y$2:$Y$1001,0)))</f>
        <v/>
      </c>
      <c r="D37" s="27">
        <f>IF(C37="","",INDEX(Loans!$B$2:$B$1001,MATCH(LARGE(Loans!$Y$2:$Y$1001,B37),Loans!$Y$2:$Y$1001,0)))</f>
        <v/>
      </c>
      <c r="E37" s="27">
        <f>IF(C37="","",INDEX(Loans!$E$2:$E$1001,MATCH(LARGE(Loans!$Y$2:$Y$1001,B37),Loans!$Y$2:$Y$1001,0)))</f>
        <v/>
      </c>
      <c r="F37" s="34">
        <f>IF(C37="","",INDEX(Loans!$O$2:$O$1001,MATCH(LARGE(Loans!$Y$2:$Y$1001,B37),Loans!$Y$2:$Y$1001,0)))</f>
        <v/>
      </c>
      <c r="H37" s="33">
        <f>IF(C37="","",INDEX(Loans!$K$2:$K$1001,MATCH(LARGE(Loans!$Y$2:$Y$1001,B37),Loans!$Y$2:$Y$1001,0)))</f>
        <v/>
      </c>
      <c r="I37" s="27">
        <f>IF(C37="","",INDEX(Loans!$Q$2:$Q$1001,MATCH(LARGE(Loans!$Y$2:$Y$1001,B37),Loans!$Y$2:$Y$1001,0)))</f>
        <v/>
      </c>
      <c r="J37" s="27">
        <f>IF(C37="","",INDEX(Loans!$C$2:$C$1001,MATCH(LARGE(Loans!$Y$2:$Y$1001,B37),Loans!$Y$2:$Y$1001,0)))</f>
        <v/>
      </c>
      <c r="K37" s="33">
        <f>IF(C37="","",INDEX(Loans!$J$2:$J$1001,MATCH(LARGE(Loans!$Y$2:$Y$1001,B37),Loans!$Y$2:$Y$1001,0)))</f>
        <v/>
      </c>
    </row>
    <row r="38">
      <c r="B38" s="33" t="n">
        <v>8</v>
      </c>
      <c r="C38" s="27">
        <f>IF(LARGE(Loans!$Y$2:$Y$1001,B38)=0,"",INDEX(Loans!$A$2:$A$1001,MATCH(LARGE(Loans!$Y$2:$Y$1001,B38),Loans!$Y$2:$Y$1001,0)))</f>
        <v/>
      </c>
      <c r="D38" s="27">
        <f>IF(C38="","",INDEX(Loans!$B$2:$B$1001,MATCH(LARGE(Loans!$Y$2:$Y$1001,B38),Loans!$Y$2:$Y$1001,0)))</f>
        <v/>
      </c>
      <c r="E38" s="27">
        <f>IF(C38="","",INDEX(Loans!$E$2:$E$1001,MATCH(LARGE(Loans!$Y$2:$Y$1001,B38),Loans!$Y$2:$Y$1001,0)))</f>
        <v/>
      </c>
      <c r="F38" s="34">
        <f>IF(C38="","",INDEX(Loans!$O$2:$O$1001,MATCH(LARGE(Loans!$Y$2:$Y$1001,B38),Loans!$Y$2:$Y$1001,0)))</f>
        <v/>
      </c>
      <c r="H38" s="33">
        <f>IF(C38="","",INDEX(Loans!$K$2:$K$1001,MATCH(LARGE(Loans!$Y$2:$Y$1001,B38),Loans!$Y$2:$Y$1001,0)))</f>
        <v/>
      </c>
      <c r="I38" s="27">
        <f>IF(C38="","",INDEX(Loans!$Q$2:$Q$1001,MATCH(LARGE(Loans!$Y$2:$Y$1001,B38),Loans!$Y$2:$Y$1001,0)))</f>
        <v/>
      </c>
      <c r="J38" s="27">
        <f>IF(C38="","",INDEX(Loans!$C$2:$C$1001,MATCH(LARGE(Loans!$Y$2:$Y$1001,B38),Loans!$Y$2:$Y$1001,0)))</f>
        <v/>
      </c>
      <c r="K38" s="33">
        <f>IF(C38="","",INDEX(Loans!$J$2:$J$1001,MATCH(LARGE(Loans!$Y$2:$Y$1001,B38),Loans!$Y$2:$Y$1001,0)))</f>
        <v/>
      </c>
    </row>
    <row r="39">
      <c r="B39" s="33" t="n">
        <v>9</v>
      </c>
      <c r="C39" s="27">
        <f>IF(LARGE(Loans!$Y$2:$Y$1001,B39)=0,"",INDEX(Loans!$A$2:$A$1001,MATCH(LARGE(Loans!$Y$2:$Y$1001,B39),Loans!$Y$2:$Y$1001,0)))</f>
        <v/>
      </c>
      <c r="D39" s="27">
        <f>IF(C39="","",INDEX(Loans!$B$2:$B$1001,MATCH(LARGE(Loans!$Y$2:$Y$1001,B39),Loans!$Y$2:$Y$1001,0)))</f>
        <v/>
      </c>
      <c r="E39" s="27">
        <f>IF(C39="","",INDEX(Loans!$E$2:$E$1001,MATCH(LARGE(Loans!$Y$2:$Y$1001,B39),Loans!$Y$2:$Y$1001,0)))</f>
        <v/>
      </c>
      <c r="F39" s="34">
        <f>IF(C39="","",INDEX(Loans!$O$2:$O$1001,MATCH(LARGE(Loans!$Y$2:$Y$1001,B39),Loans!$Y$2:$Y$1001,0)))</f>
        <v/>
      </c>
      <c r="H39" s="33">
        <f>IF(C39="","",INDEX(Loans!$K$2:$K$1001,MATCH(LARGE(Loans!$Y$2:$Y$1001,B39),Loans!$Y$2:$Y$1001,0)))</f>
        <v/>
      </c>
      <c r="I39" s="27">
        <f>IF(C39="","",INDEX(Loans!$Q$2:$Q$1001,MATCH(LARGE(Loans!$Y$2:$Y$1001,B39),Loans!$Y$2:$Y$1001,0)))</f>
        <v/>
      </c>
      <c r="J39" s="27">
        <f>IF(C39="","",INDEX(Loans!$C$2:$C$1001,MATCH(LARGE(Loans!$Y$2:$Y$1001,B39),Loans!$Y$2:$Y$1001,0)))</f>
        <v/>
      </c>
      <c r="K39" s="33">
        <f>IF(C39="","",INDEX(Loans!$J$2:$J$1001,MATCH(LARGE(Loans!$Y$2:$Y$1001,B39),Loans!$Y$2:$Y$1001,0)))</f>
        <v/>
      </c>
    </row>
    <row r="40">
      <c r="B40" s="33" t="n">
        <v>10</v>
      </c>
      <c r="C40" s="27">
        <f>IF(LARGE(Loans!$Y$2:$Y$1001,B40)=0,"",INDEX(Loans!$A$2:$A$1001,MATCH(LARGE(Loans!$Y$2:$Y$1001,B40),Loans!$Y$2:$Y$1001,0)))</f>
        <v/>
      </c>
      <c r="D40" s="27">
        <f>IF(C40="","",INDEX(Loans!$B$2:$B$1001,MATCH(LARGE(Loans!$Y$2:$Y$1001,B40),Loans!$Y$2:$Y$1001,0)))</f>
        <v/>
      </c>
      <c r="E40" s="27">
        <f>IF(C40="","",INDEX(Loans!$E$2:$E$1001,MATCH(LARGE(Loans!$Y$2:$Y$1001,B40),Loans!$Y$2:$Y$1001,0)))</f>
        <v/>
      </c>
      <c r="F40" s="34">
        <f>IF(C40="","",INDEX(Loans!$O$2:$O$1001,MATCH(LARGE(Loans!$Y$2:$Y$1001,B40),Loans!$Y$2:$Y$1001,0)))</f>
        <v/>
      </c>
      <c r="H40" s="33">
        <f>IF(C40="","",INDEX(Loans!$K$2:$K$1001,MATCH(LARGE(Loans!$Y$2:$Y$1001,B40),Loans!$Y$2:$Y$1001,0)))</f>
        <v/>
      </c>
      <c r="I40" s="27">
        <f>IF(C40="","",INDEX(Loans!$Q$2:$Q$1001,MATCH(LARGE(Loans!$Y$2:$Y$1001,B40),Loans!$Y$2:$Y$1001,0)))</f>
        <v/>
      </c>
      <c r="J40" s="27">
        <f>IF(C40="","",INDEX(Loans!$C$2:$C$1001,MATCH(LARGE(Loans!$Y$2:$Y$1001,B40),Loans!$Y$2:$Y$1001,0)))</f>
        <v/>
      </c>
      <c r="K40" s="33">
        <f>IF(C40="","",INDEX(Loans!$J$2:$J$1001,MATCH(LARGE(Loans!$Y$2:$Y$1001,B40),Loans!$Y$2:$Y$1001,0)))</f>
        <v/>
      </c>
    </row>
  </sheetData>
  <conditionalFormatting sqref="F8">
    <cfRule type="cellIs" priority="1" operator="greaterThan" dxfId="0">
      <formula>0.05</formula>
    </cfRule>
    <cfRule type="cellIs" priority="2" operator="between" dxfId="1">
      <formula>0.03</formula>
      <formula>0.05</formula>
    </cfRule>
    <cfRule type="cellIs" priority="3" operator="lessThan" dxfId="2">
      <formula>0.03</formula>
    </cfRule>
  </conditionalFormatting>
  <conditionalFormatting sqref="D15:D21">
    <cfRule type="dataBar" priority="4">
      <dataBar>
        <cfvo type="num" val="0"/>
        <cfvo type="max"/>
        <color rgb="005B9BD5"/>
      </dataBar>
    </cfRule>
  </conditionalFormatting>
  <conditionalFormatting sqref="K15:K1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C4" showDropDown="0" showInputMessage="0" showErrorMessage="0" allowBlank="0" type="list">
      <formula1>"All,North,South,East,West"</formula1>
    </dataValidation>
    <dataValidation sqref="C5" showDropDown="0" showInputMessage="0" showErrorMessage="0" allowBlank="0" type="list">
      <formula1>"All,Home Loan,Auto Loan,Personal Loan,Business Loan,Gold Loan"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9" customWidth="1" min="4" max="4"/>
    <col width="14" customWidth="1" min="5" max="5"/>
    <col width="12" customWidth="1" min="6" max="6"/>
    <col width="14" customWidth="1" min="7" max="7"/>
    <col width="9" customWidth="1" min="8" max="8"/>
    <col width="8" customWidth="1" min="9" max="9"/>
    <col width="7" customWidth="1" min="10" max="10"/>
    <col width="7" customWidth="1" min="11" max="11"/>
    <col width="12" customWidth="1" min="12" max="12"/>
    <col width="9" customWidth="1" min="13" max="13"/>
    <col width="8" customWidth="1" min="14" max="14"/>
    <col width="14" customWidth="1" min="15" max="15"/>
    <col width="12" customWidth="1" min="16" max="16"/>
    <col width="12" customWidth="1" min="17" max="17"/>
    <col width="10" customWidth="1" min="18" max="18"/>
    <col width="6" customWidth="1" min="19" max="19"/>
    <col width="9" customWidth="1" min="20" max="20"/>
    <col width="12" customWidth="1" min="21" max="21"/>
    <col width="13" customWidth="1" min="22" max="22"/>
    <col width="10" customWidth="1" min="23" max="23"/>
    <col width="7" customWidth="1" min="24" max="24"/>
    <col width="12" customWidth="1" min="25" max="25"/>
  </cols>
  <sheetData>
    <row r="1" ht="34" customHeight="1">
      <c r="A1" s="3" t="inlineStr">
        <is>
          <t>Loan ID</t>
        </is>
      </c>
      <c r="B1" s="3" t="inlineStr">
        <is>
          <t>Customer</t>
        </is>
      </c>
      <c r="C1" s="3" t="inlineStr">
        <is>
          <t>Branch</t>
        </is>
      </c>
      <c r="D1" s="3" t="inlineStr">
        <is>
          <t>Region</t>
        </is>
      </c>
      <c r="E1" s="3" t="inlineStr">
        <is>
          <t>Product</t>
        </is>
      </c>
      <c r="F1" s="3" t="inlineStr">
        <is>
          <t>Disbursal Date</t>
        </is>
      </c>
      <c r="G1" s="3" t="inlineStr">
        <is>
          <t>Loan Amount (₹)</t>
        </is>
      </c>
      <c r="H1" s="3" t="inlineStr">
        <is>
          <t>Rate (p.a.)</t>
        </is>
      </c>
      <c r="I1" s="3" t="inlineStr">
        <is>
          <t>Tenure (m)</t>
        </is>
      </c>
      <c r="J1" s="3" t="inlineStr">
        <is>
          <t>CIBIL</t>
        </is>
      </c>
      <c r="K1" s="3" t="inlineStr">
        <is>
          <t>DPD</t>
        </is>
      </c>
      <c r="L1" s="3" t="inlineStr">
        <is>
          <t>EMI (₹)</t>
        </is>
      </c>
      <c r="M1" s="3" t="inlineStr">
        <is>
          <t>Months Elapsed</t>
        </is>
      </c>
      <c r="N1" s="3" t="inlineStr">
        <is>
          <t>EMIs Paid</t>
        </is>
      </c>
      <c r="O1" s="3" t="inlineStr">
        <is>
          <t>Outstanding (₹)</t>
        </is>
      </c>
      <c r="P1" s="3" t="inlineStr">
        <is>
          <t>Overdue (₹)</t>
        </is>
      </c>
      <c r="Q1" s="3" t="inlineStr">
        <is>
          <t>DPD Bucket</t>
        </is>
      </c>
      <c r="R1" s="3" t="inlineStr">
        <is>
          <t>Asset Class</t>
        </is>
      </c>
      <c r="S1" s="3" t="inlineStr">
        <is>
          <t>NPA?</t>
        </is>
      </c>
      <c r="T1" s="3" t="inlineStr">
        <is>
          <t>Provision %</t>
        </is>
      </c>
      <c r="U1" s="3" t="inlineStr">
        <is>
          <t>Provision (₹)</t>
        </is>
      </c>
      <c r="V1" s="3" t="inlineStr">
        <is>
          <t>Risk Grade</t>
        </is>
      </c>
      <c r="W1" s="3" t="inlineStr">
        <is>
          <t>Vintage Qtr</t>
        </is>
      </c>
      <c r="X1" s="3" t="inlineStr">
        <is>
          <t>In Filter</t>
        </is>
      </c>
      <c r="Y1" s="3" t="inlineStr">
        <is>
          <t>NPA Rank Key</t>
        </is>
      </c>
    </row>
    <row r="2">
      <c r="A2" s="35" t="inlineStr">
        <is>
          <t>LN100001</t>
        </is>
      </c>
      <c r="B2" s="35" t="inlineStr">
        <is>
          <t>Ishaan Mohanty</t>
        </is>
      </c>
      <c r="C2" s="35" t="inlineStr">
        <is>
          <t>LKO-01</t>
        </is>
      </c>
      <c r="D2" s="36">
        <f>INDEX(Branches!$C$2:$C$15,MATCH(C2,Branches!$A$2:$A$15,0))</f>
        <v/>
      </c>
      <c r="E2" s="35" t="inlineStr">
        <is>
          <t>Personal Loan</t>
        </is>
      </c>
      <c r="F2" s="37" t="n">
        <v>45610</v>
      </c>
      <c r="G2" s="38" t="n">
        <v>943000</v>
      </c>
      <c r="H2" s="39" t="n">
        <v>0.1471</v>
      </c>
      <c r="I2" s="35" t="n">
        <v>12</v>
      </c>
      <c r="J2" s="35" t="n">
        <v>735</v>
      </c>
      <c r="K2" s="35" t="n">
        <v>0</v>
      </c>
      <c r="L2" s="40">
        <f>ROUND(PMT(H2/12,I2,-G2),0)</f>
        <v/>
      </c>
      <c r="M2" s="41">
        <f>MAX(0,(YEAR(AsOfDate)-YEAR(F2))*12+MONTH(AsOfDate)-MONTH(F2))</f>
        <v/>
      </c>
      <c r="N2" s="41">
        <f>MAX(0,MIN(I2,M2)-INT(K2/30))</f>
        <v/>
      </c>
      <c r="O2" s="40">
        <f>IF(N2&gt;=I2,0,ROUND(PV(H2/12,I2-N2,-L2),0))</f>
        <v/>
      </c>
      <c r="P2" s="40">
        <f>MIN(I2,M2)*L2-N2*L2</f>
        <v/>
      </c>
      <c r="Q2" s="41">
        <f>INDEX(DPD_Bucket,MATCH(K2,DPD_From,1))</f>
        <v/>
      </c>
      <c r="R2" s="41">
        <f>INDEX(DPD_Class,MATCH(K2,DPD_From,1))</f>
        <v/>
      </c>
      <c r="S2" s="41">
        <f>INDEX(DPD_NPA,MATCH(K2,DPD_From,1))</f>
        <v/>
      </c>
      <c r="T2" s="42">
        <f>INDEX(DPD_Prov,MATCH(K2,DPD_From,1))</f>
        <v/>
      </c>
      <c r="U2" s="40">
        <f>ROUND(O2*T2,0)</f>
        <v/>
      </c>
      <c r="V2" s="41">
        <f>INDEX(CIBIL_Grade,MATCH(J2,CIBIL_From,1))</f>
        <v/>
      </c>
      <c r="W2" s="41">
        <f>YEAR(F2)&amp;"-Q"&amp;ROUNDUP(MONTH(F2)/3,0)</f>
        <v/>
      </c>
      <c r="X2" s="41">
        <f>IF(AND(OR(Dashboard!$C$4="All",D2=Dashboard!$C$4),OR(Dashboard!$C$5="All",E2=Dashboard!$C$5)),1,0)</f>
        <v/>
      </c>
      <c r="Y2" s="43">
        <f>IF(AND(X2=1,S2="Yes"),O2+ROW()/1000000,0)</f>
        <v/>
      </c>
    </row>
    <row r="3">
      <c r="A3" s="35" t="inlineStr">
        <is>
          <t>LN100002</t>
        </is>
      </c>
      <c r="B3" s="35" t="inlineStr">
        <is>
          <t>Ananya Sharma</t>
        </is>
      </c>
      <c r="C3" s="35" t="inlineStr">
        <is>
          <t>PAT-01</t>
        </is>
      </c>
      <c r="D3" s="36">
        <f>INDEX(Branches!$C$2:$C$15,MATCH(C3,Branches!$A$2:$A$15,0))</f>
        <v/>
      </c>
      <c r="E3" s="35" t="inlineStr">
        <is>
          <t>Business Loan</t>
        </is>
      </c>
      <c r="F3" s="37" t="n">
        <v>45722</v>
      </c>
      <c r="G3" s="38" t="n">
        <v>4126000</v>
      </c>
      <c r="H3" s="39" t="n">
        <v>0.1789</v>
      </c>
      <c r="I3" s="35" t="n">
        <v>60</v>
      </c>
      <c r="J3" s="35" t="n">
        <v>765</v>
      </c>
      <c r="K3" s="35" t="n">
        <v>0</v>
      </c>
      <c r="L3" s="40">
        <f>ROUND(PMT(H3/12,I3,-G3),0)</f>
        <v/>
      </c>
      <c r="M3" s="41">
        <f>MAX(0,(YEAR(AsOfDate)-YEAR(F3))*12+MONTH(AsOfDate)-MONTH(F3))</f>
        <v/>
      </c>
      <c r="N3" s="41">
        <f>MAX(0,MIN(I3,M3)-INT(K3/30))</f>
        <v/>
      </c>
      <c r="O3" s="40">
        <f>IF(N3&gt;=I3,0,ROUND(PV(H3/12,I3-N3,-L3),0))</f>
        <v/>
      </c>
      <c r="P3" s="40">
        <f>MIN(I3,M3)*L3-N3*L3</f>
        <v/>
      </c>
      <c r="Q3" s="41">
        <f>INDEX(DPD_Bucket,MATCH(K3,DPD_From,1))</f>
        <v/>
      </c>
      <c r="R3" s="41">
        <f>INDEX(DPD_Class,MATCH(K3,DPD_From,1))</f>
        <v/>
      </c>
      <c r="S3" s="41">
        <f>INDEX(DPD_NPA,MATCH(K3,DPD_From,1))</f>
        <v/>
      </c>
      <c r="T3" s="42">
        <f>INDEX(DPD_Prov,MATCH(K3,DPD_From,1))</f>
        <v/>
      </c>
      <c r="U3" s="40">
        <f>ROUND(O3*T3,0)</f>
        <v/>
      </c>
      <c r="V3" s="41">
        <f>INDEX(CIBIL_Grade,MATCH(J3,CIBIL_From,1))</f>
        <v/>
      </c>
      <c r="W3" s="41">
        <f>YEAR(F3)&amp;"-Q"&amp;ROUNDUP(MONTH(F3)/3,0)</f>
        <v/>
      </c>
      <c r="X3" s="41">
        <f>IF(AND(OR(Dashboard!$C$4="All",D3=Dashboard!$C$4),OR(Dashboard!$C$5="All",E3=Dashboard!$C$5)),1,0)</f>
        <v/>
      </c>
      <c r="Y3" s="43">
        <f>IF(AND(X3=1,S3="Yes"),O3+ROW()/1000000,0)</f>
        <v/>
      </c>
    </row>
    <row r="4">
      <c r="A4" s="35" t="inlineStr">
        <is>
          <t>LN100003</t>
        </is>
      </c>
      <c r="B4" s="35" t="inlineStr">
        <is>
          <t>Arjun Menon</t>
        </is>
      </c>
      <c r="C4" s="35" t="inlineStr">
        <is>
          <t>GUW-01</t>
        </is>
      </c>
      <c r="D4" s="36">
        <f>INDEX(Branches!$C$2:$C$15,MATCH(C4,Branches!$A$2:$A$15,0))</f>
        <v/>
      </c>
      <c r="E4" s="35" t="inlineStr">
        <is>
          <t>Auto Loan</t>
        </is>
      </c>
      <c r="F4" s="37" t="n">
        <v>45733</v>
      </c>
      <c r="G4" s="38" t="n">
        <v>950000</v>
      </c>
      <c r="H4" s="39" t="n">
        <v>0.09719999999999999</v>
      </c>
      <c r="I4" s="35" t="n">
        <v>48</v>
      </c>
      <c r="J4" s="35" t="n">
        <v>783</v>
      </c>
      <c r="K4" s="35" t="n">
        <v>0</v>
      </c>
      <c r="L4" s="40">
        <f>ROUND(PMT(H4/12,I4,-G4),0)</f>
        <v/>
      </c>
      <c r="M4" s="41">
        <f>MAX(0,(YEAR(AsOfDate)-YEAR(F4))*12+MONTH(AsOfDate)-MONTH(F4))</f>
        <v/>
      </c>
      <c r="N4" s="41">
        <f>MAX(0,MIN(I4,M4)-INT(K4/30))</f>
        <v/>
      </c>
      <c r="O4" s="40">
        <f>IF(N4&gt;=I4,0,ROUND(PV(H4/12,I4-N4,-L4),0))</f>
        <v/>
      </c>
      <c r="P4" s="40">
        <f>MIN(I4,M4)*L4-N4*L4</f>
        <v/>
      </c>
      <c r="Q4" s="41">
        <f>INDEX(DPD_Bucket,MATCH(K4,DPD_From,1))</f>
        <v/>
      </c>
      <c r="R4" s="41">
        <f>INDEX(DPD_Class,MATCH(K4,DPD_From,1))</f>
        <v/>
      </c>
      <c r="S4" s="41">
        <f>INDEX(DPD_NPA,MATCH(K4,DPD_From,1))</f>
        <v/>
      </c>
      <c r="T4" s="42">
        <f>INDEX(DPD_Prov,MATCH(K4,DPD_From,1))</f>
        <v/>
      </c>
      <c r="U4" s="40">
        <f>ROUND(O4*T4,0)</f>
        <v/>
      </c>
      <c r="V4" s="41">
        <f>INDEX(CIBIL_Grade,MATCH(J4,CIBIL_From,1))</f>
        <v/>
      </c>
      <c r="W4" s="41">
        <f>YEAR(F4)&amp;"-Q"&amp;ROUNDUP(MONTH(F4)/3,0)</f>
        <v/>
      </c>
      <c r="X4" s="41">
        <f>IF(AND(OR(Dashboard!$C$4="All",D4=Dashboard!$C$4),OR(Dashboard!$C$5="All",E4=Dashboard!$C$5)),1,0)</f>
        <v/>
      </c>
      <c r="Y4" s="43">
        <f>IF(AND(X4=1,S4="Yes"),O4+ROW()/1000000,0)</f>
        <v/>
      </c>
    </row>
    <row r="5">
      <c r="A5" s="35" t="inlineStr">
        <is>
          <t>LN100004</t>
        </is>
      </c>
      <c r="B5" s="35" t="inlineStr">
        <is>
          <t>Kavya Iyer</t>
        </is>
      </c>
      <c r="C5" s="35" t="inlineStr">
        <is>
          <t>LKO-01</t>
        </is>
      </c>
      <c r="D5" s="36">
        <f>INDEX(Branches!$C$2:$C$15,MATCH(C5,Branches!$A$2:$A$15,0))</f>
        <v/>
      </c>
      <c r="E5" s="35" t="inlineStr">
        <is>
          <t>Home Loan</t>
        </is>
      </c>
      <c r="F5" s="37" t="n">
        <v>45918</v>
      </c>
      <c r="G5" s="38" t="n">
        <v>5811000</v>
      </c>
      <c r="H5" s="39" t="n">
        <v>0.09279999999999999</v>
      </c>
      <c r="I5" s="35" t="n">
        <v>180</v>
      </c>
      <c r="J5" s="35" t="n">
        <v>721</v>
      </c>
      <c r="K5" s="35" t="n">
        <v>0</v>
      </c>
      <c r="L5" s="40">
        <f>ROUND(PMT(H5/12,I5,-G5),0)</f>
        <v/>
      </c>
      <c r="M5" s="41">
        <f>MAX(0,(YEAR(AsOfDate)-YEAR(F5))*12+MONTH(AsOfDate)-MONTH(F5))</f>
        <v/>
      </c>
      <c r="N5" s="41">
        <f>MAX(0,MIN(I5,M5)-INT(K5/30))</f>
        <v/>
      </c>
      <c r="O5" s="40">
        <f>IF(N5&gt;=I5,0,ROUND(PV(H5/12,I5-N5,-L5),0))</f>
        <v/>
      </c>
      <c r="P5" s="40">
        <f>MIN(I5,M5)*L5-N5*L5</f>
        <v/>
      </c>
      <c r="Q5" s="41">
        <f>INDEX(DPD_Bucket,MATCH(K5,DPD_From,1))</f>
        <v/>
      </c>
      <c r="R5" s="41">
        <f>INDEX(DPD_Class,MATCH(K5,DPD_From,1))</f>
        <v/>
      </c>
      <c r="S5" s="41">
        <f>INDEX(DPD_NPA,MATCH(K5,DPD_From,1))</f>
        <v/>
      </c>
      <c r="T5" s="42">
        <f>INDEX(DPD_Prov,MATCH(K5,DPD_From,1))</f>
        <v/>
      </c>
      <c r="U5" s="40">
        <f>ROUND(O5*T5,0)</f>
        <v/>
      </c>
      <c r="V5" s="41">
        <f>INDEX(CIBIL_Grade,MATCH(J5,CIBIL_From,1))</f>
        <v/>
      </c>
      <c r="W5" s="41">
        <f>YEAR(F5)&amp;"-Q"&amp;ROUNDUP(MONTH(F5)/3,0)</f>
        <v/>
      </c>
      <c r="X5" s="41">
        <f>IF(AND(OR(Dashboard!$C$4="All",D5=Dashboard!$C$4),OR(Dashboard!$C$5="All",E5=Dashboard!$C$5)),1,0)</f>
        <v/>
      </c>
      <c r="Y5" s="43">
        <f>IF(AND(X5=1,S5="Yes"),O5+ROW()/1000000,0)</f>
        <v/>
      </c>
    </row>
    <row r="6">
      <c r="A6" s="35" t="inlineStr">
        <is>
          <t>LN100005</t>
        </is>
      </c>
      <c r="B6" s="35" t="inlineStr">
        <is>
          <t>Diya Iyer</t>
        </is>
      </c>
      <c r="C6" s="35" t="inlineStr">
        <is>
          <t>GUW-01</t>
        </is>
      </c>
      <c r="D6" s="36">
        <f>INDEX(Branches!$C$2:$C$15,MATCH(C6,Branches!$A$2:$A$15,0))</f>
        <v/>
      </c>
      <c r="E6" s="35" t="inlineStr">
        <is>
          <t>Gold Loan</t>
        </is>
      </c>
      <c r="F6" s="37" t="n">
        <v>45780</v>
      </c>
      <c r="G6" s="38" t="n">
        <v>155000</v>
      </c>
      <c r="H6" s="39" t="n">
        <v>0.093</v>
      </c>
      <c r="I6" s="35" t="n">
        <v>12</v>
      </c>
      <c r="J6" s="35" t="n">
        <v>730</v>
      </c>
      <c r="K6" s="35" t="n">
        <v>0</v>
      </c>
      <c r="L6" s="40">
        <f>ROUND(PMT(H6/12,I6,-G6),0)</f>
        <v/>
      </c>
      <c r="M6" s="41">
        <f>MAX(0,(YEAR(AsOfDate)-YEAR(F6))*12+MONTH(AsOfDate)-MONTH(F6))</f>
        <v/>
      </c>
      <c r="N6" s="41">
        <f>MAX(0,MIN(I6,M6)-INT(K6/30))</f>
        <v/>
      </c>
      <c r="O6" s="40">
        <f>IF(N6&gt;=I6,0,ROUND(PV(H6/12,I6-N6,-L6),0))</f>
        <v/>
      </c>
      <c r="P6" s="40">
        <f>MIN(I6,M6)*L6-N6*L6</f>
        <v/>
      </c>
      <c r="Q6" s="41">
        <f>INDEX(DPD_Bucket,MATCH(K6,DPD_From,1))</f>
        <v/>
      </c>
      <c r="R6" s="41">
        <f>INDEX(DPD_Class,MATCH(K6,DPD_From,1))</f>
        <v/>
      </c>
      <c r="S6" s="41">
        <f>INDEX(DPD_NPA,MATCH(K6,DPD_From,1))</f>
        <v/>
      </c>
      <c r="T6" s="42">
        <f>INDEX(DPD_Prov,MATCH(K6,DPD_From,1))</f>
        <v/>
      </c>
      <c r="U6" s="40">
        <f>ROUND(O6*T6,0)</f>
        <v/>
      </c>
      <c r="V6" s="41">
        <f>INDEX(CIBIL_Grade,MATCH(J6,CIBIL_From,1))</f>
        <v/>
      </c>
      <c r="W6" s="41">
        <f>YEAR(F6)&amp;"-Q"&amp;ROUNDUP(MONTH(F6)/3,0)</f>
        <v/>
      </c>
      <c r="X6" s="41">
        <f>IF(AND(OR(Dashboard!$C$4="All",D6=Dashboard!$C$4),OR(Dashboard!$C$5="All",E6=Dashboard!$C$5)),1,0)</f>
        <v/>
      </c>
      <c r="Y6" s="43">
        <f>IF(AND(X6=1,S6="Yes"),O6+ROW()/1000000,0)</f>
        <v/>
      </c>
    </row>
    <row r="7">
      <c r="A7" s="35" t="inlineStr">
        <is>
          <t>LN100006</t>
        </is>
      </c>
      <c r="B7" s="35" t="inlineStr">
        <is>
          <t>Ishaan Gupta</t>
        </is>
      </c>
      <c r="C7" s="35" t="inlineStr">
        <is>
          <t>BBS-01</t>
        </is>
      </c>
      <c r="D7" s="36">
        <f>INDEX(Branches!$C$2:$C$15,MATCH(C7,Branches!$A$2:$A$15,0))</f>
        <v/>
      </c>
      <c r="E7" s="35" t="inlineStr">
        <is>
          <t>Auto Loan</t>
        </is>
      </c>
      <c r="F7" s="37" t="n">
        <v>45840</v>
      </c>
      <c r="G7" s="38" t="n">
        <v>1899000</v>
      </c>
      <c r="H7" s="39" t="n">
        <v>0.1091</v>
      </c>
      <c r="I7" s="35" t="n">
        <v>60</v>
      </c>
      <c r="J7" s="35" t="n">
        <v>718</v>
      </c>
      <c r="K7" s="35" t="n">
        <v>0</v>
      </c>
      <c r="L7" s="40">
        <f>ROUND(PMT(H7/12,I7,-G7),0)</f>
        <v/>
      </c>
      <c r="M7" s="41">
        <f>MAX(0,(YEAR(AsOfDate)-YEAR(F7))*12+MONTH(AsOfDate)-MONTH(F7))</f>
        <v/>
      </c>
      <c r="N7" s="41">
        <f>MAX(0,MIN(I7,M7)-INT(K7/30))</f>
        <v/>
      </c>
      <c r="O7" s="40">
        <f>IF(N7&gt;=I7,0,ROUND(PV(H7/12,I7-N7,-L7),0))</f>
        <v/>
      </c>
      <c r="P7" s="40">
        <f>MIN(I7,M7)*L7-N7*L7</f>
        <v/>
      </c>
      <c r="Q7" s="41">
        <f>INDEX(DPD_Bucket,MATCH(K7,DPD_From,1))</f>
        <v/>
      </c>
      <c r="R7" s="41">
        <f>INDEX(DPD_Class,MATCH(K7,DPD_From,1))</f>
        <v/>
      </c>
      <c r="S7" s="41">
        <f>INDEX(DPD_NPA,MATCH(K7,DPD_From,1))</f>
        <v/>
      </c>
      <c r="T7" s="42">
        <f>INDEX(DPD_Prov,MATCH(K7,DPD_From,1))</f>
        <v/>
      </c>
      <c r="U7" s="40">
        <f>ROUND(O7*T7,0)</f>
        <v/>
      </c>
      <c r="V7" s="41">
        <f>INDEX(CIBIL_Grade,MATCH(J7,CIBIL_From,1))</f>
        <v/>
      </c>
      <c r="W7" s="41">
        <f>YEAR(F7)&amp;"-Q"&amp;ROUNDUP(MONTH(F7)/3,0)</f>
        <v/>
      </c>
      <c r="X7" s="41">
        <f>IF(AND(OR(Dashboard!$C$4="All",D7=Dashboard!$C$4),OR(Dashboard!$C$5="All",E7=Dashboard!$C$5)),1,0)</f>
        <v/>
      </c>
      <c r="Y7" s="43">
        <f>IF(AND(X7=1,S7="Yes"),O7+ROW()/1000000,0)</f>
        <v/>
      </c>
    </row>
    <row r="8">
      <c r="A8" s="35" t="inlineStr">
        <is>
          <t>LN100007</t>
        </is>
      </c>
      <c r="B8" s="35" t="inlineStr">
        <is>
          <t>Lakshmi Kulkarni</t>
        </is>
      </c>
      <c r="C8" s="35" t="inlineStr">
        <is>
          <t>KOC-01</t>
        </is>
      </c>
      <c r="D8" s="36">
        <f>INDEX(Branches!$C$2:$C$15,MATCH(C8,Branches!$A$2:$A$15,0))</f>
        <v/>
      </c>
      <c r="E8" s="35" t="inlineStr">
        <is>
          <t>Personal Loan</t>
        </is>
      </c>
      <c r="F8" s="37" t="n">
        <v>45672</v>
      </c>
      <c r="G8" s="38" t="n">
        <v>1058000</v>
      </c>
      <c r="H8" s="39" t="n">
        <v>0.1682</v>
      </c>
      <c r="I8" s="35" t="n">
        <v>24</v>
      </c>
      <c r="J8" s="35" t="n">
        <v>762</v>
      </c>
      <c r="K8" s="35" t="n">
        <v>0</v>
      </c>
      <c r="L8" s="40">
        <f>ROUND(PMT(H8/12,I8,-G8),0)</f>
        <v/>
      </c>
      <c r="M8" s="41">
        <f>MAX(0,(YEAR(AsOfDate)-YEAR(F8))*12+MONTH(AsOfDate)-MONTH(F8))</f>
        <v/>
      </c>
      <c r="N8" s="41">
        <f>MAX(0,MIN(I8,M8)-INT(K8/30))</f>
        <v/>
      </c>
      <c r="O8" s="40">
        <f>IF(N8&gt;=I8,0,ROUND(PV(H8/12,I8-N8,-L8),0))</f>
        <v/>
      </c>
      <c r="P8" s="40">
        <f>MIN(I8,M8)*L8-N8*L8</f>
        <v/>
      </c>
      <c r="Q8" s="41">
        <f>INDEX(DPD_Bucket,MATCH(K8,DPD_From,1))</f>
        <v/>
      </c>
      <c r="R8" s="41">
        <f>INDEX(DPD_Class,MATCH(K8,DPD_From,1))</f>
        <v/>
      </c>
      <c r="S8" s="41">
        <f>INDEX(DPD_NPA,MATCH(K8,DPD_From,1))</f>
        <v/>
      </c>
      <c r="T8" s="42">
        <f>INDEX(DPD_Prov,MATCH(K8,DPD_From,1))</f>
        <v/>
      </c>
      <c r="U8" s="40">
        <f>ROUND(O8*T8,0)</f>
        <v/>
      </c>
      <c r="V8" s="41">
        <f>INDEX(CIBIL_Grade,MATCH(J8,CIBIL_From,1))</f>
        <v/>
      </c>
      <c r="W8" s="41">
        <f>YEAR(F8)&amp;"-Q"&amp;ROUNDUP(MONTH(F8)/3,0)</f>
        <v/>
      </c>
      <c r="X8" s="41">
        <f>IF(AND(OR(Dashboard!$C$4="All",D8=Dashboard!$C$4),OR(Dashboard!$C$5="All",E8=Dashboard!$C$5)),1,0)</f>
        <v/>
      </c>
      <c r="Y8" s="43">
        <f>IF(AND(X8=1,S8="Yes"),O8+ROW()/1000000,0)</f>
        <v/>
      </c>
    </row>
    <row r="9">
      <c r="A9" s="35" t="inlineStr">
        <is>
          <t>LN100008</t>
        </is>
      </c>
      <c r="B9" s="35" t="inlineStr">
        <is>
          <t>Kavya Gupta</t>
        </is>
      </c>
      <c r="C9" s="35" t="inlineStr">
        <is>
          <t>CHN-01</t>
        </is>
      </c>
      <c r="D9" s="36">
        <f>INDEX(Branches!$C$2:$C$15,MATCH(C9,Branches!$A$2:$A$15,0))</f>
        <v/>
      </c>
      <c r="E9" s="35" t="inlineStr">
        <is>
          <t>Business Loan</t>
        </is>
      </c>
      <c r="F9" s="37" t="n">
        <v>46108</v>
      </c>
      <c r="G9" s="38" t="n">
        <v>1449000</v>
      </c>
      <c r="H9" s="39" t="n">
        <v>0.196</v>
      </c>
      <c r="I9" s="35" t="n">
        <v>24</v>
      </c>
      <c r="J9" s="35" t="n">
        <v>780</v>
      </c>
      <c r="K9" s="35" t="n">
        <v>0</v>
      </c>
      <c r="L9" s="40">
        <f>ROUND(PMT(H9/12,I9,-G9),0)</f>
        <v/>
      </c>
      <c r="M9" s="41">
        <f>MAX(0,(YEAR(AsOfDate)-YEAR(F9))*12+MONTH(AsOfDate)-MONTH(F9))</f>
        <v/>
      </c>
      <c r="N9" s="41">
        <f>MAX(0,MIN(I9,M9)-INT(K9/30))</f>
        <v/>
      </c>
      <c r="O9" s="40">
        <f>IF(N9&gt;=I9,0,ROUND(PV(H9/12,I9-N9,-L9),0))</f>
        <v/>
      </c>
      <c r="P9" s="40">
        <f>MIN(I9,M9)*L9-N9*L9</f>
        <v/>
      </c>
      <c r="Q9" s="41">
        <f>INDEX(DPD_Bucket,MATCH(K9,DPD_From,1))</f>
        <v/>
      </c>
      <c r="R9" s="41">
        <f>INDEX(DPD_Class,MATCH(K9,DPD_From,1))</f>
        <v/>
      </c>
      <c r="S9" s="41">
        <f>INDEX(DPD_NPA,MATCH(K9,DPD_From,1))</f>
        <v/>
      </c>
      <c r="T9" s="42">
        <f>INDEX(DPD_Prov,MATCH(K9,DPD_From,1))</f>
        <v/>
      </c>
      <c r="U9" s="40">
        <f>ROUND(O9*T9,0)</f>
        <v/>
      </c>
      <c r="V9" s="41">
        <f>INDEX(CIBIL_Grade,MATCH(J9,CIBIL_From,1))</f>
        <v/>
      </c>
      <c r="W9" s="41">
        <f>YEAR(F9)&amp;"-Q"&amp;ROUNDUP(MONTH(F9)/3,0)</f>
        <v/>
      </c>
      <c r="X9" s="41">
        <f>IF(AND(OR(Dashboard!$C$4="All",D9=Dashboard!$C$4),OR(Dashboard!$C$5="All",E9=Dashboard!$C$5)),1,0)</f>
        <v/>
      </c>
      <c r="Y9" s="43">
        <f>IF(AND(X9=1,S9="Yes"),O9+ROW()/1000000,0)</f>
        <v/>
      </c>
    </row>
    <row r="10">
      <c r="A10" s="35" t="inlineStr">
        <is>
          <t>LN100009</t>
        </is>
      </c>
      <c r="B10" s="35" t="inlineStr">
        <is>
          <t>Riya Reddy</t>
        </is>
      </c>
      <c r="C10" s="35" t="inlineStr">
        <is>
          <t>MUM-01</t>
        </is>
      </c>
      <c r="D10" s="36">
        <f>INDEX(Branches!$C$2:$C$15,MATCH(C10,Branches!$A$2:$A$15,0))</f>
        <v/>
      </c>
      <c r="E10" s="35" t="inlineStr">
        <is>
          <t>Business Loan</t>
        </is>
      </c>
      <c r="F10" s="37" t="n">
        <v>45738</v>
      </c>
      <c r="G10" s="38" t="n">
        <v>1128000</v>
      </c>
      <c r="H10" s="39" t="n">
        <v>0.1821</v>
      </c>
      <c r="I10" s="35" t="n">
        <v>36</v>
      </c>
      <c r="J10" s="35" t="n">
        <v>704</v>
      </c>
      <c r="K10" s="35" t="n">
        <v>0</v>
      </c>
      <c r="L10" s="40">
        <f>ROUND(PMT(H10/12,I10,-G10),0)</f>
        <v/>
      </c>
      <c r="M10" s="41">
        <f>MAX(0,(YEAR(AsOfDate)-YEAR(F10))*12+MONTH(AsOfDate)-MONTH(F10))</f>
        <v/>
      </c>
      <c r="N10" s="41">
        <f>MAX(0,MIN(I10,M10)-INT(K10/30))</f>
        <v/>
      </c>
      <c r="O10" s="40">
        <f>IF(N10&gt;=I10,0,ROUND(PV(H10/12,I10-N10,-L10),0))</f>
        <v/>
      </c>
      <c r="P10" s="40">
        <f>MIN(I10,M10)*L10-N10*L10</f>
        <v/>
      </c>
      <c r="Q10" s="41">
        <f>INDEX(DPD_Bucket,MATCH(K10,DPD_From,1))</f>
        <v/>
      </c>
      <c r="R10" s="41">
        <f>INDEX(DPD_Class,MATCH(K10,DPD_From,1))</f>
        <v/>
      </c>
      <c r="S10" s="41">
        <f>INDEX(DPD_NPA,MATCH(K10,DPD_From,1))</f>
        <v/>
      </c>
      <c r="T10" s="42">
        <f>INDEX(DPD_Prov,MATCH(K10,DPD_From,1))</f>
        <v/>
      </c>
      <c r="U10" s="40">
        <f>ROUND(O10*T10,0)</f>
        <v/>
      </c>
      <c r="V10" s="41">
        <f>INDEX(CIBIL_Grade,MATCH(J10,CIBIL_From,1))</f>
        <v/>
      </c>
      <c r="W10" s="41">
        <f>YEAR(F10)&amp;"-Q"&amp;ROUNDUP(MONTH(F10)/3,0)</f>
        <v/>
      </c>
      <c r="X10" s="41">
        <f>IF(AND(OR(Dashboard!$C$4="All",D10=Dashboard!$C$4),OR(Dashboard!$C$5="All",E10=Dashboard!$C$5)),1,0)</f>
        <v/>
      </c>
      <c r="Y10" s="43">
        <f>IF(AND(X10=1,S10="Yes"),O10+ROW()/1000000,0)</f>
        <v/>
      </c>
    </row>
    <row r="11">
      <c r="A11" s="35" t="inlineStr">
        <is>
          <t>LN100010</t>
        </is>
      </c>
      <c r="B11" s="35" t="inlineStr">
        <is>
          <t>Kavya Menon</t>
        </is>
      </c>
      <c r="C11" s="35" t="inlineStr">
        <is>
          <t>KOC-01</t>
        </is>
      </c>
      <c r="D11" s="36">
        <f>INDEX(Branches!$C$2:$C$15,MATCH(C11,Branches!$A$2:$A$15,0))</f>
        <v/>
      </c>
      <c r="E11" s="35" t="inlineStr">
        <is>
          <t>Personal Loan</t>
        </is>
      </c>
      <c r="F11" s="37" t="n">
        <v>45296</v>
      </c>
      <c r="G11" s="38" t="n">
        <v>1496000</v>
      </c>
      <c r="H11" s="39" t="n">
        <v>0.1154</v>
      </c>
      <c r="I11" s="35" t="n">
        <v>60</v>
      </c>
      <c r="J11" s="35" t="n">
        <v>689</v>
      </c>
      <c r="K11" s="35" t="n">
        <v>0</v>
      </c>
      <c r="L11" s="40">
        <f>ROUND(PMT(H11/12,I11,-G11),0)</f>
        <v/>
      </c>
      <c r="M11" s="41">
        <f>MAX(0,(YEAR(AsOfDate)-YEAR(F11))*12+MONTH(AsOfDate)-MONTH(F11))</f>
        <v/>
      </c>
      <c r="N11" s="41">
        <f>MAX(0,MIN(I11,M11)-INT(K11/30))</f>
        <v/>
      </c>
      <c r="O11" s="40">
        <f>IF(N11&gt;=I11,0,ROUND(PV(H11/12,I11-N11,-L11),0))</f>
        <v/>
      </c>
      <c r="P11" s="40">
        <f>MIN(I11,M11)*L11-N11*L11</f>
        <v/>
      </c>
      <c r="Q11" s="41">
        <f>INDEX(DPD_Bucket,MATCH(K11,DPD_From,1))</f>
        <v/>
      </c>
      <c r="R11" s="41">
        <f>INDEX(DPD_Class,MATCH(K11,DPD_From,1))</f>
        <v/>
      </c>
      <c r="S11" s="41">
        <f>INDEX(DPD_NPA,MATCH(K11,DPD_From,1))</f>
        <v/>
      </c>
      <c r="T11" s="42">
        <f>INDEX(DPD_Prov,MATCH(K11,DPD_From,1))</f>
        <v/>
      </c>
      <c r="U11" s="40">
        <f>ROUND(O11*T11,0)</f>
        <v/>
      </c>
      <c r="V11" s="41">
        <f>INDEX(CIBIL_Grade,MATCH(J11,CIBIL_From,1))</f>
        <v/>
      </c>
      <c r="W11" s="41">
        <f>YEAR(F11)&amp;"-Q"&amp;ROUNDUP(MONTH(F11)/3,0)</f>
        <v/>
      </c>
      <c r="X11" s="41">
        <f>IF(AND(OR(Dashboard!$C$4="All",D11=Dashboard!$C$4),OR(Dashboard!$C$5="All",E11=Dashboard!$C$5)),1,0)</f>
        <v/>
      </c>
      <c r="Y11" s="43">
        <f>IF(AND(X11=1,S11="Yes"),O11+ROW()/1000000,0)</f>
        <v/>
      </c>
    </row>
    <row r="12">
      <c r="A12" s="35" t="inlineStr">
        <is>
          <t>LN100011</t>
        </is>
      </c>
      <c r="B12" s="35" t="inlineStr">
        <is>
          <t>Suresh Iyer</t>
        </is>
      </c>
      <c r="C12" s="35" t="inlineStr">
        <is>
          <t>AMD-01</t>
        </is>
      </c>
      <c r="D12" s="36">
        <f>INDEX(Branches!$C$2:$C$15,MATCH(C12,Branches!$A$2:$A$15,0))</f>
        <v/>
      </c>
      <c r="E12" s="35" t="inlineStr">
        <is>
          <t>Personal Loan</t>
        </is>
      </c>
      <c r="F12" s="37" t="n">
        <v>45949</v>
      </c>
      <c r="G12" s="38" t="n">
        <v>634000</v>
      </c>
      <c r="H12" s="39" t="n">
        <v>0.1797</v>
      </c>
      <c r="I12" s="35" t="n">
        <v>12</v>
      </c>
      <c r="J12" s="35" t="n">
        <v>753</v>
      </c>
      <c r="K12" s="35" t="n">
        <v>0</v>
      </c>
      <c r="L12" s="40">
        <f>ROUND(PMT(H12/12,I12,-G12),0)</f>
        <v/>
      </c>
      <c r="M12" s="41">
        <f>MAX(0,(YEAR(AsOfDate)-YEAR(F12))*12+MONTH(AsOfDate)-MONTH(F12))</f>
        <v/>
      </c>
      <c r="N12" s="41">
        <f>MAX(0,MIN(I12,M12)-INT(K12/30))</f>
        <v/>
      </c>
      <c r="O12" s="40">
        <f>IF(N12&gt;=I12,0,ROUND(PV(H12/12,I12-N12,-L12),0))</f>
        <v/>
      </c>
      <c r="P12" s="40">
        <f>MIN(I12,M12)*L12-N12*L12</f>
        <v/>
      </c>
      <c r="Q12" s="41">
        <f>INDEX(DPD_Bucket,MATCH(K12,DPD_From,1))</f>
        <v/>
      </c>
      <c r="R12" s="41">
        <f>INDEX(DPD_Class,MATCH(K12,DPD_From,1))</f>
        <v/>
      </c>
      <c r="S12" s="41">
        <f>INDEX(DPD_NPA,MATCH(K12,DPD_From,1))</f>
        <v/>
      </c>
      <c r="T12" s="42">
        <f>INDEX(DPD_Prov,MATCH(K12,DPD_From,1))</f>
        <v/>
      </c>
      <c r="U12" s="40">
        <f>ROUND(O12*T12,0)</f>
        <v/>
      </c>
      <c r="V12" s="41">
        <f>INDEX(CIBIL_Grade,MATCH(J12,CIBIL_From,1))</f>
        <v/>
      </c>
      <c r="W12" s="41">
        <f>YEAR(F12)&amp;"-Q"&amp;ROUNDUP(MONTH(F12)/3,0)</f>
        <v/>
      </c>
      <c r="X12" s="41">
        <f>IF(AND(OR(Dashboard!$C$4="All",D12=Dashboard!$C$4),OR(Dashboard!$C$5="All",E12=Dashboard!$C$5)),1,0)</f>
        <v/>
      </c>
      <c r="Y12" s="43">
        <f>IF(AND(X12=1,S12="Yes"),O12+ROW()/1000000,0)</f>
        <v/>
      </c>
    </row>
    <row r="13">
      <c r="A13" s="35" t="inlineStr">
        <is>
          <t>LN100012</t>
        </is>
      </c>
      <c r="B13" s="35" t="inlineStr">
        <is>
          <t>Arjun Kulkarni</t>
        </is>
      </c>
      <c r="C13" s="35" t="inlineStr">
        <is>
          <t>PAT-01</t>
        </is>
      </c>
      <c r="D13" s="36">
        <f>INDEX(Branches!$C$2:$C$15,MATCH(C13,Branches!$A$2:$A$15,0))</f>
        <v/>
      </c>
      <c r="E13" s="35" t="inlineStr">
        <is>
          <t>Personal Loan</t>
        </is>
      </c>
      <c r="F13" s="37" t="n">
        <v>46150</v>
      </c>
      <c r="G13" s="38" t="n">
        <v>474000</v>
      </c>
      <c r="H13" s="39" t="n">
        <v>0.1531</v>
      </c>
      <c r="I13" s="35" t="n">
        <v>60</v>
      </c>
      <c r="J13" s="35" t="n">
        <v>761</v>
      </c>
      <c r="K13" s="35" t="n">
        <v>0</v>
      </c>
      <c r="L13" s="40">
        <f>ROUND(PMT(H13/12,I13,-G13),0)</f>
        <v/>
      </c>
      <c r="M13" s="41">
        <f>MAX(0,(YEAR(AsOfDate)-YEAR(F13))*12+MONTH(AsOfDate)-MONTH(F13))</f>
        <v/>
      </c>
      <c r="N13" s="41">
        <f>MAX(0,MIN(I13,M13)-INT(K13/30))</f>
        <v/>
      </c>
      <c r="O13" s="40">
        <f>IF(N13&gt;=I13,0,ROUND(PV(H13/12,I13-N13,-L13),0))</f>
        <v/>
      </c>
      <c r="P13" s="40">
        <f>MIN(I13,M13)*L13-N13*L13</f>
        <v/>
      </c>
      <c r="Q13" s="41">
        <f>INDEX(DPD_Bucket,MATCH(K13,DPD_From,1))</f>
        <v/>
      </c>
      <c r="R13" s="41">
        <f>INDEX(DPD_Class,MATCH(K13,DPD_From,1))</f>
        <v/>
      </c>
      <c r="S13" s="41">
        <f>INDEX(DPD_NPA,MATCH(K13,DPD_From,1))</f>
        <v/>
      </c>
      <c r="T13" s="42">
        <f>INDEX(DPD_Prov,MATCH(K13,DPD_From,1))</f>
        <v/>
      </c>
      <c r="U13" s="40">
        <f>ROUND(O13*T13,0)</f>
        <v/>
      </c>
      <c r="V13" s="41">
        <f>INDEX(CIBIL_Grade,MATCH(J13,CIBIL_From,1))</f>
        <v/>
      </c>
      <c r="W13" s="41">
        <f>YEAR(F13)&amp;"-Q"&amp;ROUNDUP(MONTH(F13)/3,0)</f>
        <v/>
      </c>
      <c r="X13" s="41">
        <f>IF(AND(OR(Dashboard!$C$4="All",D13=Dashboard!$C$4),OR(Dashboard!$C$5="All",E13=Dashboard!$C$5)),1,0)</f>
        <v/>
      </c>
      <c r="Y13" s="43">
        <f>IF(AND(X13=1,S13="Yes"),O13+ROW()/1000000,0)</f>
        <v/>
      </c>
    </row>
    <row r="14">
      <c r="A14" s="35" t="inlineStr">
        <is>
          <t>LN100013</t>
        </is>
      </c>
      <c r="B14" s="35" t="inlineStr">
        <is>
          <t>Ananya Chatterjee</t>
        </is>
      </c>
      <c r="C14" s="35" t="inlineStr">
        <is>
          <t>PAT-01</t>
        </is>
      </c>
      <c r="D14" s="36">
        <f>INDEX(Branches!$C$2:$C$15,MATCH(C14,Branches!$A$2:$A$15,0))</f>
        <v/>
      </c>
      <c r="E14" s="35" t="inlineStr">
        <is>
          <t>Home Loan</t>
        </is>
      </c>
      <c r="F14" s="37" t="n">
        <v>45850</v>
      </c>
      <c r="G14" s="38" t="n">
        <v>4322000</v>
      </c>
      <c r="H14" s="39" t="n">
        <v>0.0968</v>
      </c>
      <c r="I14" s="35" t="n">
        <v>180</v>
      </c>
      <c r="J14" s="35" t="n">
        <v>604</v>
      </c>
      <c r="K14" s="35" t="n">
        <v>0</v>
      </c>
      <c r="L14" s="40">
        <f>ROUND(PMT(H14/12,I14,-G14),0)</f>
        <v/>
      </c>
      <c r="M14" s="41">
        <f>MAX(0,(YEAR(AsOfDate)-YEAR(F14))*12+MONTH(AsOfDate)-MONTH(F14))</f>
        <v/>
      </c>
      <c r="N14" s="41">
        <f>MAX(0,MIN(I14,M14)-INT(K14/30))</f>
        <v/>
      </c>
      <c r="O14" s="40">
        <f>IF(N14&gt;=I14,0,ROUND(PV(H14/12,I14-N14,-L14),0))</f>
        <v/>
      </c>
      <c r="P14" s="40">
        <f>MIN(I14,M14)*L14-N14*L14</f>
        <v/>
      </c>
      <c r="Q14" s="41">
        <f>INDEX(DPD_Bucket,MATCH(K14,DPD_From,1))</f>
        <v/>
      </c>
      <c r="R14" s="41">
        <f>INDEX(DPD_Class,MATCH(K14,DPD_From,1))</f>
        <v/>
      </c>
      <c r="S14" s="41">
        <f>INDEX(DPD_NPA,MATCH(K14,DPD_From,1))</f>
        <v/>
      </c>
      <c r="T14" s="42">
        <f>INDEX(DPD_Prov,MATCH(K14,DPD_From,1))</f>
        <v/>
      </c>
      <c r="U14" s="40">
        <f>ROUND(O14*T14,0)</f>
        <v/>
      </c>
      <c r="V14" s="41">
        <f>INDEX(CIBIL_Grade,MATCH(J14,CIBIL_From,1))</f>
        <v/>
      </c>
      <c r="W14" s="41">
        <f>YEAR(F14)&amp;"-Q"&amp;ROUNDUP(MONTH(F14)/3,0)</f>
        <v/>
      </c>
      <c r="X14" s="41">
        <f>IF(AND(OR(Dashboard!$C$4="All",D14=Dashboard!$C$4),OR(Dashboard!$C$5="All",E14=Dashboard!$C$5)),1,0)</f>
        <v/>
      </c>
      <c r="Y14" s="43">
        <f>IF(AND(X14=1,S14="Yes"),O14+ROW()/1000000,0)</f>
        <v/>
      </c>
    </row>
    <row r="15">
      <c r="A15" s="35" t="inlineStr">
        <is>
          <t>LN100014</t>
        </is>
      </c>
      <c r="B15" s="35" t="inlineStr">
        <is>
          <t>Sai Menon</t>
        </is>
      </c>
      <c r="C15" s="35" t="inlineStr">
        <is>
          <t>PAT-01</t>
        </is>
      </c>
      <c r="D15" s="36">
        <f>INDEX(Branches!$C$2:$C$15,MATCH(C15,Branches!$A$2:$A$15,0))</f>
        <v/>
      </c>
      <c r="E15" s="35" t="inlineStr">
        <is>
          <t>Business Loan</t>
        </is>
      </c>
      <c r="F15" s="37" t="n">
        <v>45134</v>
      </c>
      <c r="G15" s="38" t="n">
        <v>1227000</v>
      </c>
      <c r="H15" s="39" t="n">
        <v>0.1967</v>
      </c>
      <c r="I15" s="35" t="n">
        <v>36</v>
      </c>
      <c r="J15" s="35" t="n">
        <v>774</v>
      </c>
      <c r="K15" s="35" t="n">
        <v>0</v>
      </c>
      <c r="L15" s="40">
        <f>ROUND(PMT(H15/12,I15,-G15),0)</f>
        <v/>
      </c>
      <c r="M15" s="41">
        <f>MAX(0,(YEAR(AsOfDate)-YEAR(F15))*12+MONTH(AsOfDate)-MONTH(F15))</f>
        <v/>
      </c>
      <c r="N15" s="41">
        <f>MAX(0,MIN(I15,M15)-INT(K15/30))</f>
        <v/>
      </c>
      <c r="O15" s="40">
        <f>IF(N15&gt;=I15,0,ROUND(PV(H15/12,I15-N15,-L15),0))</f>
        <v/>
      </c>
      <c r="P15" s="40">
        <f>MIN(I15,M15)*L15-N15*L15</f>
        <v/>
      </c>
      <c r="Q15" s="41">
        <f>INDEX(DPD_Bucket,MATCH(K15,DPD_From,1))</f>
        <v/>
      </c>
      <c r="R15" s="41">
        <f>INDEX(DPD_Class,MATCH(K15,DPD_From,1))</f>
        <v/>
      </c>
      <c r="S15" s="41">
        <f>INDEX(DPD_NPA,MATCH(K15,DPD_From,1))</f>
        <v/>
      </c>
      <c r="T15" s="42">
        <f>INDEX(DPD_Prov,MATCH(K15,DPD_From,1))</f>
        <v/>
      </c>
      <c r="U15" s="40">
        <f>ROUND(O15*T15,0)</f>
        <v/>
      </c>
      <c r="V15" s="41">
        <f>INDEX(CIBIL_Grade,MATCH(J15,CIBIL_From,1))</f>
        <v/>
      </c>
      <c r="W15" s="41">
        <f>YEAR(F15)&amp;"-Q"&amp;ROUNDUP(MONTH(F15)/3,0)</f>
        <v/>
      </c>
      <c r="X15" s="41">
        <f>IF(AND(OR(Dashboard!$C$4="All",D15=Dashboard!$C$4),OR(Dashboard!$C$5="All",E15=Dashboard!$C$5)),1,0)</f>
        <v/>
      </c>
      <c r="Y15" s="43">
        <f>IF(AND(X15=1,S15="Yes"),O15+ROW()/1000000,0)</f>
        <v/>
      </c>
    </row>
    <row r="16">
      <c r="A16" s="35" t="inlineStr">
        <is>
          <t>LN100015</t>
        </is>
      </c>
      <c r="B16" s="35" t="inlineStr">
        <is>
          <t>Tanvi Singh</t>
        </is>
      </c>
      <c r="C16" s="35" t="inlineStr">
        <is>
          <t>KOC-01</t>
        </is>
      </c>
      <c r="D16" s="36">
        <f>INDEX(Branches!$C$2:$C$15,MATCH(C16,Branches!$A$2:$A$15,0))</f>
        <v/>
      </c>
      <c r="E16" s="35" t="inlineStr">
        <is>
          <t>Gold Loan</t>
        </is>
      </c>
      <c r="F16" s="37" t="n">
        <v>45510</v>
      </c>
      <c r="G16" s="38" t="n">
        <v>76000</v>
      </c>
      <c r="H16" s="39" t="n">
        <v>0.1163</v>
      </c>
      <c r="I16" s="35" t="n">
        <v>6</v>
      </c>
      <c r="J16" s="35" t="n">
        <v>708</v>
      </c>
      <c r="K16" s="35" t="n">
        <v>0</v>
      </c>
      <c r="L16" s="40">
        <f>ROUND(PMT(H16/12,I16,-G16),0)</f>
        <v/>
      </c>
      <c r="M16" s="41">
        <f>MAX(0,(YEAR(AsOfDate)-YEAR(F16))*12+MONTH(AsOfDate)-MONTH(F16))</f>
        <v/>
      </c>
      <c r="N16" s="41">
        <f>MAX(0,MIN(I16,M16)-INT(K16/30))</f>
        <v/>
      </c>
      <c r="O16" s="40">
        <f>IF(N16&gt;=I16,0,ROUND(PV(H16/12,I16-N16,-L16),0))</f>
        <v/>
      </c>
      <c r="P16" s="40">
        <f>MIN(I16,M16)*L16-N16*L16</f>
        <v/>
      </c>
      <c r="Q16" s="41">
        <f>INDEX(DPD_Bucket,MATCH(K16,DPD_From,1))</f>
        <v/>
      </c>
      <c r="R16" s="41">
        <f>INDEX(DPD_Class,MATCH(K16,DPD_From,1))</f>
        <v/>
      </c>
      <c r="S16" s="41">
        <f>INDEX(DPD_NPA,MATCH(K16,DPD_From,1))</f>
        <v/>
      </c>
      <c r="T16" s="42">
        <f>INDEX(DPD_Prov,MATCH(K16,DPD_From,1))</f>
        <v/>
      </c>
      <c r="U16" s="40">
        <f>ROUND(O16*T16,0)</f>
        <v/>
      </c>
      <c r="V16" s="41">
        <f>INDEX(CIBIL_Grade,MATCH(J16,CIBIL_From,1))</f>
        <v/>
      </c>
      <c r="W16" s="41">
        <f>YEAR(F16)&amp;"-Q"&amp;ROUNDUP(MONTH(F16)/3,0)</f>
        <v/>
      </c>
      <c r="X16" s="41">
        <f>IF(AND(OR(Dashboard!$C$4="All",D16=Dashboard!$C$4),OR(Dashboard!$C$5="All",E16=Dashboard!$C$5)),1,0)</f>
        <v/>
      </c>
      <c r="Y16" s="43">
        <f>IF(AND(X16=1,S16="Yes"),O16+ROW()/1000000,0)</f>
        <v/>
      </c>
    </row>
    <row r="17">
      <c r="A17" s="35" t="inlineStr">
        <is>
          <t>LN100016</t>
        </is>
      </c>
      <c r="B17" s="35" t="inlineStr">
        <is>
          <t>Manish Kulkarni</t>
        </is>
      </c>
      <c r="C17" s="35" t="inlineStr">
        <is>
          <t>PAT-01</t>
        </is>
      </c>
      <c r="D17" s="36">
        <f>INDEX(Branches!$C$2:$C$15,MATCH(C17,Branches!$A$2:$A$15,0))</f>
        <v/>
      </c>
      <c r="E17" s="35" t="inlineStr">
        <is>
          <t>Gold Loan</t>
        </is>
      </c>
      <c r="F17" s="37" t="n">
        <v>45178</v>
      </c>
      <c r="G17" s="38" t="n">
        <v>107000</v>
      </c>
      <c r="H17" s="39" t="n">
        <v>0.1098</v>
      </c>
      <c r="I17" s="35" t="n">
        <v>6</v>
      </c>
      <c r="J17" s="35" t="n">
        <v>736</v>
      </c>
      <c r="K17" s="35" t="n">
        <v>0</v>
      </c>
      <c r="L17" s="40">
        <f>ROUND(PMT(H17/12,I17,-G17),0)</f>
        <v/>
      </c>
      <c r="M17" s="41">
        <f>MAX(0,(YEAR(AsOfDate)-YEAR(F17))*12+MONTH(AsOfDate)-MONTH(F17))</f>
        <v/>
      </c>
      <c r="N17" s="41">
        <f>MAX(0,MIN(I17,M17)-INT(K17/30))</f>
        <v/>
      </c>
      <c r="O17" s="40">
        <f>IF(N17&gt;=I17,0,ROUND(PV(H17/12,I17-N17,-L17),0))</f>
        <v/>
      </c>
      <c r="P17" s="40">
        <f>MIN(I17,M17)*L17-N17*L17</f>
        <v/>
      </c>
      <c r="Q17" s="41">
        <f>INDEX(DPD_Bucket,MATCH(K17,DPD_From,1))</f>
        <v/>
      </c>
      <c r="R17" s="41">
        <f>INDEX(DPD_Class,MATCH(K17,DPD_From,1))</f>
        <v/>
      </c>
      <c r="S17" s="41">
        <f>INDEX(DPD_NPA,MATCH(K17,DPD_From,1))</f>
        <v/>
      </c>
      <c r="T17" s="42">
        <f>INDEX(DPD_Prov,MATCH(K17,DPD_From,1))</f>
        <v/>
      </c>
      <c r="U17" s="40">
        <f>ROUND(O17*T17,0)</f>
        <v/>
      </c>
      <c r="V17" s="41">
        <f>INDEX(CIBIL_Grade,MATCH(J17,CIBIL_From,1))</f>
        <v/>
      </c>
      <c r="W17" s="41">
        <f>YEAR(F17)&amp;"-Q"&amp;ROUNDUP(MONTH(F17)/3,0)</f>
        <v/>
      </c>
      <c r="X17" s="41">
        <f>IF(AND(OR(Dashboard!$C$4="All",D17=Dashboard!$C$4),OR(Dashboard!$C$5="All",E17=Dashboard!$C$5)),1,0)</f>
        <v/>
      </c>
      <c r="Y17" s="43">
        <f>IF(AND(X17=1,S17="Yes"),O17+ROW()/1000000,0)</f>
        <v/>
      </c>
    </row>
    <row r="18">
      <c r="A18" s="35" t="inlineStr">
        <is>
          <t>LN100017</t>
        </is>
      </c>
      <c r="B18" s="35" t="inlineStr">
        <is>
          <t>Harsh Kulkarni</t>
        </is>
      </c>
      <c r="C18" s="35" t="inlineStr">
        <is>
          <t>PAT-01</t>
        </is>
      </c>
      <c r="D18" s="36">
        <f>INDEX(Branches!$C$2:$C$15,MATCH(C18,Branches!$A$2:$A$15,0))</f>
        <v/>
      </c>
      <c r="E18" s="35" t="inlineStr">
        <is>
          <t>Gold Loan</t>
        </is>
      </c>
      <c r="F18" s="37" t="n">
        <v>45631</v>
      </c>
      <c r="G18" s="38" t="n">
        <v>378000</v>
      </c>
      <c r="H18" s="39" t="n">
        <v>0.096</v>
      </c>
      <c r="I18" s="35" t="n">
        <v>6</v>
      </c>
      <c r="J18" s="35" t="n">
        <v>661</v>
      </c>
      <c r="K18" s="35" t="n">
        <v>0</v>
      </c>
      <c r="L18" s="40">
        <f>ROUND(PMT(H18/12,I18,-G18),0)</f>
        <v/>
      </c>
      <c r="M18" s="41">
        <f>MAX(0,(YEAR(AsOfDate)-YEAR(F18))*12+MONTH(AsOfDate)-MONTH(F18))</f>
        <v/>
      </c>
      <c r="N18" s="41">
        <f>MAX(0,MIN(I18,M18)-INT(K18/30))</f>
        <v/>
      </c>
      <c r="O18" s="40">
        <f>IF(N18&gt;=I18,0,ROUND(PV(H18/12,I18-N18,-L18),0))</f>
        <v/>
      </c>
      <c r="P18" s="40">
        <f>MIN(I18,M18)*L18-N18*L18</f>
        <v/>
      </c>
      <c r="Q18" s="41">
        <f>INDEX(DPD_Bucket,MATCH(K18,DPD_From,1))</f>
        <v/>
      </c>
      <c r="R18" s="41">
        <f>INDEX(DPD_Class,MATCH(K18,DPD_From,1))</f>
        <v/>
      </c>
      <c r="S18" s="41">
        <f>INDEX(DPD_NPA,MATCH(K18,DPD_From,1))</f>
        <v/>
      </c>
      <c r="T18" s="42">
        <f>INDEX(DPD_Prov,MATCH(K18,DPD_From,1))</f>
        <v/>
      </c>
      <c r="U18" s="40">
        <f>ROUND(O18*T18,0)</f>
        <v/>
      </c>
      <c r="V18" s="41">
        <f>INDEX(CIBIL_Grade,MATCH(J18,CIBIL_From,1))</f>
        <v/>
      </c>
      <c r="W18" s="41">
        <f>YEAR(F18)&amp;"-Q"&amp;ROUNDUP(MONTH(F18)/3,0)</f>
        <v/>
      </c>
      <c r="X18" s="41">
        <f>IF(AND(OR(Dashboard!$C$4="All",D18=Dashboard!$C$4),OR(Dashboard!$C$5="All",E18=Dashboard!$C$5)),1,0)</f>
        <v/>
      </c>
      <c r="Y18" s="43">
        <f>IF(AND(X18=1,S18="Yes"),O18+ROW()/1000000,0)</f>
        <v/>
      </c>
    </row>
    <row r="19">
      <c r="A19" s="35" t="inlineStr">
        <is>
          <t>LN100018</t>
        </is>
      </c>
      <c r="B19" s="35" t="inlineStr">
        <is>
          <t>Riya Nair</t>
        </is>
      </c>
      <c r="C19" s="35" t="inlineStr">
        <is>
          <t>KOC-01</t>
        </is>
      </c>
      <c r="D19" s="36">
        <f>INDEX(Branches!$C$2:$C$15,MATCH(C19,Branches!$A$2:$A$15,0))</f>
        <v/>
      </c>
      <c r="E19" s="35" t="inlineStr">
        <is>
          <t>Auto Loan</t>
        </is>
      </c>
      <c r="F19" s="37" t="n">
        <v>45276</v>
      </c>
      <c r="G19" s="38" t="n">
        <v>760000</v>
      </c>
      <c r="H19" s="39" t="n">
        <v>0.09950000000000001</v>
      </c>
      <c r="I19" s="35" t="n">
        <v>60</v>
      </c>
      <c r="J19" s="35" t="n">
        <v>722</v>
      </c>
      <c r="K19" s="35" t="n">
        <v>0</v>
      </c>
      <c r="L19" s="40">
        <f>ROUND(PMT(H19/12,I19,-G19),0)</f>
        <v/>
      </c>
      <c r="M19" s="41">
        <f>MAX(0,(YEAR(AsOfDate)-YEAR(F19))*12+MONTH(AsOfDate)-MONTH(F19))</f>
        <v/>
      </c>
      <c r="N19" s="41">
        <f>MAX(0,MIN(I19,M19)-INT(K19/30))</f>
        <v/>
      </c>
      <c r="O19" s="40">
        <f>IF(N19&gt;=I19,0,ROUND(PV(H19/12,I19-N19,-L19),0))</f>
        <v/>
      </c>
      <c r="P19" s="40">
        <f>MIN(I19,M19)*L19-N19*L19</f>
        <v/>
      </c>
      <c r="Q19" s="41">
        <f>INDEX(DPD_Bucket,MATCH(K19,DPD_From,1))</f>
        <v/>
      </c>
      <c r="R19" s="41">
        <f>INDEX(DPD_Class,MATCH(K19,DPD_From,1))</f>
        <v/>
      </c>
      <c r="S19" s="41">
        <f>INDEX(DPD_NPA,MATCH(K19,DPD_From,1))</f>
        <v/>
      </c>
      <c r="T19" s="42">
        <f>INDEX(DPD_Prov,MATCH(K19,DPD_From,1))</f>
        <v/>
      </c>
      <c r="U19" s="40">
        <f>ROUND(O19*T19,0)</f>
        <v/>
      </c>
      <c r="V19" s="41">
        <f>INDEX(CIBIL_Grade,MATCH(J19,CIBIL_From,1))</f>
        <v/>
      </c>
      <c r="W19" s="41">
        <f>YEAR(F19)&amp;"-Q"&amp;ROUNDUP(MONTH(F19)/3,0)</f>
        <v/>
      </c>
      <c r="X19" s="41">
        <f>IF(AND(OR(Dashboard!$C$4="All",D19=Dashboard!$C$4),OR(Dashboard!$C$5="All",E19=Dashboard!$C$5)),1,0)</f>
        <v/>
      </c>
      <c r="Y19" s="43">
        <f>IF(AND(X19=1,S19="Yes"),O19+ROW()/1000000,0)</f>
        <v/>
      </c>
    </row>
    <row r="20">
      <c r="A20" s="35" t="inlineStr">
        <is>
          <t>LN100019</t>
        </is>
      </c>
      <c r="B20" s="35" t="inlineStr">
        <is>
          <t>Deepa Pillai</t>
        </is>
      </c>
      <c r="C20" s="35" t="inlineStr">
        <is>
          <t>KOC-01</t>
        </is>
      </c>
      <c r="D20" s="36">
        <f>INDEX(Branches!$C$2:$C$15,MATCH(C20,Branches!$A$2:$A$15,0))</f>
        <v/>
      </c>
      <c r="E20" s="35" t="inlineStr">
        <is>
          <t>Personal Loan</t>
        </is>
      </c>
      <c r="F20" s="37" t="n">
        <v>45722</v>
      </c>
      <c r="G20" s="38" t="n">
        <v>855000</v>
      </c>
      <c r="H20" s="39" t="n">
        <v>0.1593</v>
      </c>
      <c r="I20" s="35" t="n">
        <v>24</v>
      </c>
      <c r="J20" s="35" t="n">
        <v>821</v>
      </c>
      <c r="K20" s="35" t="n">
        <v>62</v>
      </c>
      <c r="L20" s="40">
        <f>ROUND(PMT(H20/12,I20,-G20),0)</f>
        <v/>
      </c>
      <c r="M20" s="41">
        <f>MAX(0,(YEAR(AsOfDate)-YEAR(F20))*12+MONTH(AsOfDate)-MONTH(F20))</f>
        <v/>
      </c>
      <c r="N20" s="41">
        <f>MAX(0,MIN(I20,M20)-INT(K20/30))</f>
        <v/>
      </c>
      <c r="O20" s="40">
        <f>IF(N20&gt;=I20,0,ROUND(PV(H20/12,I20-N20,-L20),0))</f>
        <v/>
      </c>
      <c r="P20" s="40">
        <f>MIN(I20,M20)*L20-N20*L20</f>
        <v/>
      </c>
      <c r="Q20" s="41">
        <f>INDEX(DPD_Bucket,MATCH(K20,DPD_From,1))</f>
        <v/>
      </c>
      <c r="R20" s="41">
        <f>INDEX(DPD_Class,MATCH(K20,DPD_From,1))</f>
        <v/>
      </c>
      <c r="S20" s="41">
        <f>INDEX(DPD_NPA,MATCH(K20,DPD_From,1))</f>
        <v/>
      </c>
      <c r="T20" s="42">
        <f>INDEX(DPD_Prov,MATCH(K20,DPD_From,1))</f>
        <v/>
      </c>
      <c r="U20" s="40">
        <f>ROUND(O20*T20,0)</f>
        <v/>
      </c>
      <c r="V20" s="41">
        <f>INDEX(CIBIL_Grade,MATCH(J20,CIBIL_From,1))</f>
        <v/>
      </c>
      <c r="W20" s="41">
        <f>YEAR(F20)&amp;"-Q"&amp;ROUNDUP(MONTH(F20)/3,0)</f>
        <v/>
      </c>
      <c r="X20" s="41">
        <f>IF(AND(OR(Dashboard!$C$4="All",D20=Dashboard!$C$4),OR(Dashboard!$C$5="All",E20=Dashboard!$C$5)),1,0)</f>
        <v/>
      </c>
      <c r="Y20" s="43">
        <f>IF(AND(X20=1,S20="Yes"),O20+ROW()/1000000,0)</f>
        <v/>
      </c>
    </row>
    <row r="21">
      <c r="A21" s="35" t="inlineStr">
        <is>
          <t>LN100020</t>
        </is>
      </c>
      <c r="B21" s="35" t="inlineStr">
        <is>
          <t>Nikhil Khan</t>
        </is>
      </c>
      <c r="C21" s="35" t="inlineStr">
        <is>
          <t>KOC-01</t>
        </is>
      </c>
      <c r="D21" s="36">
        <f>INDEX(Branches!$C$2:$C$15,MATCH(C21,Branches!$A$2:$A$15,0))</f>
        <v/>
      </c>
      <c r="E21" s="35" t="inlineStr">
        <is>
          <t>Gold Loan</t>
        </is>
      </c>
      <c r="F21" s="37" t="n">
        <v>45676</v>
      </c>
      <c r="G21" s="38" t="n">
        <v>92000</v>
      </c>
      <c r="H21" s="39" t="n">
        <v>0.1098</v>
      </c>
      <c r="I21" s="35" t="n">
        <v>12</v>
      </c>
      <c r="J21" s="35" t="n">
        <v>738</v>
      </c>
      <c r="K21" s="35" t="n">
        <v>0</v>
      </c>
      <c r="L21" s="40">
        <f>ROUND(PMT(H21/12,I21,-G21),0)</f>
        <v/>
      </c>
      <c r="M21" s="41">
        <f>MAX(0,(YEAR(AsOfDate)-YEAR(F21))*12+MONTH(AsOfDate)-MONTH(F21))</f>
        <v/>
      </c>
      <c r="N21" s="41">
        <f>MAX(0,MIN(I21,M21)-INT(K21/30))</f>
        <v/>
      </c>
      <c r="O21" s="40">
        <f>IF(N21&gt;=I21,0,ROUND(PV(H21/12,I21-N21,-L21),0))</f>
        <v/>
      </c>
      <c r="P21" s="40">
        <f>MIN(I21,M21)*L21-N21*L21</f>
        <v/>
      </c>
      <c r="Q21" s="41">
        <f>INDEX(DPD_Bucket,MATCH(K21,DPD_From,1))</f>
        <v/>
      </c>
      <c r="R21" s="41">
        <f>INDEX(DPD_Class,MATCH(K21,DPD_From,1))</f>
        <v/>
      </c>
      <c r="S21" s="41">
        <f>INDEX(DPD_NPA,MATCH(K21,DPD_From,1))</f>
        <v/>
      </c>
      <c r="T21" s="42">
        <f>INDEX(DPD_Prov,MATCH(K21,DPD_From,1))</f>
        <v/>
      </c>
      <c r="U21" s="40">
        <f>ROUND(O21*T21,0)</f>
        <v/>
      </c>
      <c r="V21" s="41">
        <f>INDEX(CIBIL_Grade,MATCH(J21,CIBIL_From,1))</f>
        <v/>
      </c>
      <c r="W21" s="41">
        <f>YEAR(F21)&amp;"-Q"&amp;ROUNDUP(MONTH(F21)/3,0)</f>
        <v/>
      </c>
      <c r="X21" s="41">
        <f>IF(AND(OR(Dashboard!$C$4="All",D21=Dashboard!$C$4),OR(Dashboard!$C$5="All",E21=Dashboard!$C$5)),1,0)</f>
        <v/>
      </c>
      <c r="Y21" s="43">
        <f>IF(AND(X21=1,S21="Yes"),O21+ROW()/1000000,0)</f>
        <v/>
      </c>
    </row>
    <row r="22">
      <c r="A22" s="35" t="inlineStr">
        <is>
          <t>LN100021</t>
        </is>
      </c>
      <c r="B22" s="35" t="inlineStr">
        <is>
          <t>Lakshmi Nair</t>
        </is>
      </c>
      <c r="C22" s="35" t="inlineStr">
        <is>
          <t>BLR-01</t>
        </is>
      </c>
      <c r="D22" s="36">
        <f>INDEX(Branches!$C$2:$C$15,MATCH(C22,Branches!$A$2:$A$15,0))</f>
        <v/>
      </c>
      <c r="E22" s="35" t="inlineStr">
        <is>
          <t>Auto Loan</t>
        </is>
      </c>
      <c r="F22" s="37" t="n">
        <v>45217</v>
      </c>
      <c r="G22" s="38" t="n">
        <v>1044000</v>
      </c>
      <c r="H22" s="39" t="n">
        <v>0.09950000000000001</v>
      </c>
      <c r="I22" s="35" t="n">
        <v>84</v>
      </c>
      <c r="J22" s="35" t="n">
        <v>747</v>
      </c>
      <c r="K22" s="35" t="n">
        <v>0</v>
      </c>
      <c r="L22" s="40">
        <f>ROUND(PMT(H22/12,I22,-G22),0)</f>
        <v/>
      </c>
      <c r="M22" s="41">
        <f>MAX(0,(YEAR(AsOfDate)-YEAR(F22))*12+MONTH(AsOfDate)-MONTH(F22))</f>
        <v/>
      </c>
      <c r="N22" s="41">
        <f>MAX(0,MIN(I22,M22)-INT(K22/30))</f>
        <v/>
      </c>
      <c r="O22" s="40">
        <f>IF(N22&gt;=I22,0,ROUND(PV(H22/12,I22-N22,-L22),0))</f>
        <v/>
      </c>
      <c r="P22" s="40">
        <f>MIN(I22,M22)*L22-N22*L22</f>
        <v/>
      </c>
      <c r="Q22" s="41">
        <f>INDEX(DPD_Bucket,MATCH(K22,DPD_From,1))</f>
        <v/>
      </c>
      <c r="R22" s="41">
        <f>INDEX(DPD_Class,MATCH(K22,DPD_From,1))</f>
        <v/>
      </c>
      <c r="S22" s="41">
        <f>INDEX(DPD_NPA,MATCH(K22,DPD_From,1))</f>
        <v/>
      </c>
      <c r="T22" s="42">
        <f>INDEX(DPD_Prov,MATCH(K22,DPD_From,1))</f>
        <v/>
      </c>
      <c r="U22" s="40">
        <f>ROUND(O22*T22,0)</f>
        <v/>
      </c>
      <c r="V22" s="41">
        <f>INDEX(CIBIL_Grade,MATCH(J22,CIBIL_From,1))</f>
        <v/>
      </c>
      <c r="W22" s="41">
        <f>YEAR(F22)&amp;"-Q"&amp;ROUNDUP(MONTH(F22)/3,0)</f>
        <v/>
      </c>
      <c r="X22" s="41">
        <f>IF(AND(OR(Dashboard!$C$4="All",D22=Dashboard!$C$4),OR(Dashboard!$C$5="All",E22=Dashboard!$C$5)),1,0)</f>
        <v/>
      </c>
      <c r="Y22" s="43">
        <f>IF(AND(X22=1,S22="Yes"),O22+ROW()/1000000,0)</f>
        <v/>
      </c>
    </row>
    <row r="23">
      <c r="A23" s="35" t="inlineStr">
        <is>
          <t>LN100022</t>
        </is>
      </c>
      <c r="B23" s="35" t="inlineStr">
        <is>
          <t>Riya Reddy</t>
        </is>
      </c>
      <c r="C23" s="35" t="inlineStr">
        <is>
          <t>AMD-01</t>
        </is>
      </c>
      <c r="D23" s="36">
        <f>INDEX(Branches!$C$2:$C$15,MATCH(C23,Branches!$A$2:$A$15,0))</f>
        <v/>
      </c>
      <c r="E23" s="35" t="inlineStr">
        <is>
          <t>Business Loan</t>
        </is>
      </c>
      <c r="F23" s="37" t="n">
        <v>45781</v>
      </c>
      <c r="G23" s="38" t="n">
        <v>1326000</v>
      </c>
      <c r="H23" s="39" t="n">
        <v>0.1624</v>
      </c>
      <c r="I23" s="35" t="n">
        <v>24</v>
      </c>
      <c r="J23" s="35" t="n">
        <v>721</v>
      </c>
      <c r="K23" s="35" t="n">
        <v>0</v>
      </c>
      <c r="L23" s="40">
        <f>ROUND(PMT(H23/12,I23,-G23),0)</f>
        <v/>
      </c>
      <c r="M23" s="41">
        <f>MAX(0,(YEAR(AsOfDate)-YEAR(F23))*12+MONTH(AsOfDate)-MONTH(F23))</f>
        <v/>
      </c>
      <c r="N23" s="41">
        <f>MAX(0,MIN(I23,M23)-INT(K23/30))</f>
        <v/>
      </c>
      <c r="O23" s="40">
        <f>IF(N23&gt;=I23,0,ROUND(PV(H23/12,I23-N23,-L23),0))</f>
        <v/>
      </c>
      <c r="P23" s="40">
        <f>MIN(I23,M23)*L23-N23*L23</f>
        <v/>
      </c>
      <c r="Q23" s="41">
        <f>INDEX(DPD_Bucket,MATCH(K23,DPD_From,1))</f>
        <v/>
      </c>
      <c r="R23" s="41">
        <f>INDEX(DPD_Class,MATCH(K23,DPD_From,1))</f>
        <v/>
      </c>
      <c r="S23" s="41">
        <f>INDEX(DPD_NPA,MATCH(K23,DPD_From,1))</f>
        <v/>
      </c>
      <c r="T23" s="42">
        <f>INDEX(DPD_Prov,MATCH(K23,DPD_From,1))</f>
        <v/>
      </c>
      <c r="U23" s="40">
        <f>ROUND(O23*T23,0)</f>
        <v/>
      </c>
      <c r="V23" s="41">
        <f>INDEX(CIBIL_Grade,MATCH(J23,CIBIL_From,1))</f>
        <v/>
      </c>
      <c r="W23" s="41">
        <f>YEAR(F23)&amp;"-Q"&amp;ROUNDUP(MONTH(F23)/3,0)</f>
        <v/>
      </c>
      <c r="X23" s="41">
        <f>IF(AND(OR(Dashboard!$C$4="All",D23=Dashboard!$C$4),OR(Dashboard!$C$5="All",E23=Dashboard!$C$5)),1,0)</f>
        <v/>
      </c>
      <c r="Y23" s="43">
        <f>IF(AND(X23=1,S23="Yes"),O23+ROW()/1000000,0)</f>
        <v/>
      </c>
    </row>
    <row r="24">
      <c r="A24" s="35" t="inlineStr">
        <is>
          <t>LN100023</t>
        </is>
      </c>
      <c r="B24" s="35" t="inlineStr">
        <is>
          <t>Pooja Pillai</t>
        </is>
      </c>
      <c r="C24" s="35" t="inlineStr">
        <is>
          <t>KOC-01</t>
        </is>
      </c>
      <c r="D24" s="36">
        <f>INDEX(Branches!$C$2:$C$15,MATCH(C24,Branches!$A$2:$A$15,0))</f>
        <v/>
      </c>
      <c r="E24" s="35" t="inlineStr">
        <is>
          <t>Business Loan</t>
        </is>
      </c>
      <c r="F24" s="37" t="n">
        <v>45266</v>
      </c>
      <c r="G24" s="38" t="n">
        <v>4391000</v>
      </c>
      <c r="H24" s="39" t="n">
        <v>0.1932</v>
      </c>
      <c r="I24" s="35" t="n">
        <v>12</v>
      </c>
      <c r="J24" s="35" t="n">
        <v>773</v>
      </c>
      <c r="K24" s="35" t="n">
        <v>0</v>
      </c>
      <c r="L24" s="40">
        <f>ROUND(PMT(H24/12,I24,-G24),0)</f>
        <v/>
      </c>
      <c r="M24" s="41">
        <f>MAX(0,(YEAR(AsOfDate)-YEAR(F24))*12+MONTH(AsOfDate)-MONTH(F24))</f>
        <v/>
      </c>
      <c r="N24" s="41">
        <f>MAX(0,MIN(I24,M24)-INT(K24/30))</f>
        <v/>
      </c>
      <c r="O24" s="40">
        <f>IF(N24&gt;=I24,0,ROUND(PV(H24/12,I24-N24,-L24),0))</f>
        <v/>
      </c>
      <c r="P24" s="40">
        <f>MIN(I24,M24)*L24-N24*L24</f>
        <v/>
      </c>
      <c r="Q24" s="41">
        <f>INDEX(DPD_Bucket,MATCH(K24,DPD_From,1))</f>
        <v/>
      </c>
      <c r="R24" s="41">
        <f>INDEX(DPD_Class,MATCH(K24,DPD_From,1))</f>
        <v/>
      </c>
      <c r="S24" s="41">
        <f>INDEX(DPD_NPA,MATCH(K24,DPD_From,1))</f>
        <v/>
      </c>
      <c r="T24" s="42">
        <f>INDEX(DPD_Prov,MATCH(K24,DPD_From,1))</f>
        <v/>
      </c>
      <c r="U24" s="40">
        <f>ROUND(O24*T24,0)</f>
        <v/>
      </c>
      <c r="V24" s="41">
        <f>INDEX(CIBIL_Grade,MATCH(J24,CIBIL_From,1))</f>
        <v/>
      </c>
      <c r="W24" s="41">
        <f>YEAR(F24)&amp;"-Q"&amp;ROUNDUP(MONTH(F24)/3,0)</f>
        <v/>
      </c>
      <c r="X24" s="41">
        <f>IF(AND(OR(Dashboard!$C$4="All",D24=Dashboard!$C$4),OR(Dashboard!$C$5="All",E24=Dashboard!$C$5)),1,0)</f>
        <v/>
      </c>
      <c r="Y24" s="43">
        <f>IF(AND(X24=1,S24="Yes"),O24+ROW()/1000000,0)</f>
        <v/>
      </c>
    </row>
    <row r="25">
      <c r="A25" s="35" t="inlineStr">
        <is>
          <t>LN100024</t>
        </is>
      </c>
      <c r="B25" s="35" t="inlineStr">
        <is>
          <t>Nikhil Joshi</t>
        </is>
      </c>
      <c r="C25" s="35" t="inlineStr">
        <is>
          <t>MUM-01</t>
        </is>
      </c>
      <c r="D25" s="36">
        <f>INDEX(Branches!$C$2:$C$15,MATCH(C25,Branches!$A$2:$A$15,0))</f>
        <v/>
      </c>
      <c r="E25" s="35" t="inlineStr">
        <is>
          <t>Home Loan</t>
        </is>
      </c>
      <c r="F25" s="37" t="n">
        <v>45374</v>
      </c>
      <c r="G25" s="38" t="n">
        <v>7499000</v>
      </c>
      <c r="H25" s="39" t="n">
        <v>0.0974</v>
      </c>
      <c r="I25" s="35" t="n">
        <v>120</v>
      </c>
      <c r="J25" s="35" t="n">
        <v>633</v>
      </c>
      <c r="K25" s="35" t="n">
        <v>0</v>
      </c>
      <c r="L25" s="40">
        <f>ROUND(PMT(H25/12,I25,-G25),0)</f>
        <v/>
      </c>
      <c r="M25" s="41">
        <f>MAX(0,(YEAR(AsOfDate)-YEAR(F25))*12+MONTH(AsOfDate)-MONTH(F25))</f>
        <v/>
      </c>
      <c r="N25" s="41">
        <f>MAX(0,MIN(I25,M25)-INT(K25/30))</f>
        <v/>
      </c>
      <c r="O25" s="40">
        <f>IF(N25&gt;=I25,0,ROUND(PV(H25/12,I25-N25,-L25),0))</f>
        <v/>
      </c>
      <c r="P25" s="40">
        <f>MIN(I25,M25)*L25-N25*L25</f>
        <v/>
      </c>
      <c r="Q25" s="41">
        <f>INDEX(DPD_Bucket,MATCH(K25,DPD_From,1))</f>
        <v/>
      </c>
      <c r="R25" s="41">
        <f>INDEX(DPD_Class,MATCH(K25,DPD_From,1))</f>
        <v/>
      </c>
      <c r="S25" s="41">
        <f>INDEX(DPD_NPA,MATCH(K25,DPD_From,1))</f>
        <v/>
      </c>
      <c r="T25" s="42">
        <f>INDEX(DPD_Prov,MATCH(K25,DPD_From,1))</f>
        <v/>
      </c>
      <c r="U25" s="40">
        <f>ROUND(O25*T25,0)</f>
        <v/>
      </c>
      <c r="V25" s="41">
        <f>INDEX(CIBIL_Grade,MATCH(J25,CIBIL_From,1))</f>
        <v/>
      </c>
      <c r="W25" s="41">
        <f>YEAR(F25)&amp;"-Q"&amp;ROUNDUP(MONTH(F25)/3,0)</f>
        <v/>
      </c>
      <c r="X25" s="41">
        <f>IF(AND(OR(Dashboard!$C$4="All",D25=Dashboard!$C$4),OR(Dashboard!$C$5="All",E25=Dashboard!$C$5)),1,0)</f>
        <v/>
      </c>
      <c r="Y25" s="43">
        <f>IF(AND(X25=1,S25="Yes"),O25+ROW()/1000000,0)</f>
        <v/>
      </c>
    </row>
    <row r="26">
      <c r="A26" s="35" t="inlineStr">
        <is>
          <t>LN100025</t>
        </is>
      </c>
      <c r="B26" s="35" t="inlineStr">
        <is>
          <t>Zoya Kulkarni</t>
        </is>
      </c>
      <c r="C26" s="35" t="inlineStr">
        <is>
          <t>BLR-01</t>
        </is>
      </c>
      <c r="D26" s="36">
        <f>INDEX(Branches!$C$2:$C$15,MATCH(C26,Branches!$A$2:$A$15,0))</f>
        <v/>
      </c>
      <c r="E26" s="35" t="inlineStr">
        <is>
          <t>Gold Loan</t>
        </is>
      </c>
      <c r="F26" s="37" t="n">
        <v>45856</v>
      </c>
      <c r="G26" s="38" t="n">
        <v>387000</v>
      </c>
      <c r="H26" s="39" t="n">
        <v>0.0917</v>
      </c>
      <c r="I26" s="35" t="n">
        <v>12</v>
      </c>
      <c r="J26" s="35" t="n">
        <v>749</v>
      </c>
      <c r="K26" s="35" t="n">
        <v>0</v>
      </c>
      <c r="L26" s="40">
        <f>ROUND(PMT(H26/12,I26,-G26),0)</f>
        <v/>
      </c>
      <c r="M26" s="41">
        <f>MAX(0,(YEAR(AsOfDate)-YEAR(F26))*12+MONTH(AsOfDate)-MONTH(F26))</f>
        <v/>
      </c>
      <c r="N26" s="41">
        <f>MAX(0,MIN(I26,M26)-INT(K26/30))</f>
        <v/>
      </c>
      <c r="O26" s="40">
        <f>IF(N26&gt;=I26,0,ROUND(PV(H26/12,I26-N26,-L26),0))</f>
        <v/>
      </c>
      <c r="P26" s="40">
        <f>MIN(I26,M26)*L26-N26*L26</f>
        <v/>
      </c>
      <c r="Q26" s="41">
        <f>INDEX(DPD_Bucket,MATCH(K26,DPD_From,1))</f>
        <v/>
      </c>
      <c r="R26" s="41">
        <f>INDEX(DPD_Class,MATCH(K26,DPD_From,1))</f>
        <v/>
      </c>
      <c r="S26" s="41">
        <f>INDEX(DPD_NPA,MATCH(K26,DPD_From,1))</f>
        <v/>
      </c>
      <c r="T26" s="42">
        <f>INDEX(DPD_Prov,MATCH(K26,DPD_From,1))</f>
        <v/>
      </c>
      <c r="U26" s="40">
        <f>ROUND(O26*T26,0)</f>
        <v/>
      </c>
      <c r="V26" s="41">
        <f>INDEX(CIBIL_Grade,MATCH(J26,CIBIL_From,1))</f>
        <v/>
      </c>
      <c r="W26" s="41">
        <f>YEAR(F26)&amp;"-Q"&amp;ROUNDUP(MONTH(F26)/3,0)</f>
        <v/>
      </c>
      <c r="X26" s="41">
        <f>IF(AND(OR(Dashboard!$C$4="All",D26=Dashboard!$C$4),OR(Dashboard!$C$5="All",E26=Dashboard!$C$5)),1,0)</f>
        <v/>
      </c>
      <c r="Y26" s="43">
        <f>IF(AND(X26=1,S26="Yes"),O26+ROW()/1000000,0)</f>
        <v/>
      </c>
    </row>
    <row r="27">
      <c r="A27" s="35" t="inlineStr">
        <is>
          <t>LN100026</t>
        </is>
      </c>
      <c r="B27" s="35" t="inlineStr">
        <is>
          <t>Gaurav Mohanty</t>
        </is>
      </c>
      <c r="C27" s="35" t="inlineStr">
        <is>
          <t>AMD-01</t>
        </is>
      </c>
      <c r="D27" s="36">
        <f>INDEX(Branches!$C$2:$C$15,MATCH(C27,Branches!$A$2:$A$15,0))</f>
        <v/>
      </c>
      <c r="E27" s="35" t="inlineStr">
        <is>
          <t>Personal Loan</t>
        </is>
      </c>
      <c r="F27" s="37" t="n">
        <v>45851</v>
      </c>
      <c r="G27" s="38" t="n">
        <v>268000</v>
      </c>
      <c r="H27" s="39" t="n">
        <v>0.1718</v>
      </c>
      <c r="I27" s="35" t="n">
        <v>60</v>
      </c>
      <c r="J27" s="35" t="n">
        <v>770</v>
      </c>
      <c r="K27" s="35" t="n">
        <v>315</v>
      </c>
      <c r="L27" s="40">
        <f>ROUND(PMT(H27/12,I27,-G27),0)</f>
        <v/>
      </c>
      <c r="M27" s="41">
        <f>MAX(0,(YEAR(AsOfDate)-YEAR(F27))*12+MONTH(AsOfDate)-MONTH(F27))</f>
        <v/>
      </c>
      <c r="N27" s="41">
        <f>MAX(0,MIN(I27,M27)-INT(K27/30))</f>
        <v/>
      </c>
      <c r="O27" s="40">
        <f>IF(N27&gt;=I27,0,ROUND(PV(H27/12,I27-N27,-L27),0))</f>
        <v/>
      </c>
      <c r="P27" s="40">
        <f>MIN(I27,M27)*L27-N27*L27</f>
        <v/>
      </c>
      <c r="Q27" s="41">
        <f>INDEX(DPD_Bucket,MATCH(K27,DPD_From,1))</f>
        <v/>
      </c>
      <c r="R27" s="41">
        <f>INDEX(DPD_Class,MATCH(K27,DPD_From,1))</f>
        <v/>
      </c>
      <c r="S27" s="41">
        <f>INDEX(DPD_NPA,MATCH(K27,DPD_From,1))</f>
        <v/>
      </c>
      <c r="T27" s="42">
        <f>INDEX(DPD_Prov,MATCH(K27,DPD_From,1))</f>
        <v/>
      </c>
      <c r="U27" s="40">
        <f>ROUND(O27*T27,0)</f>
        <v/>
      </c>
      <c r="V27" s="41">
        <f>INDEX(CIBIL_Grade,MATCH(J27,CIBIL_From,1))</f>
        <v/>
      </c>
      <c r="W27" s="41">
        <f>YEAR(F27)&amp;"-Q"&amp;ROUNDUP(MONTH(F27)/3,0)</f>
        <v/>
      </c>
      <c r="X27" s="41">
        <f>IF(AND(OR(Dashboard!$C$4="All",D27=Dashboard!$C$4),OR(Dashboard!$C$5="All",E27=Dashboard!$C$5)),1,0)</f>
        <v/>
      </c>
      <c r="Y27" s="43">
        <f>IF(AND(X27=1,S27="Yes"),O27+ROW()/1000000,0)</f>
        <v/>
      </c>
    </row>
    <row r="28">
      <c r="A28" s="35" t="inlineStr">
        <is>
          <t>LN100027</t>
        </is>
      </c>
      <c r="B28" s="35" t="inlineStr">
        <is>
          <t>Harsh Gupta</t>
        </is>
      </c>
      <c r="C28" s="35" t="inlineStr">
        <is>
          <t>KOC-01</t>
        </is>
      </c>
      <c r="D28" s="36">
        <f>INDEX(Branches!$C$2:$C$15,MATCH(C28,Branches!$A$2:$A$15,0))</f>
        <v/>
      </c>
      <c r="E28" s="35" t="inlineStr">
        <is>
          <t>Auto Loan</t>
        </is>
      </c>
      <c r="F28" s="37" t="n">
        <v>46006</v>
      </c>
      <c r="G28" s="38" t="n">
        <v>1472000</v>
      </c>
      <c r="H28" s="39" t="n">
        <v>0.0987</v>
      </c>
      <c r="I28" s="35" t="n">
        <v>36</v>
      </c>
      <c r="J28" s="35" t="n">
        <v>671</v>
      </c>
      <c r="K28" s="35" t="n">
        <v>0</v>
      </c>
      <c r="L28" s="40">
        <f>ROUND(PMT(H28/12,I28,-G28),0)</f>
        <v/>
      </c>
      <c r="M28" s="41">
        <f>MAX(0,(YEAR(AsOfDate)-YEAR(F28))*12+MONTH(AsOfDate)-MONTH(F28))</f>
        <v/>
      </c>
      <c r="N28" s="41">
        <f>MAX(0,MIN(I28,M28)-INT(K28/30))</f>
        <v/>
      </c>
      <c r="O28" s="40">
        <f>IF(N28&gt;=I28,0,ROUND(PV(H28/12,I28-N28,-L28),0))</f>
        <v/>
      </c>
      <c r="P28" s="40">
        <f>MIN(I28,M28)*L28-N28*L28</f>
        <v/>
      </c>
      <c r="Q28" s="41">
        <f>INDEX(DPD_Bucket,MATCH(K28,DPD_From,1))</f>
        <v/>
      </c>
      <c r="R28" s="41">
        <f>INDEX(DPD_Class,MATCH(K28,DPD_From,1))</f>
        <v/>
      </c>
      <c r="S28" s="41">
        <f>INDEX(DPD_NPA,MATCH(K28,DPD_From,1))</f>
        <v/>
      </c>
      <c r="T28" s="42">
        <f>INDEX(DPD_Prov,MATCH(K28,DPD_From,1))</f>
        <v/>
      </c>
      <c r="U28" s="40">
        <f>ROUND(O28*T28,0)</f>
        <v/>
      </c>
      <c r="V28" s="41">
        <f>INDEX(CIBIL_Grade,MATCH(J28,CIBIL_From,1))</f>
        <v/>
      </c>
      <c r="W28" s="41">
        <f>YEAR(F28)&amp;"-Q"&amp;ROUNDUP(MONTH(F28)/3,0)</f>
        <v/>
      </c>
      <c r="X28" s="41">
        <f>IF(AND(OR(Dashboard!$C$4="All",D28=Dashboard!$C$4),OR(Dashboard!$C$5="All",E28=Dashboard!$C$5)),1,0)</f>
        <v/>
      </c>
      <c r="Y28" s="43">
        <f>IF(AND(X28=1,S28="Yes"),O28+ROW()/1000000,0)</f>
        <v/>
      </c>
    </row>
    <row r="29">
      <c r="A29" s="35" t="inlineStr">
        <is>
          <t>LN100028</t>
        </is>
      </c>
      <c r="B29" s="35" t="inlineStr">
        <is>
          <t>Harsh Iyer</t>
        </is>
      </c>
      <c r="C29" s="35" t="inlineStr">
        <is>
          <t>BLR-01</t>
        </is>
      </c>
      <c r="D29" s="36">
        <f>INDEX(Branches!$C$2:$C$15,MATCH(C29,Branches!$A$2:$A$15,0))</f>
        <v/>
      </c>
      <c r="E29" s="35" t="inlineStr">
        <is>
          <t>Auto Loan</t>
        </is>
      </c>
      <c r="F29" s="37" t="n">
        <v>45559</v>
      </c>
      <c r="G29" s="38" t="n">
        <v>1133000</v>
      </c>
      <c r="H29" s="39" t="n">
        <v>0.12</v>
      </c>
      <c r="I29" s="35" t="n">
        <v>48</v>
      </c>
      <c r="J29" s="35" t="n">
        <v>770</v>
      </c>
      <c r="K29" s="35" t="n">
        <v>0</v>
      </c>
      <c r="L29" s="40">
        <f>ROUND(PMT(H29/12,I29,-G29),0)</f>
        <v/>
      </c>
      <c r="M29" s="41">
        <f>MAX(0,(YEAR(AsOfDate)-YEAR(F29))*12+MONTH(AsOfDate)-MONTH(F29))</f>
        <v/>
      </c>
      <c r="N29" s="41">
        <f>MAX(0,MIN(I29,M29)-INT(K29/30))</f>
        <v/>
      </c>
      <c r="O29" s="40">
        <f>IF(N29&gt;=I29,0,ROUND(PV(H29/12,I29-N29,-L29),0))</f>
        <v/>
      </c>
      <c r="P29" s="40">
        <f>MIN(I29,M29)*L29-N29*L29</f>
        <v/>
      </c>
      <c r="Q29" s="41">
        <f>INDEX(DPD_Bucket,MATCH(K29,DPD_From,1))</f>
        <v/>
      </c>
      <c r="R29" s="41">
        <f>INDEX(DPD_Class,MATCH(K29,DPD_From,1))</f>
        <v/>
      </c>
      <c r="S29" s="41">
        <f>INDEX(DPD_NPA,MATCH(K29,DPD_From,1))</f>
        <v/>
      </c>
      <c r="T29" s="42">
        <f>INDEX(DPD_Prov,MATCH(K29,DPD_From,1))</f>
        <v/>
      </c>
      <c r="U29" s="40">
        <f>ROUND(O29*T29,0)</f>
        <v/>
      </c>
      <c r="V29" s="41">
        <f>INDEX(CIBIL_Grade,MATCH(J29,CIBIL_From,1))</f>
        <v/>
      </c>
      <c r="W29" s="41">
        <f>YEAR(F29)&amp;"-Q"&amp;ROUNDUP(MONTH(F29)/3,0)</f>
        <v/>
      </c>
      <c r="X29" s="41">
        <f>IF(AND(OR(Dashboard!$C$4="All",D29=Dashboard!$C$4),OR(Dashboard!$C$5="All",E29=Dashboard!$C$5)),1,0)</f>
        <v/>
      </c>
      <c r="Y29" s="43">
        <f>IF(AND(X29=1,S29="Yes"),O29+ROW()/1000000,0)</f>
        <v/>
      </c>
    </row>
    <row r="30">
      <c r="A30" s="35" t="inlineStr">
        <is>
          <t>LN100029</t>
        </is>
      </c>
      <c r="B30" s="35" t="inlineStr">
        <is>
          <t>Aditya Mohanty</t>
        </is>
      </c>
      <c r="C30" s="35" t="inlineStr">
        <is>
          <t>PUN-01</t>
        </is>
      </c>
      <c r="D30" s="36">
        <f>INDEX(Branches!$C$2:$C$15,MATCH(C30,Branches!$A$2:$A$15,0))</f>
        <v/>
      </c>
      <c r="E30" s="35" t="inlineStr">
        <is>
          <t>Gold Loan</t>
        </is>
      </c>
      <c r="F30" s="37" t="n">
        <v>45737</v>
      </c>
      <c r="G30" s="38" t="n">
        <v>178000</v>
      </c>
      <c r="H30" s="39" t="n">
        <v>0.1031</v>
      </c>
      <c r="I30" s="35" t="n">
        <v>6</v>
      </c>
      <c r="J30" s="35" t="n">
        <v>705</v>
      </c>
      <c r="K30" s="35" t="n">
        <v>0</v>
      </c>
      <c r="L30" s="40">
        <f>ROUND(PMT(H30/12,I30,-G30),0)</f>
        <v/>
      </c>
      <c r="M30" s="41">
        <f>MAX(0,(YEAR(AsOfDate)-YEAR(F30))*12+MONTH(AsOfDate)-MONTH(F30))</f>
        <v/>
      </c>
      <c r="N30" s="41">
        <f>MAX(0,MIN(I30,M30)-INT(K30/30))</f>
        <v/>
      </c>
      <c r="O30" s="40">
        <f>IF(N30&gt;=I30,0,ROUND(PV(H30/12,I30-N30,-L30),0))</f>
        <v/>
      </c>
      <c r="P30" s="40">
        <f>MIN(I30,M30)*L30-N30*L30</f>
        <v/>
      </c>
      <c r="Q30" s="41">
        <f>INDEX(DPD_Bucket,MATCH(K30,DPD_From,1))</f>
        <v/>
      </c>
      <c r="R30" s="41">
        <f>INDEX(DPD_Class,MATCH(K30,DPD_From,1))</f>
        <v/>
      </c>
      <c r="S30" s="41">
        <f>INDEX(DPD_NPA,MATCH(K30,DPD_From,1))</f>
        <v/>
      </c>
      <c r="T30" s="42">
        <f>INDEX(DPD_Prov,MATCH(K30,DPD_From,1))</f>
        <v/>
      </c>
      <c r="U30" s="40">
        <f>ROUND(O30*T30,0)</f>
        <v/>
      </c>
      <c r="V30" s="41">
        <f>INDEX(CIBIL_Grade,MATCH(J30,CIBIL_From,1))</f>
        <v/>
      </c>
      <c r="W30" s="41">
        <f>YEAR(F30)&amp;"-Q"&amp;ROUNDUP(MONTH(F30)/3,0)</f>
        <v/>
      </c>
      <c r="X30" s="41">
        <f>IF(AND(OR(Dashboard!$C$4="All",D30=Dashboard!$C$4),OR(Dashboard!$C$5="All",E30=Dashboard!$C$5)),1,0)</f>
        <v/>
      </c>
      <c r="Y30" s="43">
        <f>IF(AND(X30=1,S30="Yes"),O30+ROW()/1000000,0)</f>
        <v/>
      </c>
    </row>
    <row r="31">
      <c r="A31" s="35" t="inlineStr">
        <is>
          <t>LN100030</t>
        </is>
      </c>
      <c r="B31" s="35" t="inlineStr">
        <is>
          <t>Rohan Singh</t>
        </is>
      </c>
      <c r="C31" s="35" t="inlineStr">
        <is>
          <t>KOL-01</t>
        </is>
      </c>
      <c r="D31" s="36">
        <f>INDEX(Branches!$C$2:$C$15,MATCH(C31,Branches!$A$2:$A$15,0))</f>
        <v/>
      </c>
      <c r="E31" s="35" t="inlineStr">
        <is>
          <t>Personal Loan</t>
        </is>
      </c>
      <c r="F31" s="37" t="n">
        <v>46157</v>
      </c>
      <c r="G31" s="38" t="n">
        <v>245000</v>
      </c>
      <c r="H31" s="39" t="n">
        <v>0.1709</v>
      </c>
      <c r="I31" s="35" t="n">
        <v>36</v>
      </c>
      <c r="J31" s="35" t="n">
        <v>733</v>
      </c>
      <c r="K31" s="35" t="n">
        <v>0</v>
      </c>
      <c r="L31" s="40">
        <f>ROUND(PMT(H31/12,I31,-G31),0)</f>
        <v/>
      </c>
      <c r="M31" s="41">
        <f>MAX(0,(YEAR(AsOfDate)-YEAR(F31))*12+MONTH(AsOfDate)-MONTH(F31))</f>
        <v/>
      </c>
      <c r="N31" s="41">
        <f>MAX(0,MIN(I31,M31)-INT(K31/30))</f>
        <v/>
      </c>
      <c r="O31" s="40">
        <f>IF(N31&gt;=I31,0,ROUND(PV(H31/12,I31-N31,-L31),0))</f>
        <v/>
      </c>
      <c r="P31" s="40">
        <f>MIN(I31,M31)*L31-N31*L31</f>
        <v/>
      </c>
      <c r="Q31" s="41">
        <f>INDEX(DPD_Bucket,MATCH(K31,DPD_From,1))</f>
        <v/>
      </c>
      <c r="R31" s="41">
        <f>INDEX(DPD_Class,MATCH(K31,DPD_From,1))</f>
        <v/>
      </c>
      <c r="S31" s="41">
        <f>INDEX(DPD_NPA,MATCH(K31,DPD_From,1))</f>
        <v/>
      </c>
      <c r="T31" s="42">
        <f>INDEX(DPD_Prov,MATCH(K31,DPD_From,1))</f>
        <v/>
      </c>
      <c r="U31" s="40">
        <f>ROUND(O31*T31,0)</f>
        <v/>
      </c>
      <c r="V31" s="41">
        <f>INDEX(CIBIL_Grade,MATCH(J31,CIBIL_From,1))</f>
        <v/>
      </c>
      <c r="W31" s="41">
        <f>YEAR(F31)&amp;"-Q"&amp;ROUNDUP(MONTH(F31)/3,0)</f>
        <v/>
      </c>
      <c r="X31" s="41">
        <f>IF(AND(OR(Dashboard!$C$4="All",D31=Dashboard!$C$4),OR(Dashboard!$C$5="All",E31=Dashboard!$C$5)),1,0)</f>
        <v/>
      </c>
      <c r="Y31" s="43">
        <f>IF(AND(X31=1,S31="Yes"),O31+ROW()/1000000,0)</f>
        <v/>
      </c>
    </row>
    <row r="32">
      <c r="A32" s="35" t="inlineStr">
        <is>
          <t>LN100031</t>
        </is>
      </c>
      <c r="B32" s="35" t="inlineStr">
        <is>
          <t>Ishaan Gupta</t>
        </is>
      </c>
      <c r="C32" s="35" t="inlineStr">
        <is>
          <t>LKO-01</t>
        </is>
      </c>
      <c r="D32" s="36">
        <f>INDEX(Branches!$C$2:$C$15,MATCH(C32,Branches!$A$2:$A$15,0))</f>
        <v/>
      </c>
      <c r="E32" s="35" t="inlineStr">
        <is>
          <t>Auto Loan</t>
        </is>
      </c>
      <c r="F32" s="37" t="n">
        <v>45855</v>
      </c>
      <c r="G32" s="38" t="n">
        <v>1182000</v>
      </c>
      <c r="H32" s="39" t="n">
        <v>0.1171</v>
      </c>
      <c r="I32" s="35" t="n">
        <v>36</v>
      </c>
      <c r="J32" s="35" t="n">
        <v>724</v>
      </c>
      <c r="K32" s="35" t="n">
        <v>0</v>
      </c>
      <c r="L32" s="40">
        <f>ROUND(PMT(H32/12,I32,-G32),0)</f>
        <v/>
      </c>
      <c r="M32" s="41">
        <f>MAX(0,(YEAR(AsOfDate)-YEAR(F32))*12+MONTH(AsOfDate)-MONTH(F32))</f>
        <v/>
      </c>
      <c r="N32" s="41">
        <f>MAX(0,MIN(I32,M32)-INT(K32/30))</f>
        <v/>
      </c>
      <c r="O32" s="40">
        <f>IF(N32&gt;=I32,0,ROUND(PV(H32/12,I32-N32,-L32),0))</f>
        <v/>
      </c>
      <c r="P32" s="40">
        <f>MIN(I32,M32)*L32-N32*L32</f>
        <v/>
      </c>
      <c r="Q32" s="41">
        <f>INDEX(DPD_Bucket,MATCH(K32,DPD_From,1))</f>
        <v/>
      </c>
      <c r="R32" s="41">
        <f>INDEX(DPD_Class,MATCH(K32,DPD_From,1))</f>
        <v/>
      </c>
      <c r="S32" s="41">
        <f>INDEX(DPD_NPA,MATCH(K32,DPD_From,1))</f>
        <v/>
      </c>
      <c r="T32" s="42">
        <f>INDEX(DPD_Prov,MATCH(K32,DPD_From,1))</f>
        <v/>
      </c>
      <c r="U32" s="40">
        <f>ROUND(O32*T32,0)</f>
        <v/>
      </c>
      <c r="V32" s="41">
        <f>INDEX(CIBIL_Grade,MATCH(J32,CIBIL_From,1))</f>
        <v/>
      </c>
      <c r="W32" s="41">
        <f>YEAR(F32)&amp;"-Q"&amp;ROUNDUP(MONTH(F32)/3,0)</f>
        <v/>
      </c>
      <c r="X32" s="41">
        <f>IF(AND(OR(Dashboard!$C$4="All",D32=Dashboard!$C$4),OR(Dashboard!$C$5="All",E32=Dashboard!$C$5)),1,0)</f>
        <v/>
      </c>
      <c r="Y32" s="43">
        <f>IF(AND(X32=1,S32="Yes"),O32+ROW()/1000000,0)</f>
        <v/>
      </c>
    </row>
    <row r="33">
      <c r="A33" s="35" t="inlineStr">
        <is>
          <t>LN100032</t>
        </is>
      </c>
      <c r="B33" s="35" t="inlineStr">
        <is>
          <t>Vivaan Sharma</t>
        </is>
      </c>
      <c r="C33" s="35" t="inlineStr">
        <is>
          <t>PUN-01</t>
        </is>
      </c>
      <c r="D33" s="36">
        <f>INDEX(Branches!$C$2:$C$15,MATCH(C33,Branches!$A$2:$A$15,0))</f>
        <v/>
      </c>
      <c r="E33" s="35" t="inlineStr">
        <is>
          <t>Business Loan</t>
        </is>
      </c>
      <c r="F33" s="37" t="n">
        <v>45306</v>
      </c>
      <c r="G33" s="38" t="n">
        <v>3970000</v>
      </c>
      <c r="H33" s="39" t="n">
        <v>0.1746</v>
      </c>
      <c r="I33" s="35" t="n">
        <v>12</v>
      </c>
      <c r="J33" s="35" t="n">
        <v>809</v>
      </c>
      <c r="K33" s="35" t="n">
        <v>0</v>
      </c>
      <c r="L33" s="40">
        <f>ROUND(PMT(H33/12,I33,-G33),0)</f>
        <v/>
      </c>
      <c r="M33" s="41">
        <f>MAX(0,(YEAR(AsOfDate)-YEAR(F33))*12+MONTH(AsOfDate)-MONTH(F33))</f>
        <v/>
      </c>
      <c r="N33" s="41">
        <f>MAX(0,MIN(I33,M33)-INT(K33/30))</f>
        <v/>
      </c>
      <c r="O33" s="40">
        <f>IF(N33&gt;=I33,0,ROUND(PV(H33/12,I33-N33,-L33),0))</f>
        <v/>
      </c>
      <c r="P33" s="40">
        <f>MIN(I33,M33)*L33-N33*L33</f>
        <v/>
      </c>
      <c r="Q33" s="41">
        <f>INDEX(DPD_Bucket,MATCH(K33,DPD_From,1))</f>
        <v/>
      </c>
      <c r="R33" s="41">
        <f>INDEX(DPD_Class,MATCH(K33,DPD_From,1))</f>
        <v/>
      </c>
      <c r="S33" s="41">
        <f>INDEX(DPD_NPA,MATCH(K33,DPD_From,1))</f>
        <v/>
      </c>
      <c r="T33" s="42">
        <f>INDEX(DPD_Prov,MATCH(K33,DPD_From,1))</f>
        <v/>
      </c>
      <c r="U33" s="40">
        <f>ROUND(O33*T33,0)</f>
        <v/>
      </c>
      <c r="V33" s="41">
        <f>INDEX(CIBIL_Grade,MATCH(J33,CIBIL_From,1))</f>
        <v/>
      </c>
      <c r="W33" s="41">
        <f>YEAR(F33)&amp;"-Q"&amp;ROUNDUP(MONTH(F33)/3,0)</f>
        <v/>
      </c>
      <c r="X33" s="41">
        <f>IF(AND(OR(Dashboard!$C$4="All",D33=Dashboard!$C$4),OR(Dashboard!$C$5="All",E33=Dashboard!$C$5)),1,0)</f>
        <v/>
      </c>
      <c r="Y33" s="43">
        <f>IF(AND(X33=1,S33="Yes"),O33+ROW()/1000000,0)</f>
        <v/>
      </c>
    </row>
    <row r="34">
      <c r="A34" s="35" t="inlineStr">
        <is>
          <t>LN100033</t>
        </is>
      </c>
      <c r="B34" s="35" t="inlineStr">
        <is>
          <t>Farhan Reddy</t>
        </is>
      </c>
      <c r="C34" s="35" t="inlineStr">
        <is>
          <t>LKO-01</t>
        </is>
      </c>
      <c r="D34" s="36">
        <f>INDEX(Branches!$C$2:$C$15,MATCH(C34,Branches!$A$2:$A$15,0))</f>
        <v/>
      </c>
      <c r="E34" s="35" t="inlineStr">
        <is>
          <t>Auto Loan</t>
        </is>
      </c>
      <c r="F34" s="37" t="n">
        <v>45298</v>
      </c>
      <c r="G34" s="38" t="n">
        <v>458000</v>
      </c>
      <c r="H34" s="39" t="n">
        <v>0.1004</v>
      </c>
      <c r="I34" s="35" t="n">
        <v>84</v>
      </c>
      <c r="J34" s="35" t="n">
        <v>710</v>
      </c>
      <c r="K34" s="35" t="n">
        <v>0</v>
      </c>
      <c r="L34" s="40">
        <f>ROUND(PMT(H34/12,I34,-G34),0)</f>
        <v/>
      </c>
      <c r="M34" s="41">
        <f>MAX(0,(YEAR(AsOfDate)-YEAR(F34))*12+MONTH(AsOfDate)-MONTH(F34))</f>
        <v/>
      </c>
      <c r="N34" s="41">
        <f>MAX(0,MIN(I34,M34)-INT(K34/30))</f>
        <v/>
      </c>
      <c r="O34" s="40">
        <f>IF(N34&gt;=I34,0,ROUND(PV(H34/12,I34-N34,-L34),0))</f>
        <v/>
      </c>
      <c r="P34" s="40">
        <f>MIN(I34,M34)*L34-N34*L34</f>
        <v/>
      </c>
      <c r="Q34" s="41">
        <f>INDEX(DPD_Bucket,MATCH(K34,DPD_From,1))</f>
        <v/>
      </c>
      <c r="R34" s="41">
        <f>INDEX(DPD_Class,MATCH(K34,DPD_From,1))</f>
        <v/>
      </c>
      <c r="S34" s="41">
        <f>INDEX(DPD_NPA,MATCH(K34,DPD_From,1))</f>
        <v/>
      </c>
      <c r="T34" s="42">
        <f>INDEX(DPD_Prov,MATCH(K34,DPD_From,1))</f>
        <v/>
      </c>
      <c r="U34" s="40">
        <f>ROUND(O34*T34,0)</f>
        <v/>
      </c>
      <c r="V34" s="41">
        <f>INDEX(CIBIL_Grade,MATCH(J34,CIBIL_From,1))</f>
        <v/>
      </c>
      <c r="W34" s="41">
        <f>YEAR(F34)&amp;"-Q"&amp;ROUNDUP(MONTH(F34)/3,0)</f>
        <v/>
      </c>
      <c r="X34" s="41">
        <f>IF(AND(OR(Dashboard!$C$4="All",D34=Dashboard!$C$4),OR(Dashboard!$C$5="All",E34=Dashboard!$C$5)),1,0)</f>
        <v/>
      </c>
      <c r="Y34" s="43">
        <f>IF(AND(X34=1,S34="Yes"),O34+ROW()/1000000,0)</f>
        <v/>
      </c>
    </row>
    <row r="35">
      <c r="A35" s="35" t="inlineStr">
        <is>
          <t>LN100034</t>
        </is>
      </c>
      <c r="B35" s="35" t="inlineStr">
        <is>
          <t>Arjun Menon</t>
        </is>
      </c>
      <c r="C35" s="35" t="inlineStr">
        <is>
          <t>PAT-01</t>
        </is>
      </c>
      <c r="D35" s="36">
        <f>INDEX(Branches!$C$2:$C$15,MATCH(C35,Branches!$A$2:$A$15,0))</f>
        <v/>
      </c>
      <c r="E35" s="35" t="inlineStr">
        <is>
          <t>Personal Loan</t>
        </is>
      </c>
      <c r="F35" s="37" t="n">
        <v>45912</v>
      </c>
      <c r="G35" s="38" t="n">
        <v>884000</v>
      </c>
      <c r="H35" s="39" t="n">
        <v>0.1706</v>
      </c>
      <c r="I35" s="35" t="n">
        <v>48</v>
      </c>
      <c r="J35" s="35" t="n">
        <v>724</v>
      </c>
      <c r="K35" s="35" t="n">
        <v>255</v>
      </c>
      <c r="L35" s="40">
        <f>ROUND(PMT(H35/12,I35,-G35),0)</f>
        <v/>
      </c>
      <c r="M35" s="41">
        <f>MAX(0,(YEAR(AsOfDate)-YEAR(F35))*12+MONTH(AsOfDate)-MONTH(F35))</f>
        <v/>
      </c>
      <c r="N35" s="41">
        <f>MAX(0,MIN(I35,M35)-INT(K35/30))</f>
        <v/>
      </c>
      <c r="O35" s="40">
        <f>IF(N35&gt;=I35,0,ROUND(PV(H35/12,I35-N35,-L35),0))</f>
        <v/>
      </c>
      <c r="P35" s="40">
        <f>MIN(I35,M35)*L35-N35*L35</f>
        <v/>
      </c>
      <c r="Q35" s="41">
        <f>INDEX(DPD_Bucket,MATCH(K35,DPD_From,1))</f>
        <v/>
      </c>
      <c r="R35" s="41">
        <f>INDEX(DPD_Class,MATCH(K35,DPD_From,1))</f>
        <v/>
      </c>
      <c r="S35" s="41">
        <f>INDEX(DPD_NPA,MATCH(K35,DPD_From,1))</f>
        <v/>
      </c>
      <c r="T35" s="42">
        <f>INDEX(DPD_Prov,MATCH(K35,DPD_From,1))</f>
        <v/>
      </c>
      <c r="U35" s="40">
        <f>ROUND(O35*T35,0)</f>
        <v/>
      </c>
      <c r="V35" s="41">
        <f>INDEX(CIBIL_Grade,MATCH(J35,CIBIL_From,1))</f>
        <v/>
      </c>
      <c r="W35" s="41">
        <f>YEAR(F35)&amp;"-Q"&amp;ROUNDUP(MONTH(F35)/3,0)</f>
        <v/>
      </c>
      <c r="X35" s="41">
        <f>IF(AND(OR(Dashboard!$C$4="All",D35=Dashboard!$C$4),OR(Dashboard!$C$5="All",E35=Dashboard!$C$5)),1,0)</f>
        <v/>
      </c>
      <c r="Y35" s="43">
        <f>IF(AND(X35=1,S35="Yes"),O35+ROW()/1000000,0)</f>
        <v/>
      </c>
    </row>
    <row r="36">
      <c r="A36" s="35" t="inlineStr">
        <is>
          <t>LN100035</t>
        </is>
      </c>
      <c r="B36" s="35" t="inlineStr">
        <is>
          <t>Swati Khan</t>
        </is>
      </c>
      <c r="C36" s="35" t="inlineStr">
        <is>
          <t>BLR-01</t>
        </is>
      </c>
      <c r="D36" s="36">
        <f>INDEX(Branches!$C$2:$C$15,MATCH(C36,Branches!$A$2:$A$15,0))</f>
        <v/>
      </c>
      <c r="E36" s="35" t="inlineStr">
        <is>
          <t>Gold Loan</t>
        </is>
      </c>
      <c r="F36" s="37" t="n">
        <v>45689</v>
      </c>
      <c r="G36" s="38" t="n">
        <v>131000</v>
      </c>
      <c r="H36" s="39" t="n">
        <v>0.1177</v>
      </c>
      <c r="I36" s="35" t="n">
        <v>6</v>
      </c>
      <c r="J36" s="35" t="n">
        <v>834</v>
      </c>
      <c r="K36" s="35" t="n">
        <v>0</v>
      </c>
      <c r="L36" s="40">
        <f>ROUND(PMT(H36/12,I36,-G36),0)</f>
        <v/>
      </c>
      <c r="M36" s="41">
        <f>MAX(0,(YEAR(AsOfDate)-YEAR(F36))*12+MONTH(AsOfDate)-MONTH(F36))</f>
        <v/>
      </c>
      <c r="N36" s="41">
        <f>MAX(0,MIN(I36,M36)-INT(K36/30))</f>
        <v/>
      </c>
      <c r="O36" s="40">
        <f>IF(N36&gt;=I36,0,ROUND(PV(H36/12,I36-N36,-L36),0))</f>
        <v/>
      </c>
      <c r="P36" s="40">
        <f>MIN(I36,M36)*L36-N36*L36</f>
        <v/>
      </c>
      <c r="Q36" s="41">
        <f>INDEX(DPD_Bucket,MATCH(K36,DPD_From,1))</f>
        <v/>
      </c>
      <c r="R36" s="41">
        <f>INDEX(DPD_Class,MATCH(K36,DPD_From,1))</f>
        <v/>
      </c>
      <c r="S36" s="41">
        <f>INDEX(DPD_NPA,MATCH(K36,DPD_From,1))</f>
        <v/>
      </c>
      <c r="T36" s="42">
        <f>INDEX(DPD_Prov,MATCH(K36,DPD_From,1))</f>
        <v/>
      </c>
      <c r="U36" s="40">
        <f>ROUND(O36*T36,0)</f>
        <v/>
      </c>
      <c r="V36" s="41">
        <f>INDEX(CIBIL_Grade,MATCH(J36,CIBIL_From,1))</f>
        <v/>
      </c>
      <c r="W36" s="41">
        <f>YEAR(F36)&amp;"-Q"&amp;ROUNDUP(MONTH(F36)/3,0)</f>
        <v/>
      </c>
      <c r="X36" s="41">
        <f>IF(AND(OR(Dashboard!$C$4="All",D36=Dashboard!$C$4),OR(Dashboard!$C$5="All",E36=Dashboard!$C$5)),1,0)</f>
        <v/>
      </c>
      <c r="Y36" s="43">
        <f>IF(AND(X36=1,S36="Yes"),O36+ROW()/1000000,0)</f>
        <v/>
      </c>
    </row>
    <row r="37">
      <c r="A37" s="35" t="inlineStr">
        <is>
          <t>LN100036</t>
        </is>
      </c>
      <c r="B37" s="35" t="inlineStr">
        <is>
          <t>Tanvi Joshi</t>
        </is>
      </c>
      <c r="C37" s="35" t="inlineStr">
        <is>
          <t>PUN-01</t>
        </is>
      </c>
      <c r="D37" s="36">
        <f>INDEX(Branches!$C$2:$C$15,MATCH(C37,Branches!$A$2:$A$15,0))</f>
        <v/>
      </c>
      <c r="E37" s="35" t="inlineStr">
        <is>
          <t>Business Loan</t>
        </is>
      </c>
      <c r="F37" s="37" t="n">
        <v>45665</v>
      </c>
      <c r="G37" s="38" t="n">
        <v>1873000</v>
      </c>
      <c r="H37" s="39" t="n">
        <v>0.1857</v>
      </c>
      <c r="I37" s="35" t="n">
        <v>60</v>
      </c>
      <c r="J37" s="35" t="n">
        <v>621</v>
      </c>
      <c r="K37" s="35" t="n">
        <v>53</v>
      </c>
      <c r="L37" s="40">
        <f>ROUND(PMT(H37/12,I37,-G37),0)</f>
        <v/>
      </c>
      <c r="M37" s="41">
        <f>MAX(0,(YEAR(AsOfDate)-YEAR(F37))*12+MONTH(AsOfDate)-MONTH(F37))</f>
        <v/>
      </c>
      <c r="N37" s="41">
        <f>MAX(0,MIN(I37,M37)-INT(K37/30))</f>
        <v/>
      </c>
      <c r="O37" s="40">
        <f>IF(N37&gt;=I37,0,ROUND(PV(H37/12,I37-N37,-L37),0))</f>
        <v/>
      </c>
      <c r="P37" s="40">
        <f>MIN(I37,M37)*L37-N37*L37</f>
        <v/>
      </c>
      <c r="Q37" s="41">
        <f>INDEX(DPD_Bucket,MATCH(K37,DPD_From,1))</f>
        <v/>
      </c>
      <c r="R37" s="41">
        <f>INDEX(DPD_Class,MATCH(K37,DPD_From,1))</f>
        <v/>
      </c>
      <c r="S37" s="41">
        <f>INDEX(DPD_NPA,MATCH(K37,DPD_From,1))</f>
        <v/>
      </c>
      <c r="T37" s="42">
        <f>INDEX(DPD_Prov,MATCH(K37,DPD_From,1))</f>
        <v/>
      </c>
      <c r="U37" s="40">
        <f>ROUND(O37*T37,0)</f>
        <v/>
      </c>
      <c r="V37" s="41">
        <f>INDEX(CIBIL_Grade,MATCH(J37,CIBIL_From,1))</f>
        <v/>
      </c>
      <c r="W37" s="41">
        <f>YEAR(F37)&amp;"-Q"&amp;ROUNDUP(MONTH(F37)/3,0)</f>
        <v/>
      </c>
      <c r="X37" s="41">
        <f>IF(AND(OR(Dashboard!$C$4="All",D37=Dashboard!$C$4),OR(Dashboard!$C$5="All",E37=Dashboard!$C$5)),1,0)</f>
        <v/>
      </c>
      <c r="Y37" s="43">
        <f>IF(AND(X37=1,S37="Yes"),O37+ROW()/1000000,0)</f>
        <v/>
      </c>
    </row>
    <row r="38">
      <c r="A38" s="35" t="inlineStr">
        <is>
          <t>LN100037</t>
        </is>
      </c>
      <c r="B38" s="35" t="inlineStr">
        <is>
          <t>Aarav Nair</t>
        </is>
      </c>
      <c r="C38" s="35" t="inlineStr">
        <is>
          <t>MUM-01</t>
        </is>
      </c>
      <c r="D38" s="36">
        <f>INDEX(Branches!$C$2:$C$15,MATCH(C38,Branches!$A$2:$A$15,0))</f>
        <v/>
      </c>
      <c r="E38" s="35" t="inlineStr">
        <is>
          <t>Auto Loan</t>
        </is>
      </c>
      <c r="F38" s="37" t="n">
        <v>45778</v>
      </c>
      <c r="G38" s="38" t="n">
        <v>686000</v>
      </c>
      <c r="H38" s="39" t="n">
        <v>0.1188</v>
      </c>
      <c r="I38" s="35" t="n">
        <v>36</v>
      </c>
      <c r="J38" s="35" t="n">
        <v>699</v>
      </c>
      <c r="K38" s="35" t="n">
        <v>72</v>
      </c>
      <c r="L38" s="40">
        <f>ROUND(PMT(H38/12,I38,-G38),0)</f>
        <v/>
      </c>
      <c r="M38" s="41">
        <f>MAX(0,(YEAR(AsOfDate)-YEAR(F38))*12+MONTH(AsOfDate)-MONTH(F38))</f>
        <v/>
      </c>
      <c r="N38" s="41">
        <f>MAX(0,MIN(I38,M38)-INT(K38/30))</f>
        <v/>
      </c>
      <c r="O38" s="40">
        <f>IF(N38&gt;=I38,0,ROUND(PV(H38/12,I38-N38,-L38),0))</f>
        <v/>
      </c>
      <c r="P38" s="40">
        <f>MIN(I38,M38)*L38-N38*L38</f>
        <v/>
      </c>
      <c r="Q38" s="41">
        <f>INDEX(DPD_Bucket,MATCH(K38,DPD_From,1))</f>
        <v/>
      </c>
      <c r="R38" s="41">
        <f>INDEX(DPD_Class,MATCH(K38,DPD_From,1))</f>
        <v/>
      </c>
      <c r="S38" s="41">
        <f>INDEX(DPD_NPA,MATCH(K38,DPD_From,1))</f>
        <v/>
      </c>
      <c r="T38" s="42">
        <f>INDEX(DPD_Prov,MATCH(K38,DPD_From,1))</f>
        <v/>
      </c>
      <c r="U38" s="40">
        <f>ROUND(O38*T38,0)</f>
        <v/>
      </c>
      <c r="V38" s="41">
        <f>INDEX(CIBIL_Grade,MATCH(J38,CIBIL_From,1))</f>
        <v/>
      </c>
      <c r="W38" s="41">
        <f>YEAR(F38)&amp;"-Q"&amp;ROUNDUP(MONTH(F38)/3,0)</f>
        <v/>
      </c>
      <c r="X38" s="41">
        <f>IF(AND(OR(Dashboard!$C$4="All",D38=Dashboard!$C$4),OR(Dashboard!$C$5="All",E38=Dashboard!$C$5)),1,0)</f>
        <v/>
      </c>
      <c r="Y38" s="43">
        <f>IF(AND(X38=1,S38="Yes"),O38+ROW()/1000000,0)</f>
        <v/>
      </c>
    </row>
    <row r="39">
      <c r="A39" s="35" t="inlineStr">
        <is>
          <t>LN100038</t>
        </is>
      </c>
      <c r="B39" s="35" t="inlineStr">
        <is>
          <t>Nikhil Rao</t>
        </is>
      </c>
      <c r="C39" s="35" t="inlineStr">
        <is>
          <t>AMD-01</t>
        </is>
      </c>
      <c r="D39" s="36">
        <f>INDEX(Branches!$C$2:$C$15,MATCH(C39,Branches!$A$2:$A$15,0))</f>
        <v/>
      </c>
      <c r="E39" s="35" t="inlineStr">
        <is>
          <t>Auto Loan</t>
        </is>
      </c>
      <c r="F39" s="37" t="n">
        <v>45284</v>
      </c>
      <c r="G39" s="38" t="n">
        <v>1370000</v>
      </c>
      <c r="H39" s="39" t="n">
        <v>0.1049</v>
      </c>
      <c r="I39" s="35" t="n">
        <v>36</v>
      </c>
      <c r="J39" s="35" t="n">
        <v>761</v>
      </c>
      <c r="K39" s="35" t="n">
        <v>0</v>
      </c>
      <c r="L39" s="40">
        <f>ROUND(PMT(H39/12,I39,-G39),0)</f>
        <v/>
      </c>
      <c r="M39" s="41">
        <f>MAX(0,(YEAR(AsOfDate)-YEAR(F39))*12+MONTH(AsOfDate)-MONTH(F39))</f>
        <v/>
      </c>
      <c r="N39" s="41">
        <f>MAX(0,MIN(I39,M39)-INT(K39/30))</f>
        <v/>
      </c>
      <c r="O39" s="40">
        <f>IF(N39&gt;=I39,0,ROUND(PV(H39/12,I39-N39,-L39),0))</f>
        <v/>
      </c>
      <c r="P39" s="40">
        <f>MIN(I39,M39)*L39-N39*L39</f>
        <v/>
      </c>
      <c r="Q39" s="41">
        <f>INDEX(DPD_Bucket,MATCH(K39,DPD_From,1))</f>
        <v/>
      </c>
      <c r="R39" s="41">
        <f>INDEX(DPD_Class,MATCH(K39,DPD_From,1))</f>
        <v/>
      </c>
      <c r="S39" s="41">
        <f>INDEX(DPD_NPA,MATCH(K39,DPD_From,1))</f>
        <v/>
      </c>
      <c r="T39" s="42">
        <f>INDEX(DPD_Prov,MATCH(K39,DPD_From,1))</f>
        <v/>
      </c>
      <c r="U39" s="40">
        <f>ROUND(O39*T39,0)</f>
        <v/>
      </c>
      <c r="V39" s="41">
        <f>INDEX(CIBIL_Grade,MATCH(J39,CIBIL_From,1))</f>
        <v/>
      </c>
      <c r="W39" s="41">
        <f>YEAR(F39)&amp;"-Q"&amp;ROUNDUP(MONTH(F39)/3,0)</f>
        <v/>
      </c>
      <c r="X39" s="41">
        <f>IF(AND(OR(Dashboard!$C$4="All",D39=Dashboard!$C$4),OR(Dashboard!$C$5="All",E39=Dashboard!$C$5)),1,0)</f>
        <v/>
      </c>
      <c r="Y39" s="43">
        <f>IF(AND(X39=1,S39="Yes"),O39+ROW()/1000000,0)</f>
        <v/>
      </c>
    </row>
    <row r="40">
      <c r="A40" s="35" t="inlineStr">
        <is>
          <t>LN100039</t>
        </is>
      </c>
      <c r="B40" s="35" t="inlineStr">
        <is>
          <t>Nikhil Kulkarni</t>
        </is>
      </c>
      <c r="C40" s="35" t="inlineStr">
        <is>
          <t>KOL-01</t>
        </is>
      </c>
      <c r="D40" s="36">
        <f>INDEX(Branches!$C$2:$C$15,MATCH(C40,Branches!$A$2:$A$15,0))</f>
        <v/>
      </c>
      <c r="E40" s="35" t="inlineStr">
        <is>
          <t>Auto Loan</t>
        </is>
      </c>
      <c r="F40" s="37" t="n">
        <v>45652</v>
      </c>
      <c r="G40" s="38" t="n">
        <v>1551000</v>
      </c>
      <c r="H40" s="39" t="n">
        <v>0.112</v>
      </c>
      <c r="I40" s="35" t="n">
        <v>48</v>
      </c>
      <c r="J40" s="35" t="n">
        <v>791</v>
      </c>
      <c r="K40" s="35" t="n">
        <v>0</v>
      </c>
      <c r="L40" s="40">
        <f>ROUND(PMT(H40/12,I40,-G40),0)</f>
        <v/>
      </c>
      <c r="M40" s="41">
        <f>MAX(0,(YEAR(AsOfDate)-YEAR(F40))*12+MONTH(AsOfDate)-MONTH(F40))</f>
        <v/>
      </c>
      <c r="N40" s="41">
        <f>MAX(0,MIN(I40,M40)-INT(K40/30))</f>
        <v/>
      </c>
      <c r="O40" s="40">
        <f>IF(N40&gt;=I40,0,ROUND(PV(H40/12,I40-N40,-L40),0))</f>
        <v/>
      </c>
      <c r="P40" s="40">
        <f>MIN(I40,M40)*L40-N40*L40</f>
        <v/>
      </c>
      <c r="Q40" s="41">
        <f>INDEX(DPD_Bucket,MATCH(K40,DPD_From,1))</f>
        <v/>
      </c>
      <c r="R40" s="41">
        <f>INDEX(DPD_Class,MATCH(K40,DPD_From,1))</f>
        <v/>
      </c>
      <c r="S40" s="41">
        <f>INDEX(DPD_NPA,MATCH(K40,DPD_From,1))</f>
        <v/>
      </c>
      <c r="T40" s="42">
        <f>INDEX(DPD_Prov,MATCH(K40,DPD_From,1))</f>
        <v/>
      </c>
      <c r="U40" s="40">
        <f>ROUND(O40*T40,0)</f>
        <v/>
      </c>
      <c r="V40" s="41">
        <f>INDEX(CIBIL_Grade,MATCH(J40,CIBIL_From,1))</f>
        <v/>
      </c>
      <c r="W40" s="41">
        <f>YEAR(F40)&amp;"-Q"&amp;ROUNDUP(MONTH(F40)/3,0)</f>
        <v/>
      </c>
      <c r="X40" s="41">
        <f>IF(AND(OR(Dashboard!$C$4="All",D40=Dashboard!$C$4),OR(Dashboard!$C$5="All",E40=Dashboard!$C$5)),1,0)</f>
        <v/>
      </c>
      <c r="Y40" s="43">
        <f>IF(AND(X40=1,S40="Yes"),O40+ROW()/1000000,0)</f>
        <v/>
      </c>
    </row>
    <row r="41">
      <c r="A41" s="35" t="inlineStr">
        <is>
          <t>LN100040</t>
        </is>
      </c>
      <c r="B41" s="35" t="inlineStr">
        <is>
          <t>Deepa Khan</t>
        </is>
      </c>
      <c r="C41" s="35" t="inlineStr">
        <is>
          <t>PUN-01</t>
        </is>
      </c>
      <c r="D41" s="36">
        <f>INDEX(Branches!$C$2:$C$15,MATCH(C41,Branches!$A$2:$A$15,0))</f>
        <v/>
      </c>
      <c r="E41" s="35" t="inlineStr">
        <is>
          <t>Personal Loan</t>
        </is>
      </c>
      <c r="F41" s="37" t="n">
        <v>45290</v>
      </c>
      <c r="G41" s="38" t="n">
        <v>663000</v>
      </c>
      <c r="H41" s="39" t="n">
        <v>0.1272</v>
      </c>
      <c r="I41" s="35" t="n">
        <v>36</v>
      </c>
      <c r="J41" s="35" t="n">
        <v>751</v>
      </c>
      <c r="K41" s="35" t="n">
        <v>71</v>
      </c>
      <c r="L41" s="40">
        <f>ROUND(PMT(H41/12,I41,-G41),0)</f>
        <v/>
      </c>
      <c r="M41" s="41">
        <f>MAX(0,(YEAR(AsOfDate)-YEAR(F41))*12+MONTH(AsOfDate)-MONTH(F41))</f>
        <v/>
      </c>
      <c r="N41" s="41">
        <f>MAX(0,MIN(I41,M41)-INT(K41/30))</f>
        <v/>
      </c>
      <c r="O41" s="40">
        <f>IF(N41&gt;=I41,0,ROUND(PV(H41/12,I41-N41,-L41),0))</f>
        <v/>
      </c>
      <c r="P41" s="40">
        <f>MIN(I41,M41)*L41-N41*L41</f>
        <v/>
      </c>
      <c r="Q41" s="41">
        <f>INDEX(DPD_Bucket,MATCH(K41,DPD_From,1))</f>
        <v/>
      </c>
      <c r="R41" s="41">
        <f>INDEX(DPD_Class,MATCH(K41,DPD_From,1))</f>
        <v/>
      </c>
      <c r="S41" s="41">
        <f>INDEX(DPD_NPA,MATCH(K41,DPD_From,1))</f>
        <v/>
      </c>
      <c r="T41" s="42">
        <f>INDEX(DPD_Prov,MATCH(K41,DPD_From,1))</f>
        <v/>
      </c>
      <c r="U41" s="40">
        <f>ROUND(O41*T41,0)</f>
        <v/>
      </c>
      <c r="V41" s="41">
        <f>INDEX(CIBIL_Grade,MATCH(J41,CIBIL_From,1))</f>
        <v/>
      </c>
      <c r="W41" s="41">
        <f>YEAR(F41)&amp;"-Q"&amp;ROUNDUP(MONTH(F41)/3,0)</f>
        <v/>
      </c>
      <c r="X41" s="41">
        <f>IF(AND(OR(Dashboard!$C$4="All",D41=Dashboard!$C$4),OR(Dashboard!$C$5="All",E41=Dashboard!$C$5)),1,0)</f>
        <v/>
      </c>
      <c r="Y41" s="43">
        <f>IF(AND(X41=1,S41="Yes"),O41+ROW()/1000000,0)</f>
        <v/>
      </c>
    </row>
    <row r="42">
      <c r="A42" s="35" t="inlineStr">
        <is>
          <t>LN100041</t>
        </is>
      </c>
      <c r="B42" s="35" t="inlineStr">
        <is>
          <t>Diya Banerjee</t>
        </is>
      </c>
      <c r="C42" s="35" t="inlineStr">
        <is>
          <t>LKO-01</t>
        </is>
      </c>
      <c r="D42" s="36">
        <f>INDEX(Branches!$C$2:$C$15,MATCH(C42,Branches!$A$2:$A$15,0))</f>
        <v/>
      </c>
      <c r="E42" s="35" t="inlineStr">
        <is>
          <t>Home Loan</t>
        </is>
      </c>
      <c r="F42" s="37" t="n">
        <v>45397</v>
      </c>
      <c r="G42" s="38" t="n">
        <v>12838000</v>
      </c>
      <c r="H42" s="39" t="n">
        <v>0.0883</v>
      </c>
      <c r="I42" s="35" t="n">
        <v>180</v>
      </c>
      <c r="J42" s="35" t="n">
        <v>682</v>
      </c>
      <c r="K42" s="35" t="n">
        <v>0</v>
      </c>
      <c r="L42" s="40">
        <f>ROUND(PMT(H42/12,I42,-G42),0)</f>
        <v/>
      </c>
      <c r="M42" s="41">
        <f>MAX(0,(YEAR(AsOfDate)-YEAR(F42))*12+MONTH(AsOfDate)-MONTH(F42))</f>
        <v/>
      </c>
      <c r="N42" s="41">
        <f>MAX(0,MIN(I42,M42)-INT(K42/30))</f>
        <v/>
      </c>
      <c r="O42" s="40">
        <f>IF(N42&gt;=I42,0,ROUND(PV(H42/12,I42-N42,-L42),0))</f>
        <v/>
      </c>
      <c r="P42" s="40">
        <f>MIN(I42,M42)*L42-N42*L42</f>
        <v/>
      </c>
      <c r="Q42" s="41">
        <f>INDEX(DPD_Bucket,MATCH(K42,DPD_From,1))</f>
        <v/>
      </c>
      <c r="R42" s="41">
        <f>INDEX(DPD_Class,MATCH(K42,DPD_From,1))</f>
        <v/>
      </c>
      <c r="S42" s="41">
        <f>INDEX(DPD_NPA,MATCH(K42,DPD_From,1))</f>
        <v/>
      </c>
      <c r="T42" s="42">
        <f>INDEX(DPD_Prov,MATCH(K42,DPD_From,1))</f>
        <v/>
      </c>
      <c r="U42" s="40">
        <f>ROUND(O42*T42,0)</f>
        <v/>
      </c>
      <c r="V42" s="41">
        <f>INDEX(CIBIL_Grade,MATCH(J42,CIBIL_From,1))</f>
        <v/>
      </c>
      <c r="W42" s="41">
        <f>YEAR(F42)&amp;"-Q"&amp;ROUNDUP(MONTH(F42)/3,0)</f>
        <v/>
      </c>
      <c r="X42" s="41">
        <f>IF(AND(OR(Dashboard!$C$4="All",D42=Dashboard!$C$4),OR(Dashboard!$C$5="All",E42=Dashboard!$C$5)),1,0)</f>
        <v/>
      </c>
      <c r="Y42" s="43">
        <f>IF(AND(X42=1,S42="Yes"),O42+ROW()/1000000,0)</f>
        <v/>
      </c>
    </row>
    <row r="43">
      <c r="A43" s="35" t="inlineStr">
        <is>
          <t>LN100042</t>
        </is>
      </c>
      <c r="B43" s="35" t="inlineStr">
        <is>
          <t>Riya Das</t>
        </is>
      </c>
      <c r="C43" s="35" t="inlineStr">
        <is>
          <t>LKO-01</t>
        </is>
      </c>
      <c r="D43" s="36">
        <f>INDEX(Branches!$C$2:$C$15,MATCH(C43,Branches!$A$2:$A$15,0))</f>
        <v/>
      </c>
      <c r="E43" s="35" t="inlineStr">
        <is>
          <t>Home Loan</t>
        </is>
      </c>
      <c r="F43" s="37" t="n">
        <v>45514</v>
      </c>
      <c r="G43" s="38" t="n">
        <v>8151000</v>
      </c>
      <c r="H43" s="39" t="n">
        <v>0.09660000000000001</v>
      </c>
      <c r="I43" s="35" t="n">
        <v>240</v>
      </c>
      <c r="J43" s="35" t="n">
        <v>628</v>
      </c>
      <c r="K43" s="35" t="n">
        <v>0</v>
      </c>
      <c r="L43" s="40">
        <f>ROUND(PMT(H43/12,I43,-G43),0)</f>
        <v/>
      </c>
      <c r="M43" s="41">
        <f>MAX(0,(YEAR(AsOfDate)-YEAR(F43))*12+MONTH(AsOfDate)-MONTH(F43))</f>
        <v/>
      </c>
      <c r="N43" s="41">
        <f>MAX(0,MIN(I43,M43)-INT(K43/30))</f>
        <v/>
      </c>
      <c r="O43" s="40">
        <f>IF(N43&gt;=I43,0,ROUND(PV(H43/12,I43-N43,-L43),0))</f>
        <v/>
      </c>
      <c r="P43" s="40">
        <f>MIN(I43,M43)*L43-N43*L43</f>
        <v/>
      </c>
      <c r="Q43" s="41">
        <f>INDEX(DPD_Bucket,MATCH(K43,DPD_From,1))</f>
        <v/>
      </c>
      <c r="R43" s="41">
        <f>INDEX(DPD_Class,MATCH(K43,DPD_From,1))</f>
        <v/>
      </c>
      <c r="S43" s="41">
        <f>INDEX(DPD_NPA,MATCH(K43,DPD_From,1))</f>
        <v/>
      </c>
      <c r="T43" s="42">
        <f>INDEX(DPD_Prov,MATCH(K43,DPD_From,1))</f>
        <v/>
      </c>
      <c r="U43" s="40">
        <f>ROUND(O43*T43,0)</f>
        <v/>
      </c>
      <c r="V43" s="41">
        <f>INDEX(CIBIL_Grade,MATCH(J43,CIBIL_From,1))</f>
        <v/>
      </c>
      <c r="W43" s="41">
        <f>YEAR(F43)&amp;"-Q"&amp;ROUNDUP(MONTH(F43)/3,0)</f>
        <v/>
      </c>
      <c r="X43" s="41">
        <f>IF(AND(OR(Dashboard!$C$4="All",D43=Dashboard!$C$4),OR(Dashboard!$C$5="All",E43=Dashboard!$C$5)),1,0)</f>
        <v/>
      </c>
      <c r="Y43" s="43">
        <f>IF(AND(X43=1,S43="Yes"),O43+ROW()/1000000,0)</f>
        <v/>
      </c>
    </row>
    <row r="44">
      <c r="A44" s="35" t="inlineStr">
        <is>
          <t>LN100043</t>
        </is>
      </c>
      <c r="B44" s="35" t="inlineStr">
        <is>
          <t>Aditya Mohanty</t>
        </is>
      </c>
      <c r="C44" s="35" t="inlineStr">
        <is>
          <t>KOL-01</t>
        </is>
      </c>
      <c r="D44" s="36">
        <f>INDEX(Branches!$C$2:$C$15,MATCH(C44,Branches!$A$2:$A$15,0))</f>
        <v/>
      </c>
      <c r="E44" s="35" t="inlineStr">
        <is>
          <t>Business Loan</t>
        </is>
      </c>
      <c r="F44" s="37" t="n">
        <v>46000</v>
      </c>
      <c r="G44" s="38" t="n">
        <v>1897000</v>
      </c>
      <c r="H44" s="39" t="n">
        <v>0.1865</v>
      </c>
      <c r="I44" s="35" t="n">
        <v>24</v>
      </c>
      <c r="J44" s="35" t="n">
        <v>717</v>
      </c>
      <c r="K44" s="35" t="n">
        <v>0</v>
      </c>
      <c r="L44" s="40">
        <f>ROUND(PMT(H44/12,I44,-G44),0)</f>
        <v/>
      </c>
      <c r="M44" s="41">
        <f>MAX(0,(YEAR(AsOfDate)-YEAR(F44))*12+MONTH(AsOfDate)-MONTH(F44))</f>
        <v/>
      </c>
      <c r="N44" s="41">
        <f>MAX(0,MIN(I44,M44)-INT(K44/30))</f>
        <v/>
      </c>
      <c r="O44" s="40">
        <f>IF(N44&gt;=I44,0,ROUND(PV(H44/12,I44-N44,-L44),0))</f>
        <v/>
      </c>
      <c r="P44" s="40">
        <f>MIN(I44,M44)*L44-N44*L44</f>
        <v/>
      </c>
      <c r="Q44" s="41">
        <f>INDEX(DPD_Bucket,MATCH(K44,DPD_From,1))</f>
        <v/>
      </c>
      <c r="R44" s="41">
        <f>INDEX(DPD_Class,MATCH(K44,DPD_From,1))</f>
        <v/>
      </c>
      <c r="S44" s="41">
        <f>INDEX(DPD_NPA,MATCH(K44,DPD_From,1))</f>
        <v/>
      </c>
      <c r="T44" s="42">
        <f>INDEX(DPD_Prov,MATCH(K44,DPD_From,1))</f>
        <v/>
      </c>
      <c r="U44" s="40">
        <f>ROUND(O44*T44,0)</f>
        <v/>
      </c>
      <c r="V44" s="41">
        <f>INDEX(CIBIL_Grade,MATCH(J44,CIBIL_From,1))</f>
        <v/>
      </c>
      <c r="W44" s="41">
        <f>YEAR(F44)&amp;"-Q"&amp;ROUNDUP(MONTH(F44)/3,0)</f>
        <v/>
      </c>
      <c r="X44" s="41">
        <f>IF(AND(OR(Dashboard!$C$4="All",D44=Dashboard!$C$4),OR(Dashboard!$C$5="All",E44=Dashboard!$C$5)),1,0)</f>
        <v/>
      </c>
      <c r="Y44" s="43">
        <f>IF(AND(X44=1,S44="Yes"),O44+ROW()/1000000,0)</f>
        <v/>
      </c>
    </row>
    <row r="45">
      <c r="A45" s="35" t="inlineStr">
        <is>
          <t>LN100044</t>
        </is>
      </c>
      <c r="B45" s="35" t="inlineStr">
        <is>
          <t>Suresh Iyer</t>
        </is>
      </c>
      <c r="C45" s="35" t="inlineStr">
        <is>
          <t>DEL-01</t>
        </is>
      </c>
      <c r="D45" s="36">
        <f>INDEX(Branches!$C$2:$C$15,MATCH(C45,Branches!$A$2:$A$15,0))</f>
        <v/>
      </c>
      <c r="E45" s="35" t="inlineStr">
        <is>
          <t>Home Loan</t>
        </is>
      </c>
      <c r="F45" s="37" t="n">
        <v>45672</v>
      </c>
      <c r="G45" s="38" t="n">
        <v>7388000</v>
      </c>
      <c r="H45" s="39" t="n">
        <v>0.09279999999999999</v>
      </c>
      <c r="I45" s="35" t="n">
        <v>120</v>
      </c>
      <c r="J45" s="35" t="n">
        <v>814</v>
      </c>
      <c r="K45" s="35" t="n">
        <v>0</v>
      </c>
      <c r="L45" s="40">
        <f>ROUND(PMT(H45/12,I45,-G45),0)</f>
        <v/>
      </c>
      <c r="M45" s="41">
        <f>MAX(0,(YEAR(AsOfDate)-YEAR(F45))*12+MONTH(AsOfDate)-MONTH(F45))</f>
        <v/>
      </c>
      <c r="N45" s="41">
        <f>MAX(0,MIN(I45,M45)-INT(K45/30))</f>
        <v/>
      </c>
      <c r="O45" s="40">
        <f>IF(N45&gt;=I45,0,ROUND(PV(H45/12,I45-N45,-L45),0))</f>
        <v/>
      </c>
      <c r="P45" s="40">
        <f>MIN(I45,M45)*L45-N45*L45</f>
        <v/>
      </c>
      <c r="Q45" s="41">
        <f>INDEX(DPD_Bucket,MATCH(K45,DPD_From,1))</f>
        <v/>
      </c>
      <c r="R45" s="41">
        <f>INDEX(DPD_Class,MATCH(K45,DPD_From,1))</f>
        <v/>
      </c>
      <c r="S45" s="41">
        <f>INDEX(DPD_NPA,MATCH(K45,DPD_From,1))</f>
        <v/>
      </c>
      <c r="T45" s="42">
        <f>INDEX(DPD_Prov,MATCH(K45,DPD_From,1))</f>
        <v/>
      </c>
      <c r="U45" s="40">
        <f>ROUND(O45*T45,0)</f>
        <v/>
      </c>
      <c r="V45" s="41">
        <f>INDEX(CIBIL_Grade,MATCH(J45,CIBIL_From,1))</f>
        <v/>
      </c>
      <c r="W45" s="41">
        <f>YEAR(F45)&amp;"-Q"&amp;ROUNDUP(MONTH(F45)/3,0)</f>
        <v/>
      </c>
      <c r="X45" s="41">
        <f>IF(AND(OR(Dashboard!$C$4="All",D45=Dashboard!$C$4),OR(Dashboard!$C$5="All",E45=Dashboard!$C$5)),1,0)</f>
        <v/>
      </c>
      <c r="Y45" s="43">
        <f>IF(AND(X45=1,S45="Yes"),O45+ROW()/1000000,0)</f>
        <v/>
      </c>
    </row>
    <row r="46">
      <c r="A46" s="35" t="inlineStr">
        <is>
          <t>LN100045</t>
        </is>
      </c>
      <c r="B46" s="35" t="inlineStr">
        <is>
          <t>Aarav Nair</t>
        </is>
      </c>
      <c r="C46" s="35" t="inlineStr">
        <is>
          <t>PAT-01</t>
        </is>
      </c>
      <c r="D46" s="36">
        <f>INDEX(Branches!$C$2:$C$15,MATCH(C46,Branches!$A$2:$A$15,0))</f>
        <v/>
      </c>
      <c r="E46" s="35" t="inlineStr">
        <is>
          <t>Home Loan</t>
        </is>
      </c>
      <c r="F46" s="37" t="n">
        <v>45387</v>
      </c>
      <c r="G46" s="38" t="n">
        <v>7527000</v>
      </c>
      <c r="H46" s="39" t="n">
        <v>0.08649999999999999</v>
      </c>
      <c r="I46" s="35" t="n">
        <v>240</v>
      </c>
      <c r="J46" s="35" t="n">
        <v>693</v>
      </c>
      <c r="K46" s="35" t="n">
        <v>0</v>
      </c>
      <c r="L46" s="40">
        <f>ROUND(PMT(H46/12,I46,-G46),0)</f>
        <v/>
      </c>
      <c r="M46" s="41">
        <f>MAX(0,(YEAR(AsOfDate)-YEAR(F46))*12+MONTH(AsOfDate)-MONTH(F46))</f>
        <v/>
      </c>
      <c r="N46" s="41">
        <f>MAX(0,MIN(I46,M46)-INT(K46/30))</f>
        <v/>
      </c>
      <c r="O46" s="40">
        <f>IF(N46&gt;=I46,0,ROUND(PV(H46/12,I46-N46,-L46),0))</f>
        <v/>
      </c>
      <c r="P46" s="40">
        <f>MIN(I46,M46)*L46-N46*L46</f>
        <v/>
      </c>
      <c r="Q46" s="41">
        <f>INDEX(DPD_Bucket,MATCH(K46,DPD_From,1))</f>
        <v/>
      </c>
      <c r="R46" s="41">
        <f>INDEX(DPD_Class,MATCH(K46,DPD_From,1))</f>
        <v/>
      </c>
      <c r="S46" s="41">
        <f>INDEX(DPD_NPA,MATCH(K46,DPD_From,1))</f>
        <v/>
      </c>
      <c r="T46" s="42">
        <f>INDEX(DPD_Prov,MATCH(K46,DPD_From,1))</f>
        <v/>
      </c>
      <c r="U46" s="40">
        <f>ROUND(O46*T46,0)</f>
        <v/>
      </c>
      <c r="V46" s="41">
        <f>INDEX(CIBIL_Grade,MATCH(J46,CIBIL_From,1))</f>
        <v/>
      </c>
      <c r="W46" s="41">
        <f>YEAR(F46)&amp;"-Q"&amp;ROUNDUP(MONTH(F46)/3,0)</f>
        <v/>
      </c>
      <c r="X46" s="41">
        <f>IF(AND(OR(Dashboard!$C$4="All",D46=Dashboard!$C$4),OR(Dashboard!$C$5="All",E46=Dashboard!$C$5)),1,0)</f>
        <v/>
      </c>
      <c r="Y46" s="43">
        <f>IF(AND(X46=1,S46="Yes"),O46+ROW()/1000000,0)</f>
        <v/>
      </c>
    </row>
    <row r="47">
      <c r="A47" s="35" t="inlineStr">
        <is>
          <t>LN100046</t>
        </is>
      </c>
      <c r="B47" s="35" t="inlineStr">
        <is>
          <t>Harsh Nair</t>
        </is>
      </c>
      <c r="C47" s="35" t="inlineStr">
        <is>
          <t>DEL-01</t>
        </is>
      </c>
      <c r="D47" s="36">
        <f>INDEX(Branches!$C$2:$C$15,MATCH(C47,Branches!$A$2:$A$15,0))</f>
        <v/>
      </c>
      <c r="E47" s="35" t="inlineStr">
        <is>
          <t>Gold Loan</t>
        </is>
      </c>
      <c r="F47" s="37" t="n">
        <v>46071</v>
      </c>
      <c r="G47" s="38" t="n">
        <v>110000</v>
      </c>
      <c r="H47" s="39" t="n">
        <v>0.1039</v>
      </c>
      <c r="I47" s="35" t="n">
        <v>12</v>
      </c>
      <c r="J47" s="35" t="n">
        <v>736</v>
      </c>
      <c r="K47" s="35" t="n">
        <v>0</v>
      </c>
      <c r="L47" s="40">
        <f>ROUND(PMT(H47/12,I47,-G47),0)</f>
        <v/>
      </c>
      <c r="M47" s="41">
        <f>MAX(0,(YEAR(AsOfDate)-YEAR(F47))*12+MONTH(AsOfDate)-MONTH(F47))</f>
        <v/>
      </c>
      <c r="N47" s="41">
        <f>MAX(0,MIN(I47,M47)-INT(K47/30))</f>
        <v/>
      </c>
      <c r="O47" s="40">
        <f>IF(N47&gt;=I47,0,ROUND(PV(H47/12,I47-N47,-L47),0))</f>
        <v/>
      </c>
      <c r="P47" s="40">
        <f>MIN(I47,M47)*L47-N47*L47</f>
        <v/>
      </c>
      <c r="Q47" s="41">
        <f>INDEX(DPD_Bucket,MATCH(K47,DPD_From,1))</f>
        <v/>
      </c>
      <c r="R47" s="41">
        <f>INDEX(DPD_Class,MATCH(K47,DPD_From,1))</f>
        <v/>
      </c>
      <c r="S47" s="41">
        <f>INDEX(DPD_NPA,MATCH(K47,DPD_From,1))</f>
        <v/>
      </c>
      <c r="T47" s="42">
        <f>INDEX(DPD_Prov,MATCH(K47,DPD_From,1))</f>
        <v/>
      </c>
      <c r="U47" s="40">
        <f>ROUND(O47*T47,0)</f>
        <v/>
      </c>
      <c r="V47" s="41">
        <f>INDEX(CIBIL_Grade,MATCH(J47,CIBIL_From,1))</f>
        <v/>
      </c>
      <c r="W47" s="41">
        <f>YEAR(F47)&amp;"-Q"&amp;ROUNDUP(MONTH(F47)/3,0)</f>
        <v/>
      </c>
      <c r="X47" s="41">
        <f>IF(AND(OR(Dashboard!$C$4="All",D47=Dashboard!$C$4),OR(Dashboard!$C$5="All",E47=Dashboard!$C$5)),1,0)</f>
        <v/>
      </c>
      <c r="Y47" s="43">
        <f>IF(AND(X47=1,S47="Yes"),O47+ROW()/1000000,0)</f>
        <v/>
      </c>
    </row>
    <row r="48">
      <c r="A48" s="35" t="inlineStr">
        <is>
          <t>LN100047</t>
        </is>
      </c>
      <c r="B48" s="35" t="inlineStr">
        <is>
          <t>Zoya Chatterjee</t>
        </is>
      </c>
      <c r="C48" s="35" t="inlineStr">
        <is>
          <t>AMD-01</t>
        </is>
      </c>
      <c r="D48" s="36">
        <f>INDEX(Branches!$C$2:$C$15,MATCH(C48,Branches!$A$2:$A$15,0))</f>
        <v/>
      </c>
      <c r="E48" s="35" t="inlineStr">
        <is>
          <t>Personal Loan</t>
        </is>
      </c>
      <c r="F48" s="37" t="n">
        <v>45524</v>
      </c>
      <c r="G48" s="38" t="n">
        <v>1263000</v>
      </c>
      <c r="H48" s="39" t="n">
        <v>0.1461</v>
      </c>
      <c r="I48" s="35" t="n">
        <v>60</v>
      </c>
      <c r="J48" s="35" t="n">
        <v>845</v>
      </c>
      <c r="K48" s="35" t="n">
        <v>0</v>
      </c>
      <c r="L48" s="40">
        <f>ROUND(PMT(H48/12,I48,-G48),0)</f>
        <v/>
      </c>
      <c r="M48" s="41">
        <f>MAX(0,(YEAR(AsOfDate)-YEAR(F48))*12+MONTH(AsOfDate)-MONTH(F48))</f>
        <v/>
      </c>
      <c r="N48" s="41">
        <f>MAX(0,MIN(I48,M48)-INT(K48/30))</f>
        <v/>
      </c>
      <c r="O48" s="40">
        <f>IF(N48&gt;=I48,0,ROUND(PV(H48/12,I48-N48,-L48),0))</f>
        <v/>
      </c>
      <c r="P48" s="40">
        <f>MIN(I48,M48)*L48-N48*L48</f>
        <v/>
      </c>
      <c r="Q48" s="41">
        <f>INDEX(DPD_Bucket,MATCH(K48,DPD_From,1))</f>
        <v/>
      </c>
      <c r="R48" s="41">
        <f>INDEX(DPD_Class,MATCH(K48,DPD_From,1))</f>
        <v/>
      </c>
      <c r="S48" s="41">
        <f>INDEX(DPD_NPA,MATCH(K48,DPD_From,1))</f>
        <v/>
      </c>
      <c r="T48" s="42">
        <f>INDEX(DPD_Prov,MATCH(K48,DPD_From,1))</f>
        <v/>
      </c>
      <c r="U48" s="40">
        <f>ROUND(O48*T48,0)</f>
        <v/>
      </c>
      <c r="V48" s="41">
        <f>INDEX(CIBIL_Grade,MATCH(J48,CIBIL_From,1))</f>
        <v/>
      </c>
      <c r="W48" s="41">
        <f>YEAR(F48)&amp;"-Q"&amp;ROUNDUP(MONTH(F48)/3,0)</f>
        <v/>
      </c>
      <c r="X48" s="41">
        <f>IF(AND(OR(Dashboard!$C$4="All",D48=Dashboard!$C$4),OR(Dashboard!$C$5="All",E48=Dashboard!$C$5)),1,0)</f>
        <v/>
      </c>
      <c r="Y48" s="43">
        <f>IF(AND(X48=1,S48="Yes"),O48+ROW()/1000000,0)</f>
        <v/>
      </c>
    </row>
    <row r="49">
      <c r="A49" s="35" t="inlineStr">
        <is>
          <t>LN100048</t>
        </is>
      </c>
      <c r="B49" s="35" t="inlineStr">
        <is>
          <t>Kabir Gupta</t>
        </is>
      </c>
      <c r="C49" s="35" t="inlineStr">
        <is>
          <t>PAT-01</t>
        </is>
      </c>
      <c r="D49" s="36">
        <f>INDEX(Branches!$C$2:$C$15,MATCH(C49,Branches!$A$2:$A$15,0))</f>
        <v/>
      </c>
      <c r="E49" s="35" t="inlineStr">
        <is>
          <t>Gold Loan</t>
        </is>
      </c>
      <c r="F49" s="37" t="n">
        <v>45252</v>
      </c>
      <c r="G49" s="38" t="n">
        <v>400000</v>
      </c>
      <c r="H49" s="39" t="n">
        <v>0.1045</v>
      </c>
      <c r="I49" s="35" t="n">
        <v>12</v>
      </c>
      <c r="J49" s="35" t="n">
        <v>699</v>
      </c>
      <c r="K49" s="35" t="n">
        <v>0</v>
      </c>
      <c r="L49" s="40">
        <f>ROUND(PMT(H49/12,I49,-G49),0)</f>
        <v/>
      </c>
      <c r="M49" s="41">
        <f>MAX(0,(YEAR(AsOfDate)-YEAR(F49))*12+MONTH(AsOfDate)-MONTH(F49))</f>
        <v/>
      </c>
      <c r="N49" s="41">
        <f>MAX(0,MIN(I49,M49)-INT(K49/30))</f>
        <v/>
      </c>
      <c r="O49" s="40">
        <f>IF(N49&gt;=I49,0,ROUND(PV(H49/12,I49-N49,-L49),0))</f>
        <v/>
      </c>
      <c r="P49" s="40">
        <f>MIN(I49,M49)*L49-N49*L49</f>
        <v/>
      </c>
      <c r="Q49" s="41">
        <f>INDEX(DPD_Bucket,MATCH(K49,DPD_From,1))</f>
        <v/>
      </c>
      <c r="R49" s="41">
        <f>INDEX(DPD_Class,MATCH(K49,DPD_From,1))</f>
        <v/>
      </c>
      <c r="S49" s="41">
        <f>INDEX(DPD_NPA,MATCH(K49,DPD_From,1))</f>
        <v/>
      </c>
      <c r="T49" s="42">
        <f>INDEX(DPD_Prov,MATCH(K49,DPD_From,1))</f>
        <v/>
      </c>
      <c r="U49" s="40">
        <f>ROUND(O49*T49,0)</f>
        <v/>
      </c>
      <c r="V49" s="41">
        <f>INDEX(CIBIL_Grade,MATCH(J49,CIBIL_From,1))</f>
        <v/>
      </c>
      <c r="W49" s="41">
        <f>YEAR(F49)&amp;"-Q"&amp;ROUNDUP(MONTH(F49)/3,0)</f>
        <v/>
      </c>
      <c r="X49" s="41">
        <f>IF(AND(OR(Dashboard!$C$4="All",D49=Dashboard!$C$4),OR(Dashboard!$C$5="All",E49=Dashboard!$C$5)),1,0)</f>
        <v/>
      </c>
      <c r="Y49" s="43">
        <f>IF(AND(X49=1,S49="Yes"),O49+ROW()/1000000,0)</f>
        <v/>
      </c>
    </row>
    <row r="50">
      <c r="A50" s="35" t="inlineStr">
        <is>
          <t>LN100049</t>
        </is>
      </c>
      <c r="B50" s="35" t="inlineStr">
        <is>
          <t>Swati Kulkarni</t>
        </is>
      </c>
      <c r="C50" s="35" t="inlineStr">
        <is>
          <t>CHN-01</t>
        </is>
      </c>
      <c r="D50" s="36">
        <f>INDEX(Branches!$C$2:$C$15,MATCH(C50,Branches!$A$2:$A$15,0))</f>
        <v/>
      </c>
      <c r="E50" s="35" t="inlineStr">
        <is>
          <t>Auto Loan</t>
        </is>
      </c>
      <c r="F50" s="37" t="n">
        <v>46015</v>
      </c>
      <c r="G50" s="38" t="n">
        <v>621000</v>
      </c>
      <c r="H50" s="39" t="n">
        <v>0.09619999999999999</v>
      </c>
      <c r="I50" s="35" t="n">
        <v>84</v>
      </c>
      <c r="J50" s="35" t="n">
        <v>725</v>
      </c>
      <c r="K50" s="35" t="n">
        <v>0</v>
      </c>
      <c r="L50" s="40">
        <f>ROUND(PMT(H50/12,I50,-G50),0)</f>
        <v/>
      </c>
      <c r="M50" s="41">
        <f>MAX(0,(YEAR(AsOfDate)-YEAR(F50))*12+MONTH(AsOfDate)-MONTH(F50))</f>
        <v/>
      </c>
      <c r="N50" s="41">
        <f>MAX(0,MIN(I50,M50)-INT(K50/30))</f>
        <v/>
      </c>
      <c r="O50" s="40">
        <f>IF(N50&gt;=I50,0,ROUND(PV(H50/12,I50-N50,-L50),0))</f>
        <v/>
      </c>
      <c r="P50" s="40">
        <f>MIN(I50,M50)*L50-N50*L50</f>
        <v/>
      </c>
      <c r="Q50" s="41">
        <f>INDEX(DPD_Bucket,MATCH(K50,DPD_From,1))</f>
        <v/>
      </c>
      <c r="R50" s="41">
        <f>INDEX(DPD_Class,MATCH(K50,DPD_From,1))</f>
        <v/>
      </c>
      <c r="S50" s="41">
        <f>INDEX(DPD_NPA,MATCH(K50,DPD_From,1))</f>
        <v/>
      </c>
      <c r="T50" s="42">
        <f>INDEX(DPD_Prov,MATCH(K50,DPD_From,1))</f>
        <v/>
      </c>
      <c r="U50" s="40">
        <f>ROUND(O50*T50,0)</f>
        <v/>
      </c>
      <c r="V50" s="41">
        <f>INDEX(CIBIL_Grade,MATCH(J50,CIBIL_From,1))</f>
        <v/>
      </c>
      <c r="W50" s="41">
        <f>YEAR(F50)&amp;"-Q"&amp;ROUNDUP(MONTH(F50)/3,0)</f>
        <v/>
      </c>
      <c r="X50" s="41">
        <f>IF(AND(OR(Dashboard!$C$4="All",D50=Dashboard!$C$4),OR(Dashboard!$C$5="All",E50=Dashboard!$C$5)),1,0)</f>
        <v/>
      </c>
      <c r="Y50" s="43">
        <f>IF(AND(X50=1,S50="Yes"),O50+ROW()/1000000,0)</f>
        <v/>
      </c>
    </row>
    <row r="51">
      <c r="A51" s="35" t="inlineStr">
        <is>
          <t>LN100050</t>
        </is>
      </c>
      <c r="B51" s="35" t="inlineStr">
        <is>
          <t>Priya Kulkarni</t>
        </is>
      </c>
      <c r="C51" s="35" t="inlineStr">
        <is>
          <t>DEL-01</t>
        </is>
      </c>
      <c r="D51" s="36">
        <f>INDEX(Branches!$C$2:$C$15,MATCH(C51,Branches!$A$2:$A$15,0))</f>
        <v/>
      </c>
      <c r="E51" s="35" t="inlineStr">
        <is>
          <t>Personal Loan</t>
        </is>
      </c>
      <c r="F51" s="37" t="n">
        <v>46042</v>
      </c>
      <c r="G51" s="38" t="n">
        <v>682000</v>
      </c>
      <c r="H51" s="39" t="n">
        <v>0.1205</v>
      </c>
      <c r="I51" s="35" t="n">
        <v>24</v>
      </c>
      <c r="J51" s="35" t="n">
        <v>695</v>
      </c>
      <c r="K51" s="35" t="n">
        <v>0</v>
      </c>
      <c r="L51" s="40">
        <f>ROUND(PMT(H51/12,I51,-G51),0)</f>
        <v/>
      </c>
      <c r="M51" s="41">
        <f>MAX(0,(YEAR(AsOfDate)-YEAR(F51))*12+MONTH(AsOfDate)-MONTH(F51))</f>
        <v/>
      </c>
      <c r="N51" s="41">
        <f>MAX(0,MIN(I51,M51)-INT(K51/30))</f>
        <v/>
      </c>
      <c r="O51" s="40">
        <f>IF(N51&gt;=I51,0,ROUND(PV(H51/12,I51-N51,-L51),0))</f>
        <v/>
      </c>
      <c r="P51" s="40">
        <f>MIN(I51,M51)*L51-N51*L51</f>
        <v/>
      </c>
      <c r="Q51" s="41">
        <f>INDEX(DPD_Bucket,MATCH(K51,DPD_From,1))</f>
        <v/>
      </c>
      <c r="R51" s="41">
        <f>INDEX(DPD_Class,MATCH(K51,DPD_From,1))</f>
        <v/>
      </c>
      <c r="S51" s="41">
        <f>INDEX(DPD_NPA,MATCH(K51,DPD_From,1))</f>
        <v/>
      </c>
      <c r="T51" s="42">
        <f>INDEX(DPD_Prov,MATCH(K51,DPD_From,1))</f>
        <v/>
      </c>
      <c r="U51" s="40">
        <f>ROUND(O51*T51,0)</f>
        <v/>
      </c>
      <c r="V51" s="41">
        <f>INDEX(CIBIL_Grade,MATCH(J51,CIBIL_From,1))</f>
        <v/>
      </c>
      <c r="W51" s="41">
        <f>YEAR(F51)&amp;"-Q"&amp;ROUNDUP(MONTH(F51)/3,0)</f>
        <v/>
      </c>
      <c r="X51" s="41">
        <f>IF(AND(OR(Dashboard!$C$4="All",D51=Dashboard!$C$4),OR(Dashboard!$C$5="All",E51=Dashboard!$C$5)),1,0)</f>
        <v/>
      </c>
      <c r="Y51" s="43">
        <f>IF(AND(X51=1,S51="Yes"),O51+ROW()/1000000,0)</f>
        <v/>
      </c>
    </row>
    <row r="52">
      <c r="A52" s="35" t="inlineStr">
        <is>
          <t>LN100051</t>
        </is>
      </c>
      <c r="B52" s="35" t="inlineStr">
        <is>
          <t>Aarav Menon</t>
        </is>
      </c>
      <c r="C52" s="35" t="inlineStr">
        <is>
          <t>MUM-01</t>
        </is>
      </c>
      <c r="D52" s="36">
        <f>INDEX(Branches!$C$2:$C$15,MATCH(C52,Branches!$A$2:$A$15,0))</f>
        <v/>
      </c>
      <c r="E52" s="35" t="inlineStr">
        <is>
          <t>Personal Loan</t>
        </is>
      </c>
      <c r="F52" s="37" t="n">
        <v>46133</v>
      </c>
      <c r="G52" s="38" t="n">
        <v>1155000</v>
      </c>
      <c r="H52" s="39" t="n">
        <v>0.169</v>
      </c>
      <c r="I52" s="35" t="n">
        <v>60</v>
      </c>
      <c r="J52" s="35" t="n">
        <v>793</v>
      </c>
      <c r="K52" s="35" t="n">
        <v>0</v>
      </c>
      <c r="L52" s="40">
        <f>ROUND(PMT(H52/12,I52,-G52),0)</f>
        <v/>
      </c>
      <c r="M52" s="41">
        <f>MAX(0,(YEAR(AsOfDate)-YEAR(F52))*12+MONTH(AsOfDate)-MONTH(F52))</f>
        <v/>
      </c>
      <c r="N52" s="41">
        <f>MAX(0,MIN(I52,M52)-INT(K52/30))</f>
        <v/>
      </c>
      <c r="O52" s="40">
        <f>IF(N52&gt;=I52,0,ROUND(PV(H52/12,I52-N52,-L52),0))</f>
        <v/>
      </c>
      <c r="P52" s="40">
        <f>MIN(I52,M52)*L52-N52*L52</f>
        <v/>
      </c>
      <c r="Q52" s="41">
        <f>INDEX(DPD_Bucket,MATCH(K52,DPD_From,1))</f>
        <v/>
      </c>
      <c r="R52" s="41">
        <f>INDEX(DPD_Class,MATCH(K52,DPD_From,1))</f>
        <v/>
      </c>
      <c r="S52" s="41">
        <f>INDEX(DPD_NPA,MATCH(K52,DPD_From,1))</f>
        <v/>
      </c>
      <c r="T52" s="42">
        <f>INDEX(DPD_Prov,MATCH(K52,DPD_From,1))</f>
        <v/>
      </c>
      <c r="U52" s="40">
        <f>ROUND(O52*T52,0)</f>
        <v/>
      </c>
      <c r="V52" s="41">
        <f>INDEX(CIBIL_Grade,MATCH(J52,CIBIL_From,1))</f>
        <v/>
      </c>
      <c r="W52" s="41">
        <f>YEAR(F52)&amp;"-Q"&amp;ROUNDUP(MONTH(F52)/3,0)</f>
        <v/>
      </c>
      <c r="X52" s="41">
        <f>IF(AND(OR(Dashboard!$C$4="All",D52=Dashboard!$C$4),OR(Dashboard!$C$5="All",E52=Dashboard!$C$5)),1,0)</f>
        <v/>
      </c>
      <c r="Y52" s="43">
        <f>IF(AND(X52=1,S52="Yes"),O52+ROW()/1000000,0)</f>
        <v/>
      </c>
    </row>
    <row r="53">
      <c r="A53" s="35" t="inlineStr">
        <is>
          <t>LN100052</t>
        </is>
      </c>
      <c r="B53" s="35" t="inlineStr">
        <is>
          <t>Ananya Khan</t>
        </is>
      </c>
      <c r="C53" s="35" t="inlineStr">
        <is>
          <t>DEL-01</t>
        </is>
      </c>
      <c r="D53" s="36">
        <f>INDEX(Branches!$C$2:$C$15,MATCH(C53,Branches!$A$2:$A$15,0))</f>
        <v/>
      </c>
      <c r="E53" s="35" t="inlineStr">
        <is>
          <t>Gold Loan</t>
        </is>
      </c>
      <c r="F53" s="37" t="n">
        <v>45722</v>
      </c>
      <c r="G53" s="38" t="n">
        <v>63000</v>
      </c>
      <c r="H53" s="39" t="n">
        <v>0.1001</v>
      </c>
      <c r="I53" s="35" t="n">
        <v>12</v>
      </c>
      <c r="J53" s="35" t="n">
        <v>661</v>
      </c>
      <c r="K53" s="35" t="n">
        <v>0</v>
      </c>
      <c r="L53" s="40">
        <f>ROUND(PMT(H53/12,I53,-G53),0)</f>
        <v/>
      </c>
      <c r="M53" s="41">
        <f>MAX(0,(YEAR(AsOfDate)-YEAR(F53))*12+MONTH(AsOfDate)-MONTH(F53))</f>
        <v/>
      </c>
      <c r="N53" s="41">
        <f>MAX(0,MIN(I53,M53)-INT(K53/30))</f>
        <v/>
      </c>
      <c r="O53" s="40">
        <f>IF(N53&gt;=I53,0,ROUND(PV(H53/12,I53-N53,-L53),0))</f>
        <v/>
      </c>
      <c r="P53" s="40">
        <f>MIN(I53,M53)*L53-N53*L53</f>
        <v/>
      </c>
      <c r="Q53" s="41">
        <f>INDEX(DPD_Bucket,MATCH(K53,DPD_From,1))</f>
        <v/>
      </c>
      <c r="R53" s="41">
        <f>INDEX(DPD_Class,MATCH(K53,DPD_From,1))</f>
        <v/>
      </c>
      <c r="S53" s="41">
        <f>INDEX(DPD_NPA,MATCH(K53,DPD_From,1))</f>
        <v/>
      </c>
      <c r="T53" s="42">
        <f>INDEX(DPD_Prov,MATCH(K53,DPD_From,1))</f>
        <v/>
      </c>
      <c r="U53" s="40">
        <f>ROUND(O53*T53,0)</f>
        <v/>
      </c>
      <c r="V53" s="41">
        <f>INDEX(CIBIL_Grade,MATCH(J53,CIBIL_From,1))</f>
        <v/>
      </c>
      <c r="W53" s="41">
        <f>YEAR(F53)&amp;"-Q"&amp;ROUNDUP(MONTH(F53)/3,0)</f>
        <v/>
      </c>
      <c r="X53" s="41">
        <f>IF(AND(OR(Dashboard!$C$4="All",D53=Dashboard!$C$4),OR(Dashboard!$C$5="All",E53=Dashboard!$C$5)),1,0)</f>
        <v/>
      </c>
      <c r="Y53" s="43">
        <f>IF(AND(X53=1,S53="Yes"),O53+ROW()/1000000,0)</f>
        <v/>
      </c>
    </row>
    <row r="54">
      <c r="A54" s="35" t="inlineStr">
        <is>
          <t>LN100053</t>
        </is>
      </c>
      <c r="B54" s="35" t="inlineStr">
        <is>
          <t>Rohan Sharma</t>
        </is>
      </c>
      <c r="C54" s="35" t="inlineStr">
        <is>
          <t>AMD-01</t>
        </is>
      </c>
      <c r="D54" s="36">
        <f>INDEX(Branches!$C$2:$C$15,MATCH(C54,Branches!$A$2:$A$15,0))</f>
        <v/>
      </c>
      <c r="E54" s="35" t="inlineStr">
        <is>
          <t>Personal Loan</t>
        </is>
      </c>
      <c r="F54" s="37" t="n">
        <v>45835</v>
      </c>
      <c r="G54" s="38" t="n">
        <v>929000</v>
      </c>
      <c r="H54" s="39" t="n">
        <v>0.1547</v>
      </c>
      <c r="I54" s="35" t="n">
        <v>48</v>
      </c>
      <c r="J54" s="35" t="n">
        <v>801</v>
      </c>
      <c r="K54" s="35" t="n">
        <v>0</v>
      </c>
      <c r="L54" s="40">
        <f>ROUND(PMT(H54/12,I54,-G54),0)</f>
        <v/>
      </c>
      <c r="M54" s="41">
        <f>MAX(0,(YEAR(AsOfDate)-YEAR(F54))*12+MONTH(AsOfDate)-MONTH(F54))</f>
        <v/>
      </c>
      <c r="N54" s="41">
        <f>MAX(0,MIN(I54,M54)-INT(K54/30))</f>
        <v/>
      </c>
      <c r="O54" s="40">
        <f>IF(N54&gt;=I54,0,ROUND(PV(H54/12,I54-N54,-L54),0))</f>
        <v/>
      </c>
      <c r="P54" s="40">
        <f>MIN(I54,M54)*L54-N54*L54</f>
        <v/>
      </c>
      <c r="Q54" s="41">
        <f>INDEX(DPD_Bucket,MATCH(K54,DPD_From,1))</f>
        <v/>
      </c>
      <c r="R54" s="41">
        <f>INDEX(DPD_Class,MATCH(K54,DPD_From,1))</f>
        <v/>
      </c>
      <c r="S54" s="41">
        <f>INDEX(DPD_NPA,MATCH(K54,DPD_From,1))</f>
        <v/>
      </c>
      <c r="T54" s="42">
        <f>INDEX(DPD_Prov,MATCH(K54,DPD_From,1))</f>
        <v/>
      </c>
      <c r="U54" s="40">
        <f>ROUND(O54*T54,0)</f>
        <v/>
      </c>
      <c r="V54" s="41">
        <f>INDEX(CIBIL_Grade,MATCH(J54,CIBIL_From,1))</f>
        <v/>
      </c>
      <c r="W54" s="41">
        <f>YEAR(F54)&amp;"-Q"&amp;ROUNDUP(MONTH(F54)/3,0)</f>
        <v/>
      </c>
      <c r="X54" s="41">
        <f>IF(AND(OR(Dashboard!$C$4="All",D54=Dashboard!$C$4),OR(Dashboard!$C$5="All",E54=Dashboard!$C$5)),1,0)</f>
        <v/>
      </c>
      <c r="Y54" s="43">
        <f>IF(AND(X54=1,S54="Yes"),O54+ROW()/1000000,0)</f>
        <v/>
      </c>
    </row>
    <row r="55">
      <c r="A55" s="35" t="inlineStr">
        <is>
          <t>LN100054</t>
        </is>
      </c>
      <c r="B55" s="35" t="inlineStr">
        <is>
          <t>Reyansh Verma</t>
        </is>
      </c>
      <c r="C55" s="35" t="inlineStr">
        <is>
          <t>MUM-01</t>
        </is>
      </c>
      <c r="D55" s="36">
        <f>INDEX(Branches!$C$2:$C$15,MATCH(C55,Branches!$A$2:$A$15,0))</f>
        <v/>
      </c>
      <c r="E55" s="35" t="inlineStr">
        <is>
          <t>Home Loan</t>
        </is>
      </c>
      <c r="F55" s="37" t="n">
        <v>45896</v>
      </c>
      <c r="G55" s="38" t="n">
        <v>6928000</v>
      </c>
      <c r="H55" s="39" t="n">
        <v>0.08699999999999999</v>
      </c>
      <c r="I55" s="35" t="n">
        <v>180</v>
      </c>
      <c r="J55" s="35" t="n">
        <v>630</v>
      </c>
      <c r="K55" s="35" t="n">
        <v>0</v>
      </c>
      <c r="L55" s="40">
        <f>ROUND(PMT(H55/12,I55,-G55),0)</f>
        <v/>
      </c>
      <c r="M55" s="41">
        <f>MAX(0,(YEAR(AsOfDate)-YEAR(F55))*12+MONTH(AsOfDate)-MONTH(F55))</f>
        <v/>
      </c>
      <c r="N55" s="41">
        <f>MAX(0,MIN(I55,M55)-INT(K55/30))</f>
        <v/>
      </c>
      <c r="O55" s="40">
        <f>IF(N55&gt;=I55,0,ROUND(PV(H55/12,I55-N55,-L55),0))</f>
        <v/>
      </c>
      <c r="P55" s="40">
        <f>MIN(I55,M55)*L55-N55*L55</f>
        <v/>
      </c>
      <c r="Q55" s="41">
        <f>INDEX(DPD_Bucket,MATCH(K55,DPD_From,1))</f>
        <v/>
      </c>
      <c r="R55" s="41">
        <f>INDEX(DPD_Class,MATCH(K55,DPD_From,1))</f>
        <v/>
      </c>
      <c r="S55" s="41">
        <f>INDEX(DPD_NPA,MATCH(K55,DPD_From,1))</f>
        <v/>
      </c>
      <c r="T55" s="42">
        <f>INDEX(DPD_Prov,MATCH(K55,DPD_From,1))</f>
        <v/>
      </c>
      <c r="U55" s="40">
        <f>ROUND(O55*T55,0)</f>
        <v/>
      </c>
      <c r="V55" s="41">
        <f>INDEX(CIBIL_Grade,MATCH(J55,CIBIL_From,1))</f>
        <v/>
      </c>
      <c r="W55" s="41">
        <f>YEAR(F55)&amp;"-Q"&amp;ROUNDUP(MONTH(F55)/3,0)</f>
        <v/>
      </c>
      <c r="X55" s="41">
        <f>IF(AND(OR(Dashboard!$C$4="All",D55=Dashboard!$C$4),OR(Dashboard!$C$5="All",E55=Dashboard!$C$5)),1,0)</f>
        <v/>
      </c>
      <c r="Y55" s="43">
        <f>IF(AND(X55=1,S55="Yes"),O55+ROW()/1000000,0)</f>
        <v/>
      </c>
    </row>
    <row r="56">
      <c r="A56" s="35" t="inlineStr">
        <is>
          <t>LN100055</t>
        </is>
      </c>
      <c r="B56" s="35" t="inlineStr">
        <is>
          <t>Aditya Pillai</t>
        </is>
      </c>
      <c r="C56" s="35" t="inlineStr">
        <is>
          <t>BLR-01</t>
        </is>
      </c>
      <c r="D56" s="36">
        <f>INDEX(Branches!$C$2:$C$15,MATCH(C56,Branches!$A$2:$A$15,0))</f>
        <v/>
      </c>
      <c r="E56" s="35" t="inlineStr">
        <is>
          <t>Auto Loan</t>
        </is>
      </c>
      <c r="F56" s="37" t="n">
        <v>45604</v>
      </c>
      <c r="G56" s="38" t="n">
        <v>1598000</v>
      </c>
      <c r="H56" s="39" t="n">
        <v>0.0906</v>
      </c>
      <c r="I56" s="35" t="n">
        <v>84</v>
      </c>
      <c r="J56" s="35" t="n">
        <v>736</v>
      </c>
      <c r="K56" s="35" t="n">
        <v>0</v>
      </c>
      <c r="L56" s="40">
        <f>ROUND(PMT(H56/12,I56,-G56),0)</f>
        <v/>
      </c>
      <c r="M56" s="41">
        <f>MAX(0,(YEAR(AsOfDate)-YEAR(F56))*12+MONTH(AsOfDate)-MONTH(F56))</f>
        <v/>
      </c>
      <c r="N56" s="41">
        <f>MAX(0,MIN(I56,M56)-INT(K56/30))</f>
        <v/>
      </c>
      <c r="O56" s="40">
        <f>IF(N56&gt;=I56,0,ROUND(PV(H56/12,I56-N56,-L56),0))</f>
        <v/>
      </c>
      <c r="P56" s="40">
        <f>MIN(I56,M56)*L56-N56*L56</f>
        <v/>
      </c>
      <c r="Q56" s="41">
        <f>INDEX(DPD_Bucket,MATCH(K56,DPD_From,1))</f>
        <v/>
      </c>
      <c r="R56" s="41">
        <f>INDEX(DPD_Class,MATCH(K56,DPD_From,1))</f>
        <v/>
      </c>
      <c r="S56" s="41">
        <f>INDEX(DPD_NPA,MATCH(K56,DPD_From,1))</f>
        <v/>
      </c>
      <c r="T56" s="42">
        <f>INDEX(DPD_Prov,MATCH(K56,DPD_From,1))</f>
        <v/>
      </c>
      <c r="U56" s="40">
        <f>ROUND(O56*T56,0)</f>
        <v/>
      </c>
      <c r="V56" s="41">
        <f>INDEX(CIBIL_Grade,MATCH(J56,CIBIL_From,1))</f>
        <v/>
      </c>
      <c r="W56" s="41">
        <f>YEAR(F56)&amp;"-Q"&amp;ROUNDUP(MONTH(F56)/3,0)</f>
        <v/>
      </c>
      <c r="X56" s="41">
        <f>IF(AND(OR(Dashboard!$C$4="All",D56=Dashboard!$C$4),OR(Dashboard!$C$5="All",E56=Dashboard!$C$5)),1,0)</f>
        <v/>
      </c>
      <c r="Y56" s="43">
        <f>IF(AND(X56=1,S56="Yes"),O56+ROW()/1000000,0)</f>
        <v/>
      </c>
    </row>
    <row r="57">
      <c r="A57" s="35" t="inlineStr">
        <is>
          <t>LN100056</t>
        </is>
      </c>
      <c r="B57" s="35" t="inlineStr">
        <is>
          <t>Lakshmi Verma</t>
        </is>
      </c>
      <c r="C57" s="35" t="inlineStr">
        <is>
          <t>PAT-01</t>
        </is>
      </c>
      <c r="D57" s="36">
        <f>INDEX(Branches!$C$2:$C$15,MATCH(C57,Branches!$A$2:$A$15,0))</f>
        <v/>
      </c>
      <c r="E57" s="35" t="inlineStr">
        <is>
          <t>Gold Loan</t>
        </is>
      </c>
      <c r="F57" s="37" t="n">
        <v>46033</v>
      </c>
      <c r="G57" s="38" t="n">
        <v>64000</v>
      </c>
      <c r="H57" s="39" t="n">
        <v>0.0974</v>
      </c>
      <c r="I57" s="35" t="n">
        <v>6</v>
      </c>
      <c r="J57" s="35" t="n">
        <v>631</v>
      </c>
      <c r="K57" s="35" t="n">
        <v>0</v>
      </c>
      <c r="L57" s="40">
        <f>ROUND(PMT(H57/12,I57,-G57),0)</f>
        <v/>
      </c>
      <c r="M57" s="41">
        <f>MAX(0,(YEAR(AsOfDate)-YEAR(F57))*12+MONTH(AsOfDate)-MONTH(F57))</f>
        <v/>
      </c>
      <c r="N57" s="41">
        <f>MAX(0,MIN(I57,M57)-INT(K57/30))</f>
        <v/>
      </c>
      <c r="O57" s="40">
        <f>IF(N57&gt;=I57,0,ROUND(PV(H57/12,I57-N57,-L57),0))</f>
        <v/>
      </c>
      <c r="P57" s="40">
        <f>MIN(I57,M57)*L57-N57*L57</f>
        <v/>
      </c>
      <c r="Q57" s="41">
        <f>INDEX(DPD_Bucket,MATCH(K57,DPD_From,1))</f>
        <v/>
      </c>
      <c r="R57" s="41">
        <f>INDEX(DPD_Class,MATCH(K57,DPD_From,1))</f>
        <v/>
      </c>
      <c r="S57" s="41">
        <f>INDEX(DPD_NPA,MATCH(K57,DPD_From,1))</f>
        <v/>
      </c>
      <c r="T57" s="42">
        <f>INDEX(DPD_Prov,MATCH(K57,DPD_From,1))</f>
        <v/>
      </c>
      <c r="U57" s="40">
        <f>ROUND(O57*T57,0)</f>
        <v/>
      </c>
      <c r="V57" s="41">
        <f>INDEX(CIBIL_Grade,MATCH(J57,CIBIL_From,1))</f>
        <v/>
      </c>
      <c r="W57" s="41">
        <f>YEAR(F57)&amp;"-Q"&amp;ROUNDUP(MONTH(F57)/3,0)</f>
        <v/>
      </c>
      <c r="X57" s="41">
        <f>IF(AND(OR(Dashboard!$C$4="All",D57=Dashboard!$C$4),OR(Dashboard!$C$5="All",E57=Dashboard!$C$5)),1,0)</f>
        <v/>
      </c>
      <c r="Y57" s="43">
        <f>IF(AND(X57=1,S57="Yes"),O57+ROW()/1000000,0)</f>
        <v/>
      </c>
    </row>
    <row r="58">
      <c r="A58" s="35" t="inlineStr">
        <is>
          <t>LN100057</t>
        </is>
      </c>
      <c r="B58" s="35" t="inlineStr">
        <is>
          <t>Ishaan Joshi</t>
        </is>
      </c>
      <c r="C58" s="35" t="inlineStr">
        <is>
          <t>BBS-01</t>
        </is>
      </c>
      <c r="D58" s="36">
        <f>INDEX(Branches!$C$2:$C$15,MATCH(C58,Branches!$A$2:$A$15,0))</f>
        <v/>
      </c>
      <c r="E58" s="35" t="inlineStr">
        <is>
          <t>Business Loan</t>
        </is>
      </c>
      <c r="F58" s="37" t="n">
        <v>45685</v>
      </c>
      <c r="G58" s="38" t="n">
        <v>1653000</v>
      </c>
      <c r="H58" s="39" t="n">
        <v>0.1558</v>
      </c>
      <c r="I58" s="35" t="n">
        <v>24</v>
      </c>
      <c r="J58" s="35" t="n">
        <v>792</v>
      </c>
      <c r="K58" s="35" t="n">
        <v>0</v>
      </c>
      <c r="L58" s="40">
        <f>ROUND(PMT(H58/12,I58,-G58),0)</f>
        <v/>
      </c>
      <c r="M58" s="41">
        <f>MAX(0,(YEAR(AsOfDate)-YEAR(F58))*12+MONTH(AsOfDate)-MONTH(F58))</f>
        <v/>
      </c>
      <c r="N58" s="41">
        <f>MAX(0,MIN(I58,M58)-INT(K58/30))</f>
        <v/>
      </c>
      <c r="O58" s="40">
        <f>IF(N58&gt;=I58,0,ROUND(PV(H58/12,I58-N58,-L58),0))</f>
        <v/>
      </c>
      <c r="P58" s="40">
        <f>MIN(I58,M58)*L58-N58*L58</f>
        <v/>
      </c>
      <c r="Q58" s="41">
        <f>INDEX(DPD_Bucket,MATCH(K58,DPD_From,1))</f>
        <v/>
      </c>
      <c r="R58" s="41">
        <f>INDEX(DPD_Class,MATCH(K58,DPD_From,1))</f>
        <v/>
      </c>
      <c r="S58" s="41">
        <f>INDEX(DPD_NPA,MATCH(K58,DPD_From,1))</f>
        <v/>
      </c>
      <c r="T58" s="42">
        <f>INDEX(DPD_Prov,MATCH(K58,DPD_From,1))</f>
        <v/>
      </c>
      <c r="U58" s="40">
        <f>ROUND(O58*T58,0)</f>
        <v/>
      </c>
      <c r="V58" s="41">
        <f>INDEX(CIBIL_Grade,MATCH(J58,CIBIL_From,1))</f>
        <v/>
      </c>
      <c r="W58" s="41">
        <f>YEAR(F58)&amp;"-Q"&amp;ROUNDUP(MONTH(F58)/3,0)</f>
        <v/>
      </c>
      <c r="X58" s="41">
        <f>IF(AND(OR(Dashboard!$C$4="All",D58=Dashboard!$C$4),OR(Dashboard!$C$5="All",E58=Dashboard!$C$5)),1,0)</f>
        <v/>
      </c>
      <c r="Y58" s="43">
        <f>IF(AND(X58=1,S58="Yes"),O58+ROW()/1000000,0)</f>
        <v/>
      </c>
    </row>
    <row r="59">
      <c r="A59" s="35" t="inlineStr">
        <is>
          <t>LN100058</t>
        </is>
      </c>
      <c r="B59" s="35" t="inlineStr">
        <is>
          <t>Arjun Mishra</t>
        </is>
      </c>
      <c r="C59" s="35" t="inlineStr">
        <is>
          <t>BLR-01</t>
        </is>
      </c>
      <c r="D59" s="36">
        <f>INDEX(Branches!$C$2:$C$15,MATCH(C59,Branches!$A$2:$A$15,0))</f>
        <v/>
      </c>
      <c r="E59" s="35" t="inlineStr">
        <is>
          <t>Personal Loan</t>
        </is>
      </c>
      <c r="F59" s="37" t="n">
        <v>45838</v>
      </c>
      <c r="G59" s="38" t="n">
        <v>1400000</v>
      </c>
      <c r="H59" s="39" t="n">
        <v>0.1482</v>
      </c>
      <c r="I59" s="35" t="n">
        <v>12</v>
      </c>
      <c r="J59" s="35" t="n">
        <v>793</v>
      </c>
      <c r="K59" s="35" t="n">
        <v>0</v>
      </c>
      <c r="L59" s="40">
        <f>ROUND(PMT(H59/12,I59,-G59),0)</f>
        <v/>
      </c>
      <c r="M59" s="41">
        <f>MAX(0,(YEAR(AsOfDate)-YEAR(F59))*12+MONTH(AsOfDate)-MONTH(F59))</f>
        <v/>
      </c>
      <c r="N59" s="41">
        <f>MAX(0,MIN(I59,M59)-INT(K59/30))</f>
        <v/>
      </c>
      <c r="O59" s="40">
        <f>IF(N59&gt;=I59,0,ROUND(PV(H59/12,I59-N59,-L59),0))</f>
        <v/>
      </c>
      <c r="P59" s="40">
        <f>MIN(I59,M59)*L59-N59*L59</f>
        <v/>
      </c>
      <c r="Q59" s="41">
        <f>INDEX(DPD_Bucket,MATCH(K59,DPD_From,1))</f>
        <v/>
      </c>
      <c r="R59" s="41">
        <f>INDEX(DPD_Class,MATCH(K59,DPD_From,1))</f>
        <v/>
      </c>
      <c r="S59" s="41">
        <f>INDEX(DPD_NPA,MATCH(K59,DPD_From,1))</f>
        <v/>
      </c>
      <c r="T59" s="42">
        <f>INDEX(DPD_Prov,MATCH(K59,DPD_From,1))</f>
        <v/>
      </c>
      <c r="U59" s="40">
        <f>ROUND(O59*T59,0)</f>
        <v/>
      </c>
      <c r="V59" s="41">
        <f>INDEX(CIBIL_Grade,MATCH(J59,CIBIL_From,1))</f>
        <v/>
      </c>
      <c r="W59" s="41">
        <f>YEAR(F59)&amp;"-Q"&amp;ROUNDUP(MONTH(F59)/3,0)</f>
        <v/>
      </c>
      <c r="X59" s="41">
        <f>IF(AND(OR(Dashboard!$C$4="All",D59=Dashboard!$C$4),OR(Dashboard!$C$5="All",E59=Dashboard!$C$5)),1,0)</f>
        <v/>
      </c>
      <c r="Y59" s="43">
        <f>IF(AND(X59=1,S59="Yes"),O59+ROW()/1000000,0)</f>
        <v/>
      </c>
    </row>
    <row r="60">
      <c r="A60" s="35" t="inlineStr">
        <is>
          <t>LN100059</t>
        </is>
      </c>
      <c r="B60" s="35" t="inlineStr">
        <is>
          <t>Tanvi Mohanty</t>
        </is>
      </c>
      <c r="C60" s="35" t="inlineStr">
        <is>
          <t>CHN-01</t>
        </is>
      </c>
      <c r="D60" s="36">
        <f>INDEX(Branches!$C$2:$C$15,MATCH(C60,Branches!$A$2:$A$15,0))</f>
        <v/>
      </c>
      <c r="E60" s="35" t="inlineStr">
        <is>
          <t>Gold Loan</t>
        </is>
      </c>
      <c r="F60" s="37" t="n">
        <v>45361</v>
      </c>
      <c r="G60" s="38" t="n">
        <v>364000</v>
      </c>
      <c r="H60" s="39" t="n">
        <v>0.099</v>
      </c>
      <c r="I60" s="35" t="n">
        <v>12</v>
      </c>
      <c r="J60" s="35" t="n">
        <v>769</v>
      </c>
      <c r="K60" s="35" t="n">
        <v>0</v>
      </c>
      <c r="L60" s="40">
        <f>ROUND(PMT(H60/12,I60,-G60),0)</f>
        <v/>
      </c>
      <c r="M60" s="41">
        <f>MAX(0,(YEAR(AsOfDate)-YEAR(F60))*12+MONTH(AsOfDate)-MONTH(F60))</f>
        <v/>
      </c>
      <c r="N60" s="41">
        <f>MAX(0,MIN(I60,M60)-INT(K60/30))</f>
        <v/>
      </c>
      <c r="O60" s="40">
        <f>IF(N60&gt;=I60,0,ROUND(PV(H60/12,I60-N60,-L60),0))</f>
        <v/>
      </c>
      <c r="P60" s="40">
        <f>MIN(I60,M60)*L60-N60*L60</f>
        <v/>
      </c>
      <c r="Q60" s="41">
        <f>INDEX(DPD_Bucket,MATCH(K60,DPD_From,1))</f>
        <v/>
      </c>
      <c r="R60" s="41">
        <f>INDEX(DPD_Class,MATCH(K60,DPD_From,1))</f>
        <v/>
      </c>
      <c r="S60" s="41">
        <f>INDEX(DPD_NPA,MATCH(K60,DPD_From,1))</f>
        <v/>
      </c>
      <c r="T60" s="42">
        <f>INDEX(DPD_Prov,MATCH(K60,DPD_From,1))</f>
        <v/>
      </c>
      <c r="U60" s="40">
        <f>ROUND(O60*T60,0)</f>
        <v/>
      </c>
      <c r="V60" s="41">
        <f>INDEX(CIBIL_Grade,MATCH(J60,CIBIL_From,1))</f>
        <v/>
      </c>
      <c r="W60" s="41">
        <f>YEAR(F60)&amp;"-Q"&amp;ROUNDUP(MONTH(F60)/3,0)</f>
        <v/>
      </c>
      <c r="X60" s="41">
        <f>IF(AND(OR(Dashboard!$C$4="All",D60=Dashboard!$C$4),OR(Dashboard!$C$5="All",E60=Dashboard!$C$5)),1,0)</f>
        <v/>
      </c>
      <c r="Y60" s="43">
        <f>IF(AND(X60=1,S60="Yes"),O60+ROW()/1000000,0)</f>
        <v/>
      </c>
    </row>
    <row r="61">
      <c r="A61" s="35" t="inlineStr">
        <is>
          <t>LN100060</t>
        </is>
      </c>
      <c r="B61" s="35" t="inlineStr">
        <is>
          <t>Meera Menon</t>
        </is>
      </c>
      <c r="C61" s="35" t="inlineStr">
        <is>
          <t>CHN-01</t>
        </is>
      </c>
      <c r="D61" s="36">
        <f>INDEX(Branches!$C$2:$C$15,MATCH(C61,Branches!$A$2:$A$15,0))</f>
        <v/>
      </c>
      <c r="E61" s="35" t="inlineStr">
        <is>
          <t>Personal Loan</t>
        </is>
      </c>
      <c r="F61" s="37" t="n">
        <v>46089</v>
      </c>
      <c r="G61" s="38" t="n">
        <v>808000</v>
      </c>
      <c r="H61" s="39" t="n">
        <v>0.1306</v>
      </c>
      <c r="I61" s="35" t="n">
        <v>12</v>
      </c>
      <c r="J61" s="35" t="n">
        <v>721</v>
      </c>
      <c r="K61" s="35" t="n">
        <v>0</v>
      </c>
      <c r="L61" s="40">
        <f>ROUND(PMT(H61/12,I61,-G61),0)</f>
        <v/>
      </c>
      <c r="M61" s="41">
        <f>MAX(0,(YEAR(AsOfDate)-YEAR(F61))*12+MONTH(AsOfDate)-MONTH(F61))</f>
        <v/>
      </c>
      <c r="N61" s="41">
        <f>MAX(0,MIN(I61,M61)-INT(K61/30))</f>
        <v/>
      </c>
      <c r="O61" s="40">
        <f>IF(N61&gt;=I61,0,ROUND(PV(H61/12,I61-N61,-L61),0))</f>
        <v/>
      </c>
      <c r="P61" s="40">
        <f>MIN(I61,M61)*L61-N61*L61</f>
        <v/>
      </c>
      <c r="Q61" s="41">
        <f>INDEX(DPD_Bucket,MATCH(K61,DPD_From,1))</f>
        <v/>
      </c>
      <c r="R61" s="41">
        <f>INDEX(DPD_Class,MATCH(K61,DPD_From,1))</f>
        <v/>
      </c>
      <c r="S61" s="41">
        <f>INDEX(DPD_NPA,MATCH(K61,DPD_From,1))</f>
        <v/>
      </c>
      <c r="T61" s="42">
        <f>INDEX(DPD_Prov,MATCH(K61,DPD_From,1))</f>
        <v/>
      </c>
      <c r="U61" s="40">
        <f>ROUND(O61*T61,0)</f>
        <v/>
      </c>
      <c r="V61" s="41">
        <f>INDEX(CIBIL_Grade,MATCH(J61,CIBIL_From,1))</f>
        <v/>
      </c>
      <c r="W61" s="41">
        <f>YEAR(F61)&amp;"-Q"&amp;ROUNDUP(MONTH(F61)/3,0)</f>
        <v/>
      </c>
      <c r="X61" s="41">
        <f>IF(AND(OR(Dashboard!$C$4="All",D61=Dashboard!$C$4),OR(Dashboard!$C$5="All",E61=Dashboard!$C$5)),1,0)</f>
        <v/>
      </c>
      <c r="Y61" s="43">
        <f>IF(AND(X61=1,S61="Yes"),O61+ROW()/1000000,0)</f>
        <v/>
      </c>
    </row>
    <row r="62">
      <c r="A62" s="35" t="inlineStr">
        <is>
          <t>LN100061</t>
        </is>
      </c>
      <c r="B62" s="35" t="inlineStr">
        <is>
          <t>Riya Reddy</t>
        </is>
      </c>
      <c r="C62" s="35" t="inlineStr">
        <is>
          <t>AMD-01</t>
        </is>
      </c>
      <c r="D62" s="36">
        <f>INDEX(Branches!$C$2:$C$15,MATCH(C62,Branches!$A$2:$A$15,0))</f>
        <v/>
      </c>
      <c r="E62" s="35" t="inlineStr">
        <is>
          <t>Business Loan</t>
        </is>
      </c>
      <c r="F62" s="37" t="n">
        <v>45957</v>
      </c>
      <c r="G62" s="38" t="n">
        <v>1293000</v>
      </c>
      <c r="H62" s="39" t="n">
        <v>0.1665</v>
      </c>
      <c r="I62" s="35" t="n">
        <v>60</v>
      </c>
      <c r="J62" s="35" t="n">
        <v>687</v>
      </c>
      <c r="K62" s="35" t="n">
        <v>0</v>
      </c>
      <c r="L62" s="40">
        <f>ROUND(PMT(H62/12,I62,-G62),0)</f>
        <v/>
      </c>
      <c r="M62" s="41">
        <f>MAX(0,(YEAR(AsOfDate)-YEAR(F62))*12+MONTH(AsOfDate)-MONTH(F62))</f>
        <v/>
      </c>
      <c r="N62" s="41">
        <f>MAX(0,MIN(I62,M62)-INT(K62/30))</f>
        <v/>
      </c>
      <c r="O62" s="40">
        <f>IF(N62&gt;=I62,0,ROUND(PV(H62/12,I62-N62,-L62),0))</f>
        <v/>
      </c>
      <c r="P62" s="40">
        <f>MIN(I62,M62)*L62-N62*L62</f>
        <v/>
      </c>
      <c r="Q62" s="41">
        <f>INDEX(DPD_Bucket,MATCH(K62,DPD_From,1))</f>
        <v/>
      </c>
      <c r="R62" s="41">
        <f>INDEX(DPD_Class,MATCH(K62,DPD_From,1))</f>
        <v/>
      </c>
      <c r="S62" s="41">
        <f>INDEX(DPD_NPA,MATCH(K62,DPD_From,1))</f>
        <v/>
      </c>
      <c r="T62" s="42">
        <f>INDEX(DPD_Prov,MATCH(K62,DPD_From,1))</f>
        <v/>
      </c>
      <c r="U62" s="40">
        <f>ROUND(O62*T62,0)</f>
        <v/>
      </c>
      <c r="V62" s="41">
        <f>INDEX(CIBIL_Grade,MATCH(J62,CIBIL_From,1))</f>
        <v/>
      </c>
      <c r="W62" s="41">
        <f>YEAR(F62)&amp;"-Q"&amp;ROUNDUP(MONTH(F62)/3,0)</f>
        <v/>
      </c>
      <c r="X62" s="41">
        <f>IF(AND(OR(Dashboard!$C$4="All",D62=Dashboard!$C$4),OR(Dashboard!$C$5="All",E62=Dashboard!$C$5)),1,0)</f>
        <v/>
      </c>
      <c r="Y62" s="43">
        <f>IF(AND(X62=1,S62="Yes"),O62+ROW()/1000000,0)</f>
        <v/>
      </c>
    </row>
    <row r="63">
      <c r="A63" s="35" t="inlineStr">
        <is>
          <t>LN100062</t>
        </is>
      </c>
      <c r="B63" s="35" t="inlineStr">
        <is>
          <t>Tanvi Mishra</t>
        </is>
      </c>
      <c r="C63" s="35" t="inlineStr">
        <is>
          <t>MUM-01</t>
        </is>
      </c>
      <c r="D63" s="36">
        <f>INDEX(Branches!$C$2:$C$15,MATCH(C63,Branches!$A$2:$A$15,0))</f>
        <v/>
      </c>
      <c r="E63" s="35" t="inlineStr">
        <is>
          <t>Personal Loan</t>
        </is>
      </c>
      <c r="F63" s="37" t="n">
        <v>45183</v>
      </c>
      <c r="G63" s="38" t="n">
        <v>551000</v>
      </c>
      <c r="H63" s="39" t="n">
        <v>0.1234</v>
      </c>
      <c r="I63" s="35" t="n">
        <v>60</v>
      </c>
      <c r="J63" s="35" t="n">
        <v>756</v>
      </c>
      <c r="K63" s="35" t="n">
        <v>0</v>
      </c>
      <c r="L63" s="40">
        <f>ROUND(PMT(H63/12,I63,-G63),0)</f>
        <v/>
      </c>
      <c r="M63" s="41">
        <f>MAX(0,(YEAR(AsOfDate)-YEAR(F63))*12+MONTH(AsOfDate)-MONTH(F63))</f>
        <v/>
      </c>
      <c r="N63" s="41">
        <f>MAX(0,MIN(I63,M63)-INT(K63/30))</f>
        <v/>
      </c>
      <c r="O63" s="40">
        <f>IF(N63&gt;=I63,0,ROUND(PV(H63/12,I63-N63,-L63),0))</f>
        <v/>
      </c>
      <c r="P63" s="40">
        <f>MIN(I63,M63)*L63-N63*L63</f>
        <v/>
      </c>
      <c r="Q63" s="41">
        <f>INDEX(DPD_Bucket,MATCH(K63,DPD_From,1))</f>
        <v/>
      </c>
      <c r="R63" s="41">
        <f>INDEX(DPD_Class,MATCH(K63,DPD_From,1))</f>
        <v/>
      </c>
      <c r="S63" s="41">
        <f>INDEX(DPD_NPA,MATCH(K63,DPD_From,1))</f>
        <v/>
      </c>
      <c r="T63" s="42">
        <f>INDEX(DPD_Prov,MATCH(K63,DPD_From,1))</f>
        <v/>
      </c>
      <c r="U63" s="40">
        <f>ROUND(O63*T63,0)</f>
        <v/>
      </c>
      <c r="V63" s="41">
        <f>INDEX(CIBIL_Grade,MATCH(J63,CIBIL_From,1))</f>
        <v/>
      </c>
      <c r="W63" s="41">
        <f>YEAR(F63)&amp;"-Q"&amp;ROUNDUP(MONTH(F63)/3,0)</f>
        <v/>
      </c>
      <c r="X63" s="41">
        <f>IF(AND(OR(Dashboard!$C$4="All",D63=Dashboard!$C$4),OR(Dashboard!$C$5="All",E63=Dashboard!$C$5)),1,0)</f>
        <v/>
      </c>
      <c r="Y63" s="43">
        <f>IF(AND(X63=1,S63="Yes"),O63+ROW()/1000000,0)</f>
        <v/>
      </c>
    </row>
    <row r="64">
      <c r="A64" s="35" t="inlineStr">
        <is>
          <t>LN100063</t>
        </is>
      </c>
      <c r="B64" s="35" t="inlineStr">
        <is>
          <t>Kavya Rao</t>
        </is>
      </c>
      <c r="C64" s="35" t="inlineStr">
        <is>
          <t>BLR-01</t>
        </is>
      </c>
      <c r="D64" s="36">
        <f>INDEX(Branches!$C$2:$C$15,MATCH(C64,Branches!$A$2:$A$15,0))</f>
        <v/>
      </c>
      <c r="E64" s="35" t="inlineStr">
        <is>
          <t>Gold Loan</t>
        </is>
      </c>
      <c r="F64" s="37" t="n">
        <v>45250</v>
      </c>
      <c r="G64" s="38" t="n">
        <v>272000</v>
      </c>
      <c r="H64" s="39" t="n">
        <v>0.0998</v>
      </c>
      <c r="I64" s="35" t="n">
        <v>12</v>
      </c>
      <c r="J64" s="35" t="n">
        <v>737</v>
      </c>
      <c r="K64" s="35" t="n">
        <v>0</v>
      </c>
      <c r="L64" s="40">
        <f>ROUND(PMT(H64/12,I64,-G64),0)</f>
        <v/>
      </c>
      <c r="M64" s="41">
        <f>MAX(0,(YEAR(AsOfDate)-YEAR(F64))*12+MONTH(AsOfDate)-MONTH(F64))</f>
        <v/>
      </c>
      <c r="N64" s="41">
        <f>MAX(0,MIN(I64,M64)-INT(K64/30))</f>
        <v/>
      </c>
      <c r="O64" s="40">
        <f>IF(N64&gt;=I64,0,ROUND(PV(H64/12,I64-N64,-L64),0))</f>
        <v/>
      </c>
      <c r="P64" s="40">
        <f>MIN(I64,M64)*L64-N64*L64</f>
        <v/>
      </c>
      <c r="Q64" s="41">
        <f>INDEX(DPD_Bucket,MATCH(K64,DPD_From,1))</f>
        <v/>
      </c>
      <c r="R64" s="41">
        <f>INDEX(DPD_Class,MATCH(K64,DPD_From,1))</f>
        <v/>
      </c>
      <c r="S64" s="41">
        <f>INDEX(DPD_NPA,MATCH(K64,DPD_From,1))</f>
        <v/>
      </c>
      <c r="T64" s="42">
        <f>INDEX(DPD_Prov,MATCH(K64,DPD_From,1))</f>
        <v/>
      </c>
      <c r="U64" s="40">
        <f>ROUND(O64*T64,0)</f>
        <v/>
      </c>
      <c r="V64" s="41">
        <f>INDEX(CIBIL_Grade,MATCH(J64,CIBIL_From,1))</f>
        <v/>
      </c>
      <c r="W64" s="41">
        <f>YEAR(F64)&amp;"-Q"&amp;ROUNDUP(MONTH(F64)/3,0)</f>
        <v/>
      </c>
      <c r="X64" s="41">
        <f>IF(AND(OR(Dashboard!$C$4="All",D64=Dashboard!$C$4),OR(Dashboard!$C$5="All",E64=Dashboard!$C$5)),1,0)</f>
        <v/>
      </c>
      <c r="Y64" s="43">
        <f>IF(AND(X64=1,S64="Yes"),O64+ROW()/1000000,0)</f>
        <v/>
      </c>
    </row>
    <row r="65">
      <c r="A65" s="35" t="inlineStr">
        <is>
          <t>LN100064</t>
        </is>
      </c>
      <c r="B65" s="35" t="inlineStr">
        <is>
          <t>Swati Sahoo</t>
        </is>
      </c>
      <c r="C65" s="35" t="inlineStr">
        <is>
          <t>BBS-01</t>
        </is>
      </c>
      <c r="D65" s="36">
        <f>INDEX(Branches!$C$2:$C$15,MATCH(C65,Branches!$A$2:$A$15,0))</f>
        <v/>
      </c>
      <c r="E65" s="35" t="inlineStr">
        <is>
          <t>Personal Loan</t>
        </is>
      </c>
      <c r="F65" s="37" t="n">
        <v>45644</v>
      </c>
      <c r="G65" s="38" t="n">
        <v>1332000</v>
      </c>
      <c r="H65" s="39" t="n">
        <v>0.1467</v>
      </c>
      <c r="I65" s="35" t="n">
        <v>36</v>
      </c>
      <c r="J65" s="35" t="n">
        <v>796</v>
      </c>
      <c r="K65" s="35" t="n">
        <v>0</v>
      </c>
      <c r="L65" s="40">
        <f>ROUND(PMT(H65/12,I65,-G65),0)</f>
        <v/>
      </c>
      <c r="M65" s="41">
        <f>MAX(0,(YEAR(AsOfDate)-YEAR(F65))*12+MONTH(AsOfDate)-MONTH(F65))</f>
        <v/>
      </c>
      <c r="N65" s="41">
        <f>MAX(0,MIN(I65,M65)-INT(K65/30))</f>
        <v/>
      </c>
      <c r="O65" s="40">
        <f>IF(N65&gt;=I65,0,ROUND(PV(H65/12,I65-N65,-L65),0))</f>
        <v/>
      </c>
      <c r="P65" s="40">
        <f>MIN(I65,M65)*L65-N65*L65</f>
        <v/>
      </c>
      <c r="Q65" s="41">
        <f>INDEX(DPD_Bucket,MATCH(K65,DPD_From,1))</f>
        <v/>
      </c>
      <c r="R65" s="41">
        <f>INDEX(DPD_Class,MATCH(K65,DPD_From,1))</f>
        <v/>
      </c>
      <c r="S65" s="41">
        <f>INDEX(DPD_NPA,MATCH(K65,DPD_From,1))</f>
        <v/>
      </c>
      <c r="T65" s="42">
        <f>INDEX(DPD_Prov,MATCH(K65,DPD_From,1))</f>
        <v/>
      </c>
      <c r="U65" s="40">
        <f>ROUND(O65*T65,0)</f>
        <v/>
      </c>
      <c r="V65" s="41">
        <f>INDEX(CIBIL_Grade,MATCH(J65,CIBIL_From,1))</f>
        <v/>
      </c>
      <c r="W65" s="41">
        <f>YEAR(F65)&amp;"-Q"&amp;ROUNDUP(MONTH(F65)/3,0)</f>
        <v/>
      </c>
      <c r="X65" s="41">
        <f>IF(AND(OR(Dashboard!$C$4="All",D65=Dashboard!$C$4),OR(Dashboard!$C$5="All",E65=Dashboard!$C$5)),1,0)</f>
        <v/>
      </c>
      <c r="Y65" s="43">
        <f>IF(AND(X65=1,S65="Yes"),O65+ROW()/1000000,0)</f>
        <v/>
      </c>
    </row>
    <row r="66">
      <c r="A66" s="35" t="inlineStr">
        <is>
          <t>LN100065</t>
        </is>
      </c>
      <c r="B66" s="35" t="inlineStr">
        <is>
          <t>Kabir Pillai</t>
        </is>
      </c>
      <c r="C66" s="35" t="inlineStr">
        <is>
          <t>KOL-01</t>
        </is>
      </c>
      <c r="D66" s="36">
        <f>INDEX(Branches!$C$2:$C$15,MATCH(C66,Branches!$A$2:$A$15,0))</f>
        <v/>
      </c>
      <c r="E66" s="35" t="inlineStr">
        <is>
          <t>Personal Loan</t>
        </is>
      </c>
      <c r="F66" s="37" t="n">
        <v>45998</v>
      </c>
      <c r="G66" s="38" t="n">
        <v>1097000</v>
      </c>
      <c r="H66" s="39" t="n">
        <v>0.1386</v>
      </c>
      <c r="I66" s="35" t="n">
        <v>24</v>
      </c>
      <c r="J66" s="35" t="n">
        <v>738</v>
      </c>
      <c r="K66" s="35" t="n">
        <v>0</v>
      </c>
      <c r="L66" s="40">
        <f>ROUND(PMT(H66/12,I66,-G66),0)</f>
        <v/>
      </c>
      <c r="M66" s="41">
        <f>MAX(0,(YEAR(AsOfDate)-YEAR(F66))*12+MONTH(AsOfDate)-MONTH(F66))</f>
        <v/>
      </c>
      <c r="N66" s="41">
        <f>MAX(0,MIN(I66,M66)-INT(K66/30))</f>
        <v/>
      </c>
      <c r="O66" s="40">
        <f>IF(N66&gt;=I66,0,ROUND(PV(H66/12,I66-N66,-L66),0))</f>
        <v/>
      </c>
      <c r="P66" s="40">
        <f>MIN(I66,M66)*L66-N66*L66</f>
        <v/>
      </c>
      <c r="Q66" s="41">
        <f>INDEX(DPD_Bucket,MATCH(K66,DPD_From,1))</f>
        <v/>
      </c>
      <c r="R66" s="41">
        <f>INDEX(DPD_Class,MATCH(K66,DPD_From,1))</f>
        <v/>
      </c>
      <c r="S66" s="41">
        <f>INDEX(DPD_NPA,MATCH(K66,DPD_From,1))</f>
        <v/>
      </c>
      <c r="T66" s="42">
        <f>INDEX(DPD_Prov,MATCH(K66,DPD_From,1))</f>
        <v/>
      </c>
      <c r="U66" s="40">
        <f>ROUND(O66*T66,0)</f>
        <v/>
      </c>
      <c r="V66" s="41">
        <f>INDEX(CIBIL_Grade,MATCH(J66,CIBIL_From,1))</f>
        <v/>
      </c>
      <c r="W66" s="41">
        <f>YEAR(F66)&amp;"-Q"&amp;ROUNDUP(MONTH(F66)/3,0)</f>
        <v/>
      </c>
      <c r="X66" s="41">
        <f>IF(AND(OR(Dashboard!$C$4="All",D66=Dashboard!$C$4),OR(Dashboard!$C$5="All",E66=Dashboard!$C$5)),1,0)</f>
        <v/>
      </c>
      <c r="Y66" s="43">
        <f>IF(AND(X66=1,S66="Yes"),O66+ROW()/1000000,0)</f>
        <v/>
      </c>
    </row>
    <row r="67">
      <c r="A67" s="35" t="inlineStr">
        <is>
          <t>LN100066</t>
        </is>
      </c>
      <c r="B67" s="35" t="inlineStr">
        <is>
          <t>Kabir Singh</t>
        </is>
      </c>
      <c r="C67" s="35" t="inlineStr">
        <is>
          <t>KOL-01</t>
        </is>
      </c>
      <c r="D67" s="36">
        <f>INDEX(Branches!$C$2:$C$15,MATCH(C67,Branches!$A$2:$A$15,0))</f>
        <v/>
      </c>
      <c r="E67" s="35" t="inlineStr">
        <is>
          <t>Home Loan</t>
        </is>
      </c>
      <c r="F67" s="37" t="n">
        <v>45720</v>
      </c>
      <c r="G67" s="38" t="n">
        <v>9560000</v>
      </c>
      <c r="H67" s="39" t="n">
        <v>0.0906</v>
      </c>
      <c r="I67" s="35" t="n">
        <v>180</v>
      </c>
      <c r="J67" s="35" t="n">
        <v>791</v>
      </c>
      <c r="K67" s="35" t="n">
        <v>0</v>
      </c>
      <c r="L67" s="40">
        <f>ROUND(PMT(H67/12,I67,-G67),0)</f>
        <v/>
      </c>
      <c r="M67" s="41">
        <f>MAX(0,(YEAR(AsOfDate)-YEAR(F67))*12+MONTH(AsOfDate)-MONTH(F67))</f>
        <v/>
      </c>
      <c r="N67" s="41">
        <f>MAX(0,MIN(I67,M67)-INT(K67/30))</f>
        <v/>
      </c>
      <c r="O67" s="40">
        <f>IF(N67&gt;=I67,0,ROUND(PV(H67/12,I67-N67,-L67),0))</f>
        <v/>
      </c>
      <c r="P67" s="40">
        <f>MIN(I67,M67)*L67-N67*L67</f>
        <v/>
      </c>
      <c r="Q67" s="41">
        <f>INDEX(DPD_Bucket,MATCH(K67,DPD_From,1))</f>
        <v/>
      </c>
      <c r="R67" s="41">
        <f>INDEX(DPD_Class,MATCH(K67,DPD_From,1))</f>
        <v/>
      </c>
      <c r="S67" s="41">
        <f>INDEX(DPD_NPA,MATCH(K67,DPD_From,1))</f>
        <v/>
      </c>
      <c r="T67" s="42">
        <f>INDEX(DPD_Prov,MATCH(K67,DPD_From,1))</f>
        <v/>
      </c>
      <c r="U67" s="40">
        <f>ROUND(O67*T67,0)</f>
        <v/>
      </c>
      <c r="V67" s="41">
        <f>INDEX(CIBIL_Grade,MATCH(J67,CIBIL_From,1))</f>
        <v/>
      </c>
      <c r="W67" s="41">
        <f>YEAR(F67)&amp;"-Q"&amp;ROUNDUP(MONTH(F67)/3,0)</f>
        <v/>
      </c>
      <c r="X67" s="41">
        <f>IF(AND(OR(Dashboard!$C$4="All",D67=Dashboard!$C$4),OR(Dashboard!$C$5="All",E67=Dashboard!$C$5)),1,0)</f>
        <v/>
      </c>
      <c r="Y67" s="43">
        <f>IF(AND(X67=1,S67="Yes"),O67+ROW()/1000000,0)</f>
        <v/>
      </c>
    </row>
    <row r="68">
      <c r="A68" s="35" t="inlineStr">
        <is>
          <t>LN100067</t>
        </is>
      </c>
      <c r="B68" s="35" t="inlineStr">
        <is>
          <t>Kabir Nair</t>
        </is>
      </c>
      <c r="C68" s="35" t="inlineStr">
        <is>
          <t>BBS-01</t>
        </is>
      </c>
      <c r="D68" s="36">
        <f>INDEX(Branches!$C$2:$C$15,MATCH(C68,Branches!$A$2:$A$15,0))</f>
        <v/>
      </c>
      <c r="E68" s="35" t="inlineStr">
        <is>
          <t>Personal Loan</t>
        </is>
      </c>
      <c r="F68" s="37" t="n">
        <v>45496</v>
      </c>
      <c r="G68" s="38" t="n">
        <v>370000</v>
      </c>
      <c r="H68" s="39" t="n">
        <v>0.114</v>
      </c>
      <c r="I68" s="35" t="n">
        <v>48</v>
      </c>
      <c r="J68" s="35" t="n">
        <v>698</v>
      </c>
      <c r="K68" s="35" t="n">
        <v>0</v>
      </c>
      <c r="L68" s="40">
        <f>ROUND(PMT(H68/12,I68,-G68),0)</f>
        <v/>
      </c>
      <c r="M68" s="41">
        <f>MAX(0,(YEAR(AsOfDate)-YEAR(F68))*12+MONTH(AsOfDate)-MONTH(F68))</f>
        <v/>
      </c>
      <c r="N68" s="41">
        <f>MAX(0,MIN(I68,M68)-INT(K68/30))</f>
        <v/>
      </c>
      <c r="O68" s="40">
        <f>IF(N68&gt;=I68,0,ROUND(PV(H68/12,I68-N68,-L68),0))</f>
        <v/>
      </c>
      <c r="P68" s="40">
        <f>MIN(I68,M68)*L68-N68*L68</f>
        <v/>
      </c>
      <c r="Q68" s="41">
        <f>INDEX(DPD_Bucket,MATCH(K68,DPD_From,1))</f>
        <v/>
      </c>
      <c r="R68" s="41">
        <f>INDEX(DPD_Class,MATCH(K68,DPD_From,1))</f>
        <v/>
      </c>
      <c r="S68" s="41">
        <f>INDEX(DPD_NPA,MATCH(K68,DPD_From,1))</f>
        <v/>
      </c>
      <c r="T68" s="42">
        <f>INDEX(DPD_Prov,MATCH(K68,DPD_From,1))</f>
        <v/>
      </c>
      <c r="U68" s="40">
        <f>ROUND(O68*T68,0)</f>
        <v/>
      </c>
      <c r="V68" s="41">
        <f>INDEX(CIBIL_Grade,MATCH(J68,CIBIL_From,1))</f>
        <v/>
      </c>
      <c r="W68" s="41">
        <f>YEAR(F68)&amp;"-Q"&amp;ROUNDUP(MONTH(F68)/3,0)</f>
        <v/>
      </c>
      <c r="X68" s="41">
        <f>IF(AND(OR(Dashboard!$C$4="All",D68=Dashboard!$C$4),OR(Dashboard!$C$5="All",E68=Dashboard!$C$5)),1,0)</f>
        <v/>
      </c>
      <c r="Y68" s="43">
        <f>IF(AND(X68=1,S68="Yes"),O68+ROW()/1000000,0)</f>
        <v/>
      </c>
    </row>
    <row r="69">
      <c r="A69" s="35" t="inlineStr">
        <is>
          <t>LN100068</t>
        </is>
      </c>
      <c r="B69" s="35" t="inlineStr">
        <is>
          <t>Pooja Gupta</t>
        </is>
      </c>
      <c r="C69" s="35" t="inlineStr">
        <is>
          <t>BBS-01</t>
        </is>
      </c>
      <c r="D69" s="36">
        <f>INDEX(Branches!$C$2:$C$15,MATCH(C69,Branches!$A$2:$A$15,0))</f>
        <v/>
      </c>
      <c r="E69" s="35" t="inlineStr">
        <is>
          <t>Personal Loan</t>
        </is>
      </c>
      <c r="F69" s="37" t="n">
        <v>45781</v>
      </c>
      <c r="G69" s="38" t="n">
        <v>925000</v>
      </c>
      <c r="H69" s="39" t="n">
        <v>0.162</v>
      </c>
      <c r="I69" s="35" t="n">
        <v>24</v>
      </c>
      <c r="J69" s="35" t="n">
        <v>783</v>
      </c>
      <c r="K69" s="35" t="n">
        <v>0</v>
      </c>
      <c r="L69" s="40">
        <f>ROUND(PMT(H69/12,I69,-G69),0)</f>
        <v/>
      </c>
      <c r="M69" s="41">
        <f>MAX(0,(YEAR(AsOfDate)-YEAR(F69))*12+MONTH(AsOfDate)-MONTH(F69))</f>
        <v/>
      </c>
      <c r="N69" s="41">
        <f>MAX(0,MIN(I69,M69)-INT(K69/30))</f>
        <v/>
      </c>
      <c r="O69" s="40">
        <f>IF(N69&gt;=I69,0,ROUND(PV(H69/12,I69-N69,-L69),0))</f>
        <v/>
      </c>
      <c r="P69" s="40">
        <f>MIN(I69,M69)*L69-N69*L69</f>
        <v/>
      </c>
      <c r="Q69" s="41">
        <f>INDEX(DPD_Bucket,MATCH(K69,DPD_From,1))</f>
        <v/>
      </c>
      <c r="R69" s="41">
        <f>INDEX(DPD_Class,MATCH(K69,DPD_From,1))</f>
        <v/>
      </c>
      <c r="S69" s="41">
        <f>INDEX(DPD_NPA,MATCH(K69,DPD_From,1))</f>
        <v/>
      </c>
      <c r="T69" s="42">
        <f>INDEX(DPD_Prov,MATCH(K69,DPD_From,1))</f>
        <v/>
      </c>
      <c r="U69" s="40">
        <f>ROUND(O69*T69,0)</f>
        <v/>
      </c>
      <c r="V69" s="41">
        <f>INDEX(CIBIL_Grade,MATCH(J69,CIBIL_From,1))</f>
        <v/>
      </c>
      <c r="W69" s="41">
        <f>YEAR(F69)&amp;"-Q"&amp;ROUNDUP(MONTH(F69)/3,0)</f>
        <v/>
      </c>
      <c r="X69" s="41">
        <f>IF(AND(OR(Dashboard!$C$4="All",D69=Dashboard!$C$4),OR(Dashboard!$C$5="All",E69=Dashboard!$C$5)),1,0)</f>
        <v/>
      </c>
      <c r="Y69" s="43">
        <f>IF(AND(X69=1,S69="Yes"),O69+ROW()/1000000,0)</f>
        <v/>
      </c>
    </row>
    <row r="70">
      <c r="A70" s="35" t="inlineStr">
        <is>
          <t>LN100069</t>
        </is>
      </c>
      <c r="B70" s="35" t="inlineStr">
        <is>
          <t>Farhan Kulkarni</t>
        </is>
      </c>
      <c r="C70" s="35" t="inlineStr">
        <is>
          <t>HYD-01</t>
        </is>
      </c>
      <c r="D70" s="36">
        <f>INDEX(Branches!$C$2:$C$15,MATCH(C70,Branches!$A$2:$A$15,0))</f>
        <v/>
      </c>
      <c r="E70" s="35" t="inlineStr">
        <is>
          <t>Personal Loan</t>
        </is>
      </c>
      <c r="F70" s="37" t="n">
        <v>45776</v>
      </c>
      <c r="G70" s="38" t="n">
        <v>484000</v>
      </c>
      <c r="H70" s="39" t="n">
        <v>0.1781</v>
      </c>
      <c r="I70" s="35" t="n">
        <v>12</v>
      </c>
      <c r="J70" s="35" t="n">
        <v>720</v>
      </c>
      <c r="K70" s="35" t="n">
        <v>0</v>
      </c>
      <c r="L70" s="40">
        <f>ROUND(PMT(H70/12,I70,-G70),0)</f>
        <v/>
      </c>
      <c r="M70" s="41">
        <f>MAX(0,(YEAR(AsOfDate)-YEAR(F70))*12+MONTH(AsOfDate)-MONTH(F70))</f>
        <v/>
      </c>
      <c r="N70" s="41">
        <f>MAX(0,MIN(I70,M70)-INT(K70/30))</f>
        <v/>
      </c>
      <c r="O70" s="40">
        <f>IF(N70&gt;=I70,0,ROUND(PV(H70/12,I70-N70,-L70),0))</f>
        <v/>
      </c>
      <c r="P70" s="40">
        <f>MIN(I70,M70)*L70-N70*L70</f>
        <v/>
      </c>
      <c r="Q70" s="41">
        <f>INDEX(DPD_Bucket,MATCH(K70,DPD_From,1))</f>
        <v/>
      </c>
      <c r="R70" s="41">
        <f>INDEX(DPD_Class,MATCH(K70,DPD_From,1))</f>
        <v/>
      </c>
      <c r="S70" s="41">
        <f>INDEX(DPD_NPA,MATCH(K70,DPD_From,1))</f>
        <v/>
      </c>
      <c r="T70" s="42">
        <f>INDEX(DPD_Prov,MATCH(K70,DPD_From,1))</f>
        <v/>
      </c>
      <c r="U70" s="40">
        <f>ROUND(O70*T70,0)</f>
        <v/>
      </c>
      <c r="V70" s="41">
        <f>INDEX(CIBIL_Grade,MATCH(J70,CIBIL_From,1))</f>
        <v/>
      </c>
      <c r="W70" s="41">
        <f>YEAR(F70)&amp;"-Q"&amp;ROUNDUP(MONTH(F70)/3,0)</f>
        <v/>
      </c>
      <c r="X70" s="41">
        <f>IF(AND(OR(Dashboard!$C$4="All",D70=Dashboard!$C$4),OR(Dashboard!$C$5="All",E70=Dashboard!$C$5)),1,0)</f>
        <v/>
      </c>
      <c r="Y70" s="43">
        <f>IF(AND(X70=1,S70="Yes"),O70+ROW()/1000000,0)</f>
        <v/>
      </c>
    </row>
    <row r="71">
      <c r="A71" s="35" t="inlineStr">
        <is>
          <t>LN100070</t>
        </is>
      </c>
      <c r="B71" s="35" t="inlineStr">
        <is>
          <t>Vivaan Gupta</t>
        </is>
      </c>
      <c r="C71" s="35" t="inlineStr">
        <is>
          <t>GUW-01</t>
        </is>
      </c>
      <c r="D71" s="36">
        <f>INDEX(Branches!$C$2:$C$15,MATCH(C71,Branches!$A$2:$A$15,0))</f>
        <v/>
      </c>
      <c r="E71" s="35" t="inlineStr">
        <is>
          <t>Personal Loan</t>
        </is>
      </c>
      <c r="F71" s="37" t="n">
        <v>45168</v>
      </c>
      <c r="G71" s="38" t="n">
        <v>769000</v>
      </c>
      <c r="H71" s="39" t="n">
        <v>0.1667</v>
      </c>
      <c r="I71" s="35" t="n">
        <v>24</v>
      </c>
      <c r="J71" s="35" t="n">
        <v>784</v>
      </c>
      <c r="K71" s="35" t="n">
        <v>0</v>
      </c>
      <c r="L71" s="40">
        <f>ROUND(PMT(H71/12,I71,-G71),0)</f>
        <v/>
      </c>
      <c r="M71" s="41">
        <f>MAX(0,(YEAR(AsOfDate)-YEAR(F71))*12+MONTH(AsOfDate)-MONTH(F71))</f>
        <v/>
      </c>
      <c r="N71" s="41">
        <f>MAX(0,MIN(I71,M71)-INT(K71/30))</f>
        <v/>
      </c>
      <c r="O71" s="40">
        <f>IF(N71&gt;=I71,0,ROUND(PV(H71/12,I71-N71,-L71),0))</f>
        <v/>
      </c>
      <c r="P71" s="40">
        <f>MIN(I71,M71)*L71-N71*L71</f>
        <v/>
      </c>
      <c r="Q71" s="41">
        <f>INDEX(DPD_Bucket,MATCH(K71,DPD_From,1))</f>
        <v/>
      </c>
      <c r="R71" s="41">
        <f>INDEX(DPD_Class,MATCH(K71,DPD_From,1))</f>
        <v/>
      </c>
      <c r="S71" s="41">
        <f>INDEX(DPD_NPA,MATCH(K71,DPD_From,1))</f>
        <v/>
      </c>
      <c r="T71" s="42">
        <f>INDEX(DPD_Prov,MATCH(K71,DPD_From,1))</f>
        <v/>
      </c>
      <c r="U71" s="40">
        <f>ROUND(O71*T71,0)</f>
        <v/>
      </c>
      <c r="V71" s="41">
        <f>INDEX(CIBIL_Grade,MATCH(J71,CIBIL_From,1))</f>
        <v/>
      </c>
      <c r="W71" s="41">
        <f>YEAR(F71)&amp;"-Q"&amp;ROUNDUP(MONTH(F71)/3,0)</f>
        <v/>
      </c>
      <c r="X71" s="41">
        <f>IF(AND(OR(Dashboard!$C$4="All",D71=Dashboard!$C$4),OR(Dashboard!$C$5="All",E71=Dashboard!$C$5)),1,0)</f>
        <v/>
      </c>
      <c r="Y71" s="43">
        <f>IF(AND(X71=1,S71="Yes"),O71+ROW()/1000000,0)</f>
        <v/>
      </c>
    </row>
    <row r="72">
      <c r="A72" s="35" t="inlineStr">
        <is>
          <t>LN100071</t>
        </is>
      </c>
      <c r="B72" s="35" t="inlineStr">
        <is>
          <t>Aditya Mohanty</t>
        </is>
      </c>
      <c r="C72" s="35" t="inlineStr">
        <is>
          <t>CHN-01</t>
        </is>
      </c>
      <c r="D72" s="36">
        <f>INDEX(Branches!$C$2:$C$15,MATCH(C72,Branches!$A$2:$A$15,0))</f>
        <v/>
      </c>
      <c r="E72" s="35" t="inlineStr">
        <is>
          <t>Auto Loan</t>
        </is>
      </c>
      <c r="F72" s="37" t="n">
        <v>46064</v>
      </c>
      <c r="G72" s="38" t="n">
        <v>1293000</v>
      </c>
      <c r="H72" s="39" t="n">
        <v>0.1019</v>
      </c>
      <c r="I72" s="35" t="n">
        <v>36</v>
      </c>
      <c r="J72" s="35" t="n">
        <v>793</v>
      </c>
      <c r="K72" s="35" t="n">
        <v>0</v>
      </c>
      <c r="L72" s="40">
        <f>ROUND(PMT(H72/12,I72,-G72),0)</f>
        <v/>
      </c>
      <c r="M72" s="41">
        <f>MAX(0,(YEAR(AsOfDate)-YEAR(F72))*12+MONTH(AsOfDate)-MONTH(F72))</f>
        <v/>
      </c>
      <c r="N72" s="41">
        <f>MAX(0,MIN(I72,M72)-INT(K72/30))</f>
        <v/>
      </c>
      <c r="O72" s="40">
        <f>IF(N72&gt;=I72,0,ROUND(PV(H72/12,I72-N72,-L72),0))</f>
        <v/>
      </c>
      <c r="P72" s="40">
        <f>MIN(I72,M72)*L72-N72*L72</f>
        <v/>
      </c>
      <c r="Q72" s="41">
        <f>INDEX(DPD_Bucket,MATCH(K72,DPD_From,1))</f>
        <v/>
      </c>
      <c r="R72" s="41">
        <f>INDEX(DPD_Class,MATCH(K72,DPD_From,1))</f>
        <v/>
      </c>
      <c r="S72" s="41">
        <f>INDEX(DPD_NPA,MATCH(K72,DPD_From,1))</f>
        <v/>
      </c>
      <c r="T72" s="42">
        <f>INDEX(DPD_Prov,MATCH(K72,DPD_From,1))</f>
        <v/>
      </c>
      <c r="U72" s="40">
        <f>ROUND(O72*T72,0)</f>
        <v/>
      </c>
      <c r="V72" s="41">
        <f>INDEX(CIBIL_Grade,MATCH(J72,CIBIL_From,1))</f>
        <v/>
      </c>
      <c r="W72" s="41">
        <f>YEAR(F72)&amp;"-Q"&amp;ROUNDUP(MONTH(F72)/3,0)</f>
        <v/>
      </c>
      <c r="X72" s="41">
        <f>IF(AND(OR(Dashboard!$C$4="All",D72=Dashboard!$C$4),OR(Dashboard!$C$5="All",E72=Dashboard!$C$5)),1,0)</f>
        <v/>
      </c>
      <c r="Y72" s="43">
        <f>IF(AND(X72=1,S72="Yes"),O72+ROW()/1000000,0)</f>
        <v/>
      </c>
    </row>
    <row r="73">
      <c r="A73" s="35" t="inlineStr">
        <is>
          <t>LN100072</t>
        </is>
      </c>
      <c r="B73" s="35" t="inlineStr">
        <is>
          <t>Kavya Joshi</t>
        </is>
      </c>
      <c r="C73" s="35" t="inlineStr">
        <is>
          <t>DEL-01</t>
        </is>
      </c>
      <c r="D73" s="36">
        <f>INDEX(Branches!$C$2:$C$15,MATCH(C73,Branches!$A$2:$A$15,0))</f>
        <v/>
      </c>
      <c r="E73" s="35" t="inlineStr">
        <is>
          <t>Personal Loan</t>
        </is>
      </c>
      <c r="F73" s="37" t="n">
        <v>45711</v>
      </c>
      <c r="G73" s="38" t="n">
        <v>516000</v>
      </c>
      <c r="H73" s="39" t="n">
        <v>0.1491</v>
      </c>
      <c r="I73" s="35" t="n">
        <v>60</v>
      </c>
      <c r="J73" s="35" t="n">
        <v>816</v>
      </c>
      <c r="K73" s="35" t="n">
        <v>0</v>
      </c>
      <c r="L73" s="40">
        <f>ROUND(PMT(H73/12,I73,-G73),0)</f>
        <v/>
      </c>
      <c r="M73" s="41">
        <f>MAX(0,(YEAR(AsOfDate)-YEAR(F73))*12+MONTH(AsOfDate)-MONTH(F73))</f>
        <v/>
      </c>
      <c r="N73" s="41">
        <f>MAX(0,MIN(I73,M73)-INT(K73/30))</f>
        <v/>
      </c>
      <c r="O73" s="40">
        <f>IF(N73&gt;=I73,0,ROUND(PV(H73/12,I73-N73,-L73),0))</f>
        <v/>
      </c>
      <c r="P73" s="40">
        <f>MIN(I73,M73)*L73-N73*L73</f>
        <v/>
      </c>
      <c r="Q73" s="41">
        <f>INDEX(DPD_Bucket,MATCH(K73,DPD_From,1))</f>
        <v/>
      </c>
      <c r="R73" s="41">
        <f>INDEX(DPD_Class,MATCH(K73,DPD_From,1))</f>
        <v/>
      </c>
      <c r="S73" s="41">
        <f>INDEX(DPD_NPA,MATCH(K73,DPD_From,1))</f>
        <v/>
      </c>
      <c r="T73" s="42">
        <f>INDEX(DPD_Prov,MATCH(K73,DPD_From,1))</f>
        <v/>
      </c>
      <c r="U73" s="40">
        <f>ROUND(O73*T73,0)</f>
        <v/>
      </c>
      <c r="V73" s="41">
        <f>INDEX(CIBIL_Grade,MATCH(J73,CIBIL_From,1))</f>
        <v/>
      </c>
      <c r="W73" s="41">
        <f>YEAR(F73)&amp;"-Q"&amp;ROUNDUP(MONTH(F73)/3,0)</f>
        <v/>
      </c>
      <c r="X73" s="41">
        <f>IF(AND(OR(Dashboard!$C$4="All",D73=Dashboard!$C$4),OR(Dashboard!$C$5="All",E73=Dashboard!$C$5)),1,0)</f>
        <v/>
      </c>
      <c r="Y73" s="43">
        <f>IF(AND(X73=1,S73="Yes"),O73+ROW()/1000000,0)</f>
        <v/>
      </c>
    </row>
    <row r="74">
      <c r="A74" s="35" t="inlineStr">
        <is>
          <t>LN100073</t>
        </is>
      </c>
      <c r="B74" s="35" t="inlineStr">
        <is>
          <t>Ishaan Das</t>
        </is>
      </c>
      <c r="C74" s="35" t="inlineStr">
        <is>
          <t>MUM-01</t>
        </is>
      </c>
      <c r="D74" s="36">
        <f>INDEX(Branches!$C$2:$C$15,MATCH(C74,Branches!$A$2:$A$15,0))</f>
        <v/>
      </c>
      <c r="E74" s="35" t="inlineStr">
        <is>
          <t>Personal Loan</t>
        </is>
      </c>
      <c r="F74" s="37" t="n">
        <v>46050</v>
      </c>
      <c r="G74" s="38" t="n">
        <v>1025000</v>
      </c>
      <c r="H74" s="39" t="n">
        <v>0.1168</v>
      </c>
      <c r="I74" s="35" t="n">
        <v>60</v>
      </c>
      <c r="J74" s="35" t="n">
        <v>665</v>
      </c>
      <c r="K74" s="35" t="n">
        <v>0</v>
      </c>
      <c r="L74" s="40">
        <f>ROUND(PMT(H74/12,I74,-G74),0)</f>
        <v/>
      </c>
      <c r="M74" s="41">
        <f>MAX(0,(YEAR(AsOfDate)-YEAR(F74))*12+MONTH(AsOfDate)-MONTH(F74))</f>
        <v/>
      </c>
      <c r="N74" s="41">
        <f>MAX(0,MIN(I74,M74)-INT(K74/30))</f>
        <v/>
      </c>
      <c r="O74" s="40">
        <f>IF(N74&gt;=I74,0,ROUND(PV(H74/12,I74-N74,-L74),0))</f>
        <v/>
      </c>
      <c r="P74" s="40">
        <f>MIN(I74,M74)*L74-N74*L74</f>
        <v/>
      </c>
      <c r="Q74" s="41">
        <f>INDEX(DPD_Bucket,MATCH(K74,DPD_From,1))</f>
        <v/>
      </c>
      <c r="R74" s="41">
        <f>INDEX(DPD_Class,MATCH(K74,DPD_From,1))</f>
        <v/>
      </c>
      <c r="S74" s="41">
        <f>INDEX(DPD_NPA,MATCH(K74,DPD_From,1))</f>
        <v/>
      </c>
      <c r="T74" s="42">
        <f>INDEX(DPD_Prov,MATCH(K74,DPD_From,1))</f>
        <v/>
      </c>
      <c r="U74" s="40">
        <f>ROUND(O74*T74,0)</f>
        <v/>
      </c>
      <c r="V74" s="41">
        <f>INDEX(CIBIL_Grade,MATCH(J74,CIBIL_From,1))</f>
        <v/>
      </c>
      <c r="W74" s="41">
        <f>YEAR(F74)&amp;"-Q"&amp;ROUNDUP(MONTH(F74)/3,0)</f>
        <v/>
      </c>
      <c r="X74" s="41">
        <f>IF(AND(OR(Dashboard!$C$4="All",D74=Dashboard!$C$4),OR(Dashboard!$C$5="All",E74=Dashboard!$C$5)),1,0)</f>
        <v/>
      </c>
      <c r="Y74" s="43">
        <f>IF(AND(X74=1,S74="Yes"),O74+ROW()/1000000,0)</f>
        <v/>
      </c>
    </row>
    <row r="75">
      <c r="A75" s="35" t="inlineStr">
        <is>
          <t>LN100074</t>
        </is>
      </c>
      <c r="B75" s="35" t="inlineStr">
        <is>
          <t>Farhan Singh</t>
        </is>
      </c>
      <c r="C75" s="35" t="inlineStr">
        <is>
          <t>BBS-01</t>
        </is>
      </c>
      <c r="D75" s="36">
        <f>INDEX(Branches!$C$2:$C$15,MATCH(C75,Branches!$A$2:$A$15,0))</f>
        <v/>
      </c>
      <c r="E75" s="35" t="inlineStr">
        <is>
          <t>Home Loan</t>
        </is>
      </c>
      <c r="F75" s="37" t="n">
        <v>45853</v>
      </c>
      <c r="G75" s="38" t="n">
        <v>13175000</v>
      </c>
      <c r="H75" s="39" t="n">
        <v>0.08500000000000001</v>
      </c>
      <c r="I75" s="35" t="n">
        <v>120</v>
      </c>
      <c r="J75" s="35" t="n">
        <v>677</v>
      </c>
      <c r="K75" s="35" t="n">
        <v>80</v>
      </c>
      <c r="L75" s="40">
        <f>ROUND(PMT(H75/12,I75,-G75),0)</f>
        <v/>
      </c>
      <c r="M75" s="41">
        <f>MAX(0,(YEAR(AsOfDate)-YEAR(F75))*12+MONTH(AsOfDate)-MONTH(F75))</f>
        <v/>
      </c>
      <c r="N75" s="41">
        <f>MAX(0,MIN(I75,M75)-INT(K75/30))</f>
        <v/>
      </c>
      <c r="O75" s="40">
        <f>IF(N75&gt;=I75,0,ROUND(PV(H75/12,I75-N75,-L75),0))</f>
        <v/>
      </c>
      <c r="P75" s="40">
        <f>MIN(I75,M75)*L75-N75*L75</f>
        <v/>
      </c>
      <c r="Q75" s="41">
        <f>INDEX(DPD_Bucket,MATCH(K75,DPD_From,1))</f>
        <v/>
      </c>
      <c r="R75" s="41">
        <f>INDEX(DPD_Class,MATCH(K75,DPD_From,1))</f>
        <v/>
      </c>
      <c r="S75" s="41">
        <f>INDEX(DPD_NPA,MATCH(K75,DPD_From,1))</f>
        <v/>
      </c>
      <c r="T75" s="42">
        <f>INDEX(DPD_Prov,MATCH(K75,DPD_From,1))</f>
        <v/>
      </c>
      <c r="U75" s="40">
        <f>ROUND(O75*T75,0)</f>
        <v/>
      </c>
      <c r="V75" s="41">
        <f>INDEX(CIBIL_Grade,MATCH(J75,CIBIL_From,1))</f>
        <v/>
      </c>
      <c r="W75" s="41">
        <f>YEAR(F75)&amp;"-Q"&amp;ROUNDUP(MONTH(F75)/3,0)</f>
        <v/>
      </c>
      <c r="X75" s="41">
        <f>IF(AND(OR(Dashboard!$C$4="All",D75=Dashboard!$C$4),OR(Dashboard!$C$5="All",E75=Dashboard!$C$5)),1,0)</f>
        <v/>
      </c>
      <c r="Y75" s="43">
        <f>IF(AND(X75=1,S75="Yes"),O75+ROW()/1000000,0)</f>
        <v/>
      </c>
    </row>
    <row r="76">
      <c r="A76" s="35" t="inlineStr">
        <is>
          <t>LN100075</t>
        </is>
      </c>
      <c r="B76" s="35" t="inlineStr">
        <is>
          <t>Harsh Gupta</t>
        </is>
      </c>
      <c r="C76" s="35" t="inlineStr">
        <is>
          <t>GUW-01</t>
        </is>
      </c>
      <c r="D76" s="36">
        <f>INDEX(Branches!$C$2:$C$15,MATCH(C76,Branches!$A$2:$A$15,0))</f>
        <v/>
      </c>
      <c r="E76" s="35" t="inlineStr">
        <is>
          <t>Auto Loan</t>
        </is>
      </c>
      <c r="F76" s="37" t="n">
        <v>45768</v>
      </c>
      <c r="G76" s="38" t="n">
        <v>628000</v>
      </c>
      <c r="H76" s="39" t="n">
        <v>0.09080000000000001</v>
      </c>
      <c r="I76" s="35" t="n">
        <v>60</v>
      </c>
      <c r="J76" s="35" t="n">
        <v>673</v>
      </c>
      <c r="K76" s="35" t="n">
        <v>0</v>
      </c>
      <c r="L76" s="40">
        <f>ROUND(PMT(H76/12,I76,-G76),0)</f>
        <v/>
      </c>
      <c r="M76" s="41">
        <f>MAX(0,(YEAR(AsOfDate)-YEAR(F76))*12+MONTH(AsOfDate)-MONTH(F76))</f>
        <v/>
      </c>
      <c r="N76" s="41">
        <f>MAX(0,MIN(I76,M76)-INT(K76/30))</f>
        <v/>
      </c>
      <c r="O76" s="40">
        <f>IF(N76&gt;=I76,0,ROUND(PV(H76/12,I76-N76,-L76),0))</f>
        <v/>
      </c>
      <c r="P76" s="40">
        <f>MIN(I76,M76)*L76-N76*L76</f>
        <v/>
      </c>
      <c r="Q76" s="41">
        <f>INDEX(DPD_Bucket,MATCH(K76,DPD_From,1))</f>
        <v/>
      </c>
      <c r="R76" s="41">
        <f>INDEX(DPD_Class,MATCH(K76,DPD_From,1))</f>
        <v/>
      </c>
      <c r="S76" s="41">
        <f>INDEX(DPD_NPA,MATCH(K76,DPD_From,1))</f>
        <v/>
      </c>
      <c r="T76" s="42">
        <f>INDEX(DPD_Prov,MATCH(K76,DPD_From,1))</f>
        <v/>
      </c>
      <c r="U76" s="40">
        <f>ROUND(O76*T76,0)</f>
        <v/>
      </c>
      <c r="V76" s="41">
        <f>INDEX(CIBIL_Grade,MATCH(J76,CIBIL_From,1))</f>
        <v/>
      </c>
      <c r="W76" s="41">
        <f>YEAR(F76)&amp;"-Q"&amp;ROUNDUP(MONTH(F76)/3,0)</f>
        <v/>
      </c>
      <c r="X76" s="41">
        <f>IF(AND(OR(Dashboard!$C$4="All",D76=Dashboard!$C$4),OR(Dashboard!$C$5="All",E76=Dashboard!$C$5)),1,0)</f>
        <v/>
      </c>
      <c r="Y76" s="43">
        <f>IF(AND(X76=1,S76="Yes"),O76+ROW()/1000000,0)</f>
        <v/>
      </c>
    </row>
    <row r="77">
      <c r="A77" s="35" t="inlineStr">
        <is>
          <t>LN100076</t>
        </is>
      </c>
      <c r="B77" s="35" t="inlineStr">
        <is>
          <t>Riya Iyer</t>
        </is>
      </c>
      <c r="C77" s="35" t="inlineStr">
        <is>
          <t>JAI-01</t>
        </is>
      </c>
      <c r="D77" s="36">
        <f>INDEX(Branches!$C$2:$C$15,MATCH(C77,Branches!$A$2:$A$15,0))</f>
        <v/>
      </c>
      <c r="E77" s="35" t="inlineStr">
        <is>
          <t>Business Loan</t>
        </is>
      </c>
      <c r="F77" s="37" t="n">
        <v>45274</v>
      </c>
      <c r="G77" s="38" t="n">
        <v>679000</v>
      </c>
      <c r="H77" s="39" t="n">
        <v>0.1602</v>
      </c>
      <c r="I77" s="35" t="n">
        <v>36</v>
      </c>
      <c r="J77" s="35" t="n">
        <v>766</v>
      </c>
      <c r="K77" s="35" t="n">
        <v>297</v>
      </c>
      <c r="L77" s="40">
        <f>ROUND(PMT(H77/12,I77,-G77),0)</f>
        <v/>
      </c>
      <c r="M77" s="41">
        <f>MAX(0,(YEAR(AsOfDate)-YEAR(F77))*12+MONTH(AsOfDate)-MONTH(F77))</f>
        <v/>
      </c>
      <c r="N77" s="41">
        <f>MAX(0,MIN(I77,M77)-INT(K77/30))</f>
        <v/>
      </c>
      <c r="O77" s="40">
        <f>IF(N77&gt;=I77,0,ROUND(PV(H77/12,I77-N77,-L77),0))</f>
        <v/>
      </c>
      <c r="P77" s="40">
        <f>MIN(I77,M77)*L77-N77*L77</f>
        <v/>
      </c>
      <c r="Q77" s="41">
        <f>INDEX(DPD_Bucket,MATCH(K77,DPD_From,1))</f>
        <v/>
      </c>
      <c r="R77" s="41">
        <f>INDEX(DPD_Class,MATCH(K77,DPD_From,1))</f>
        <v/>
      </c>
      <c r="S77" s="41">
        <f>INDEX(DPD_NPA,MATCH(K77,DPD_From,1))</f>
        <v/>
      </c>
      <c r="T77" s="42">
        <f>INDEX(DPD_Prov,MATCH(K77,DPD_From,1))</f>
        <v/>
      </c>
      <c r="U77" s="40">
        <f>ROUND(O77*T77,0)</f>
        <v/>
      </c>
      <c r="V77" s="41">
        <f>INDEX(CIBIL_Grade,MATCH(J77,CIBIL_From,1))</f>
        <v/>
      </c>
      <c r="W77" s="41">
        <f>YEAR(F77)&amp;"-Q"&amp;ROUNDUP(MONTH(F77)/3,0)</f>
        <v/>
      </c>
      <c r="X77" s="41">
        <f>IF(AND(OR(Dashboard!$C$4="All",D77=Dashboard!$C$4),OR(Dashboard!$C$5="All",E77=Dashboard!$C$5)),1,0)</f>
        <v/>
      </c>
      <c r="Y77" s="43">
        <f>IF(AND(X77=1,S77="Yes"),O77+ROW()/1000000,0)</f>
        <v/>
      </c>
    </row>
    <row r="78">
      <c r="A78" s="35" t="inlineStr">
        <is>
          <t>LN100077</t>
        </is>
      </c>
      <c r="B78" s="35" t="inlineStr">
        <is>
          <t>Karthik Mishra</t>
        </is>
      </c>
      <c r="C78" s="35" t="inlineStr">
        <is>
          <t>BLR-01</t>
        </is>
      </c>
      <c r="D78" s="36">
        <f>INDEX(Branches!$C$2:$C$15,MATCH(C78,Branches!$A$2:$A$15,0))</f>
        <v/>
      </c>
      <c r="E78" s="35" t="inlineStr">
        <is>
          <t>Auto Loan</t>
        </is>
      </c>
      <c r="F78" s="37" t="n">
        <v>46121</v>
      </c>
      <c r="G78" s="38" t="n">
        <v>1999000</v>
      </c>
      <c r="H78" s="39" t="n">
        <v>0.1098</v>
      </c>
      <c r="I78" s="35" t="n">
        <v>60</v>
      </c>
      <c r="J78" s="35" t="n">
        <v>853</v>
      </c>
      <c r="K78" s="35" t="n">
        <v>0</v>
      </c>
      <c r="L78" s="40">
        <f>ROUND(PMT(H78/12,I78,-G78),0)</f>
        <v/>
      </c>
      <c r="M78" s="41">
        <f>MAX(0,(YEAR(AsOfDate)-YEAR(F78))*12+MONTH(AsOfDate)-MONTH(F78))</f>
        <v/>
      </c>
      <c r="N78" s="41">
        <f>MAX(0,MIN(I78,M78)-INT(K78/30))</f>
        <v/>
      </c>
      <c r="O78" s="40">
        <f>IF(N78&gt;=I78,0,ROUND(PV(H78/12,I78-N78,-L78),0))</f>
        <v/>
      </c>
      <c r="P78" s="40">
        <f>MIN(I78,M78)*L78-N78*L78</f>
        <v/>
      </c>
      <c r="Q78" s="41">
        <f>INDEX(DPD_Bucket,MATCH(K78,DPD_From,1))</f>
        <v/>
      </c>
      <c r="R78" s="41">
        <f>INDEX(DPD_Class,MATCH(K78,DPD_From,1))</f>
        <v/>
      </c>
      <c r="S78" s="41">
        <f>INDEX(DPD_NPA,MATCH(K78,DPD_From,1))</f>
        <v/>
      </c>
      <c r="T78" s="42">
        <f>INDEX(DPD_Prov,MATCH(K78,DPD_From,1))</f>
        <v/>
      </c>
      <c r="U78" s="40">
        <f>ROUND(O78*T78,0)</f>
        <v/>
      </c>
      <c r="V78" s="41">
        <f>INDEX(CIBIL_Grade,MATCH(J78,CIBIL_From,1))</f>
        <v/>
      </c>
      <c r="W78" s="41">
        <f>YEAR(F78)&amp;"-Q"&amp;ROUNDUP(MONTH(F78)/3,0)</f>
        <v/>
      </c>
      <c r="X78" s="41">
        <f>IF(AND(OR(Dashboard!$C$4="All",D78=Dashboard!$C$4),OR(Dashboard!$C$5="All",E78=Dashboard!$C$5)),1,0)</f>
        <v/>
      </c>
      <c r="Y78" s="43">
        <f>IF(AND(X78=1,S78="Yes"),O78+ROW()/1000000,0)</f>
        <v/>
      </c>
    </row>
    <row r="79">
      <c r="A79" s="35" t="inlineStr">
        <is>
          <t>LN100078</t>
        </is>
      </c>
      <c r="B79" s="35" t="inlineStr">
        <is>
          <t>Lakshmi Joshi</t>
        </is>
      </c>
      <c r="C79" s="35" t="inlineStr">
        <is>
          <t>MUM-01</t>
        </is>
      </c>
      <c r="D79" s="36">
        <f>INDEX(Branches!$C$2:$C$15,MATCH(C79,Branches!$A$2:$A$15,0))</f>
        <v/>
      </c>
      <c r="E79" s="35" t="inlineStr">
        <is>
          <t>Auto Loan</t>
        </is>
      </c>
      <c r="F79" s="37" t="n">
        <v>45815</v>
      </c>
      <c r="G79" s="38" t="n">
        <v>690000</v>
      </c>
      <c r="H79" s="39" t="n">
        <v>0.1071</v>
      </c>
      <c r="I79" s="35" t="n">
        <v>36</v>
      </c>
      <c r="J79" s="35" t="n">
        <v>811</v>
      </c>
      <c r="K79" s="35" t="n">
        <v>0</v>
      </c>
      <c r="L79" s="40">
        <f>ROUND(PMT(H79/12,I79,-G79),0)</f>
        <v/>
      </c>
      <c r="M79" s="41">
        <f>MAX(0,(YEAR(AsOfDate)-YEAR(F79))*12+MONTH(AsOfDate)-MONTH(F79))</f>
        <v/>
      </c>
      <c r="N79" s="41">
        <f>MAX(0,MIN(I79,M79)-INT(K79/30))</f>
        <v/>
      </c>
      <c r="O79" s="40">
        <f>IF(N79&gt;=I79,0,ROUND(PV(H79/12,I79-N79,-L79),0))</f>
        <v/>
      </c>
      <c r="P79" s="40">
        <f>MIN(I79,M79)*L79-N79*L79</f>
        <v/>
      </c>
      <c r="Q79" s="41">
        <f>INDEX(DPD_Bucket,MATCH(K79,DPD_From,1))</f>
        <v/>
      </c>
      <c r="R79" s="41">
        <f>INDEX(DPD_Class,MATCH(K79,DPD_From,1))</f>
        <v/>
      </c>
      <c r="S79" s="41">
        <f>INDEX(DPD_NPA,MATCH(K79,DPD_From,1))</f>
        <v/>
      </c>
      <c r="T79" s="42">
        <f>INDEX(DPD_Prov,MATCH(K79,DPD_From,1))</f>
        <v/>
      </c>
      <c r="U79" s="40">
        <f>ROUND(O79*T79,0)</f>
        <v/>
      </c>
      <c r="V79" s="41">
        <f>INDEX(CIBIL_Grade,MATCH(J79,CIBIL_From,1))</f>
        <v/>
      </c>
      <c r="W79" s="41">
        <f>YEAR(F79)&amp;"-Q"&amp;ROUNDUP(MONTH(F79)/3,0)</f>
        <v/>
      </c>
      <c r="X79" s="41">
        <f>IF(AND(OR(Dashboard!$C$4="All",D79=Dashboard!$C$4),OR(Dashboard!$C$5="All",E79=Dashboard!$C$5)),1,0)</f>
        <v/>
      </c>
      <c r="Y79" s="43">
        <f>IF(AND(X79=1,S79="Yes"),O79+ROW()/1000000,0)</f>
        <v/>
      </c>
    </row>
    <row r="80">
      <c r="A80" s="35" t="inlineStr">
        <is>
          <t>LN100079</t>
        </is>
      </c>
      <c r="B80" s="35" t="inlineStr">
        <is>
          <t>Arjun Patel</t>
        </is>
      </c>
      <c r="C80" s="35" t="inlineStr">
        <is>
          <t>PUN-01</t>
        </is>
      </c>
      <c r="D80" s="36">
        <f>INDEX(Branches!$C$2:$C$15,MATCH(C80,Branches!$A$2:$A$15,0))</f>
        <v/>
      </c>
      <c r="E80" s="35" t="inlineStr">
        <is>
          <t>Personal Loan</t>
        </is>
      </c>
      <c r="F80" s="37" t="n">
        <v>45987</v>
      </c>
      <c r="G80" s="38" t="n">
        <v>676000</v>
      </c>
      <c r="H80" s="39" t="n">
        <v>0.1422</v>
      </c>
      <c r="I80" s="35" t="n">
        <v>48</v>
      </c>
      <c r="J80" s="35" t="n">
        <v>679</v>
      </c>
      <c r="K80" s="35" t="n">
        <v>0</v>
      </c>
      <c r="L80" s="40">
        <f>ROUND(PMT(H80/12,I80,-G80),0)</f>
        <v/>
      </c>
      <c r="M80" s="41">
        <f>MAX(0,(YEAR(AsOfDate)-YEAR(F80))*12+MONTH(AsOfDate)-MONTH(F80))</f>
        <v/>
      </c>
      <c r="N80" s="41">
        <f>MAX(0,MIN(I80,M80)-INT(K80/30))</f>
        <v/>
      </c>
      <c r="O80" s="40">
        <f>IF(N80&gt;=I80,0,ROUND(PV(H80/12,I80-N80,-L80),0))</f>
        <v/>
      </c>
      <c r="P80" s="40">
        <f>MIN(I80,M80)*L80-N80*L80</f>
        <v/>
      </c>
      <c r="Q80" s="41">
        <f>INDEX(DPD_Bucket,MATCH(K80,DPD_From,1))</f>
        <v/>
      </c>
      <c r="R80" s="41">
        <f>INDEX(DPD_Class,MATCH(K80,DPD_From,1))</f>
        <v/>
      </c>
      <c r="S80" s="41">
        <f>INDEX(DPD_NPA,MATCH(K80,DPD_From,1))</f>
        <v/>
      </c>
      <c r="T80" s="42">
        <f>INDEX(DPD_Prov,MATCH(K80,DPD_From,1))</f>
        <v/>
      </c>
      <c r="U80" s="40">
        <f>ROUND(O80*T80,0)</f>
        <v/>
      </c>
      <c r="V80" s="41">
        <f>INDEX(CIBIL_Grade,MATCH(J80,CIBIL_From,1))</f>
        <v/>
      </c>
      <c r="W80" s="41">
        <f>YEAR(F80)&amp;"-Q"&amp;ROUNDUP(MONTH(F80)/3,0)</f>
        <v/>
      </c>
      <c r="X80" s="41">
        <f>IF(AND(OR(Dashboard!$C$4="All",D80=Dashboard!$C$4),OR(Dashboard!$C$5="All",E80=Dashboard!$C$5)),1,0)</f>
        <v/>
      </c>
      <c r="Y80" s="43">
        <f>IF(AND(X80=1,S80="Yes"),O80+ROW()/1000000,0)</f>
        <v/>
      </c>
    </row>
    <row r="81">
      <c r="A81" s="35" t="inlineStr">
        <is>
          <t>LN100080</t>
        </is>
      </c>
      <c r="B81" s="35" t="inlineStr">
        <is>
          <t>Priya Gupta</t>
        </is>
      </c>
      <c r="C81" s="35" t="inlineStr">
        <is>
          <t>PUN-01</t>
        </is>
      </c>
      <c r="D81" s="36">
        <f>INDEX(Branches!$C$2:$C$15,MATCH(C81,Branches!$A$2:$A$15,0))</f>
        <v/>
      </c>
      <c r="E81" s="35" t="inlineStr">
        <is>
          <t>Personal Loan</t>
        </is>
      </c>
      <c r="F81" s="37" t="n">
        <v>46098</v>
      </c>
      <c r="G81" s="38" t="n">
        <v>262000</v>
      </c>
      <c r="H81" s="39" t="n">
        <v>0.1629</v>
      </c>
      <c r="I81" s="35" t="n">
        <v>48</v>
      </c>
      <c r="J81" s="35" t="n">
        <v>745</v>
      </c>
      <c r="K81" s="35" t="n">
        <v>0</v>
      </c>
      <c r="L81" s="40">
        <f>ROUND(PMT(H81/12,I81,-G81),0)</f>
        <v/>
      </c>
      <c r="M81" s="41">
        <f>MAX(0,(YEAR(AsOfDate)-YEAR(F81))*12+MONTH(AsOfDate)-MONTH(F81))</f>
        <v/>
      </c>
      <c r="N81" s="41">
        <f>MAX(0,MIN(I81,M81)-INT(K81/30))</f>
        <v/>
      </c>
      <c r="O81" s="40">
        <f>IF(N81&gt;=I81,0,ROUND(PV(H81/12,I81-N81,-L81),0))</f>
        <v/>
      </c>
      <c r="P81" s="40">
        <f>MIN(I81,M81)*L81-N81*L81</f>
        <v/>
      </c>
      <c r="Q81" s="41">
        <f>INDEX(DPD_Bucket,MATCH(K81,DPD_From,1))</f>
        <v/>
      </c>
      <c r="R81" s="41">
        <f>INDEX(DPD_Class,MATCH(K81,DPD_From,1))</f>
        <v/>
      </c>
      <c r="S81" s="41">
        <f>INDEX(DPD_NPA,MATCH(K81,DPD_From,1))</f>
        <v/>
      </c>
      <c r="T81" s="42">
        <f>INDEX(DPD_Prov,MATCH(K81,DPD_From,1))</f>
        <v/>
      </c>
      <c r="U81" s="40">
        <f>ROUND(O81*T81,0)</f>
        <v/>
      </c>
      <c r="V81" s="41">
        <f>INDEX(CIBIL_Grade,MATCH(J81,CIBIL_From,1))</f>
        <v/>
      </c>
      <c r="W81" s="41">
        <f>YEAR(F81)&amp;"-Q"&amp;ROUNDUP(MONTH(F81)/3,0)</f>
        <v/>
      </c>
      <c r="X81" s="41">
        <f>IF(AND(OR(Dashboard!$C$4="All",D81=Dashboard!$C$4),OR(Dashboard!$C$5="All",E81=Dashboard!$C$5)),1,0)</f>
        <v/>
      </c>
      <c r="Y81" s="43">
        <f>IF(AND(X81=1,S81="Yes"),O81+ROW()/1000000,0)</f>
        <v/>
      </c>
    </row>
    <row r="82">
      <c r="A82" s="35" t="inlineStr">
        <is>
          <t>LN100081</t>
        </is>
      </c>
      <c r="B82" s="35" t="inlineStr">
        <is>
          <t>Manish Pillai</t>
        </is>
      </c>
      <c r="C82" s="35" t="inlineStr">
        <is>
          <t>KOL-01</t>
        </is>
      </c>
      <c r="D82" s="36">
        <f>INDEX(Branches!$C$2:$C$15,MATCH(C82,Branches!$A$2:$A$15,0))</f>
        <v/>
      </c>
      <c r="E82" s="35" t="inlineStr">
        <is>
          <t>Business Loan</t>
        </is>
      </c>
      <c r="F82" s="37" t="n">
        <v>45227</v>
      </c>
      <c r="G82" s="38" t="n">
        <v>2489000</v>
      </c>
      <c r="H82" s="39" t="n">
        <v>0.1336</v>
      </c>
      <c r="I82" s="35" t="n">
        <v>12</v>
      </c>
      <c r="J82" s="35" t="n">
        <v>704</v>
      </c>
      <c r="K82" s="35" t="n">
        <v>0</v>
      </c>
      <c r="L82" s="40">
        <f>ROUND(PMT(H82/12,I82,-G82),0)</f>
        <v/>
      </c>
      <c r="M82" s="41">
        <f>MAX(0,(YEAR(AsOfDate)-YEAR(F82))*12+MONTH(AsOfDate)-MONTH(F82))</f>
        <v/>
      </c>
      <c r="N82" s="41">
        <f>MAX(0,MIN(I82,M82)-INT(K82/30))</f>
        <v/>
      </c>
      <c r="O82" s="40">
        <f>IF(N82&gt;=I82,0,ROUND(PV(H82/12,I82-N82,-L82),0))</f>
        <v/>
      </c>
      <c r="P82" s="40">
        <f>MIN(I82,M82)*L82-N82*L82</f>
        <v/>
      </c>
      <c r="Q82" s="41">
        <f>INDEX(DPD_Bucket,MATCH(K82,DPD_From,1))</f>
        <v/>
      </c>
      <c r="R82" s="41">
        <f>INDEX(DPD_Class,MATCH(K82,DPD_From,1))</f>
        <v/>
      </c>
      <c r="S82" s="41">
        <f>INDEX(DPD_NPA,MATCH(K82,DPD_From,1))</f>
        <v/>
      </c>
      <c r="T82" s="42">
        <f>INDEX(DPD_Prov,MATCH(K82,DPD_From,1))</f>
        <v/>
      </c>
      <c r="U82" s="40">
        <f>ROUND(O82*T82,0)</f>
        <v/>
      </c>
      <c r="V82" s="41">
        <f>INDEX(CIBIL_Grade,MATCH(J82,CIBIL_From,1))</f>
        <v/>
      </c>
      <c r="W82" s="41">
        <f>YEAR(F82)&amp;"-Q"&amp;ROUNDUP(MONTH(F82)/3,0)</f>
        <v/>
      </c>
      <c r="X82" s="41">
        <f>IF(AND(OR(Dashboard!$C$4="All",D82=Dashboard!$C$4),OR(Dashboard!$C$5="All",E82=Dashboard!$C$5)),1,0)</f>
        <v/>
      </c>
      <c r="Y82" s="43">
        <f>IF(AND(X82=1,S82="Yes"),O82+ROW()/1000000,0)</f>
        <v/>
      </c>
    </row>
    <row r="83">
      <c r="A83" s="35" t="inlineStr">
        <is>
          <t>LN100082</t>
        </is>
      </c>
      <c r="B83" s="35" t="inlineStr">
        <is>
          <t>Farhan Pillai</t>
        </is>
      </c>
      <c r="C83" s="35" t="inlineStr">
        <is>
          <t>CHN-01</t>
        </is>
      </c>
      <c r="D83" s="36">
        <f>INDEX(Branches!$C$2:$C$15,MATCH(C83,Branches!$A$2:$A$15,0))</f>
        <v/>
      </c>
      <c r="E83" s="35" t="inlineStr">
        <is>
          <t>Auto Loan</t>
        </is>
      </c>
      <c r="F83" s="37" t="n">
        <v>45584</v>
      </c>
      <c r="G83" s="38" t="n">
        <v>446000</v>
      </c>
      <c r="H83" s="39" t="n">
        <v>0.1085</v>
      </c>
      <c r="I83" s="35" t="n">
        <v>48</v>
      </c>
      <c r="J83" s="35" t="n">
        <v>753</v>
      </c>
      <c r="K83" s="35" t="n">
        <v>0</v>
      </c>
      <c r="L83" s="40">
        <f>ROUND(PMT(H83/12,I83,-G83),0)</f>
        <v/>
      </c>
      <c r="M83" s="41">
        <f>MAX(0,(YEAR(AsOfDate)-YEAR(F83))*12+MONTH(AsOfDate)-MONTH(F83))</f>
        <v/>
      </c>
      <c r="N83" s="41">
        <f>MAX(0,MIN(I83,M83)-INT(K83/30))</f>
        <v/>
      </c>
      <c r="O83" s="40">
        <f>IF(N83&gt;=I83,0,ROUND(PV(H83/12,I83-N83,-L83),0))</f>
        <v/>
      </c>
      <c r="P83" s="40">
        <f>MIN(I83,M83)*L83-N83*L83</f>
        <v/>
      </c>
      <c r="Q83" s="41">
        <f>INDEX(DPD_Bucket,MATCH(K83,DPD_From,1))</f>
        <v/>
      </c>
      <c r="R83" s="41">
        <f>INDEX(DPD_Class,MATCH(K83,DPD_From,1))</f>
        <v/>
      </c>
      <c r="S83" s="41">
        <f>INDEX(DPD_NPA,MATCH(K83,DPD_From,1))</f>
        <v/>
      </c>
      <c r="T83" s="42">
        <f>INDEX(DPD_Prov,MATCH(K83,DPD_From,1))</f>
        <v/>
      </c>
      <c r="U83" s="40">
        <f>ROUND(O83*T83,0)</f>
        <v/>
      </c>
      <c r="V83" s="41">
        <f>INDEX(CIBIL_Grade,MATCH(J83,CIBIL_From,1))</f>
        <v/>
      </c>
      <c r="W83" s="41">
        <f>YEAR(F83)&amp;"-Q"&amp;ROUNDUP(MONTH(F83)/3,0)</f>
        <v/>
      </c>
      <c r="X83" s="41">
        <f>IF(AND(OR(Dashboard!$C$4="All",D83=Dashboard!$C$4),OR(Dashboard!$C$5="All",E83=Dashboard!$C$5)),1,0)</f>
        <v/>
      </c>
      <c r="Y83" s="43">
        <f>IF(AND(X83=1,S83="Yes"),O83+ROW()/1000000,0)</f>
        <v/>
      </c>
    </row>
    <row r="84">
      <c r="A84" s="35" t="inlineStr">
        <is>
          <t>LN100083</t>
        </is>
      </c>
      <c r="B84" s="35" t="inlineStr">
        <is>
          <t>Harsh Singh</t>
        </is>
      </c>
      <c r="C84" s="35" t="inlineStr">
        <is>
          <t>LKO-01</t>
        </is>
      </c>
      <c r="D84" s="36">
        <f>INDEX(Branches!$C$2:$C$15,MATCH(C84,Branches!$A$2:$A$15,0))</f>
        <v/>
      </c>
      <c r="E84" s="35" t="inlineStr">
        <is>
          <t>Business Loan</t>
        </is>
      </c>
      <c r="F84" s="37" t="n">
        <v>45537</v>
      </c>
      <c r="G84" s="38" t="n">
        <v>3674000</v>
      </c>
      <c r="H84" s="39" t="n">
        <v>0.1591</v>
      </c>
      <c r="I84" s="35" t="n">
        <v>24</v>
      </c>
      <c r="J84" s="35" t="n">
        <v>668</v>
      </c>
      <c r="K84" s="35" t="n">
        <v>327</v>
      </c>
      <c r="L84" s="40">
        <f>ROUND(PMT(H84/12,I84,-G84),0)</f>
        <v/>
      </c>
      <c r="M84" s="41">
        <f>MAX(0,(YEAR(AsOfDate)-YEAR(F84))*12+MONTH(AsOfDate)-MONTH(F84))</f>
        <v/>
      </c>
      <c r="N84" s="41">
        <f>MAX(0,MIN(I84,M84)-INT(K84/30))</f>
        <v/>
      </c>
      <c r="O84" s="40">
        <f>IF(N84&gt;=I84,0,ROUND(PV(H84/12,I84-N84,-L84),0))</f>
        <v/>
      </c>
      <c r="P84" s="40">
        <f>MIN(I84,M84)*L84-N84*L84</f>
        <v/>
      </c>
      <c r="Q84" s="41">
        <f>INDEX(DPD_Bucket,MATCH(K84,DPD_From,1))</f>
        <v/>
      </c>
      <c r="R84" s="41">
        <f>INDEX(DPD_Class,MATCH(K84,DPD_From,1))</f>
        <v/>
      </c>
      <c r="S84" s="41">
        <f>INDEX(DPD_NPA,MATCH(K84,DPD_From,1))</f>
        <v/>
      </c>
      <c r="T84" s="42">
        <f>INDEX(DPD_Prov,MATCH(K84,DPD_From,1))</f>
        <v/>
      </c>
      <c r="U84" s="40">
        <f>ROUND(O84*T84,0)</f>
        <v/>
      </c>
      <c r="V84" s="41">
        <f>INDEX(CIBIL_Grade,MATCH(J84,CIBIL_From,1))</f>
        <v/>
      </c>
      <c r="W84" s="41">
        <f>YEAR(F84)&amp;"-Q"&amp;ROUNDUP(MONTH(F84)/3,0)</f>
        <v/>
      </c>
      <c r="X84" s="41">
        <f>IF(AND(OR(Dashboard!$C$4="All",D84=Dashboard!$C$4),OR(Dashboard!$C$5="All",E84=Dashboard!$C$5)),1,0)</f>
        <v/>
      </c>
      <c r="Y84" s="43">
        <f>IF(AND(X84=1,S84="Yes"),O84+ROW()/1000000,0)</f>
        <v/>
      </c>
    </row>
    <row r="85">
      <c r="A85" s="35" t="inlineStr">
        <is>
          <t>LN100084</t>
        </is>
      </c>
      <c r="B85" s="35" t="inlineStr">
        <is>
          <t>Sai Banerjee</t>
        </is>
      </c>
      <c r="C85" s="35" t="inlineStr">
        <is>
          <t>KOC-01</t>
        </is>
      </c>
      <c r="D85" s="36">
        <f>INDEX(Branches!$C$2:$C$15,MATCH(C85,Branches!$A$2:$A$15,0))</f>
        <v/>
      </c>
      <c r="E85" s="35" t="inlineStr">
        <is>
          <t>Personal Loan</t>
        </is>
      </c>
      <c r="F85" s="37" t="n">
        <v>45674</v>
      </c>
      <c r="G85" s="38" t="n">
        <v>1391000</v>
      </c>
      <c r="H85" s="39" t="n">
        <v>0.1431</v>
      </c>
      <c r="I85" s="35" t="n">
        <v>48</v>
      </c>
      <c r="J85" s="35" t="n">
        <v>713</v>
      </c>
      <c r="K85" s="35" t="n">
        <v>0</v>
      </c>
      <c r="L85" s="40">
        <f>ROUND(PMT(H85/12,I85,-G85),0)</f>
        <v/>
      </c>
      <c r="M85" s="41">
        <f>MAX(0,(YEAR(AsOfDate)-YEAR(F85))*12+MONTH(AsOfDate)-MONTH(F85))</f>
        <v/>
      </c>
      <c r="N85" s="41">
        <f>MAX(0,MIN(I85,M85)-INT(K85/30))</f>
        <v/>
      </c>
      <c r="O85" s="40">
        <f>IF(N85&gt;=I85,0,ROUND(PV(H85/12,I85-N85,-L85),0))</f>
        <v/>
      </c>
      <c r="P85" s="40">
        <f>MIN(I85,M85)*L85-N85*L85</f>
        <v/>
      </c>
      <c r="Q85" s="41">
        <f>INDEX(DPD_Bucket,MATCH(K85,DPD_From,1))</f>
        <v/>
      </c>
      <c r="R85" s="41">
        <f>INDEX(DPD_Class,MATCH(K85,DPD_From,1))</f>
        <v/>
      </c>
      <c r="S85" s="41">
        <f>INDEX(DPD_NPA,MATCH(K85,DPD_From,1))</f>
        <v/>
      </c>
      <c r="T85" s="42">
        <f>INDEX(DPD_Prov,MATCH(K85,DPD_From,1))</f>
        <v/>
      </c>
      <c r="U85" s="40">
        <f>ROUND(O85*T85,0)</f>
        <v/>
      </c>
      <c r="V85" s="41">
        <f>INDEX(CIBIL_Grade,MATCH(J85,CIBIL_From,1))</f>
        <v/>
      </c>
      <c r="W85" s="41">
        <f>YEAR(F85)&amp;"-Q"&amp;ROUNDUP(MONTH(F85)/3,0)</f>
        <v/>
      </c>
      <c r="X85" s="41">
        <f>IF(AND(OR(Dashboard!$C$4="All",D85=Dashboard!$C$4),OR(Dashboard!$C$5="All",E85=Dashboard!$C$5)),1,0)</f>
        <v/>
      </c>
      <c r="Y85" s="43">
        <f>IF(AND(X85=1,S85="Yes"),O85+ROW()/1000000,0)</f>
        <v/>
      </c>
    </row>
    <row r="86">
      <c r="A86" s="35" t="inlineStr">
        <is>
          <t>LN100085</t>
        </is>
      </c>
      <c r="B86" s="35" t="inlineStr">
        <is>
          <t>Nikhil Chatterjee</t>
        </is>
      </c>
      <c r="C86" s="35" t="inlineStr">
        <is>
          <t>MUM-01</t>
        </is>
      </c>
      <c r="D86" s="36">
        <f>INDEX(Branches!$C$2:$C$15,MATCH(C86,Branches!$A$2:$A$15,0))</f>
        <v/>
      </c>
      <c r="E86" s="35" t="inlineStr">
        <is>
          <t>Business Loan</t>
        </is>
      </c>
      <c r="F86" s="37" t="n">
        <v>45608</v>
      </c>
      <c r="G86" s="38" t="n">
        <v>4192000</v>
      </c>
      <c r="H86" s="39" t="n">
        <v>0.1498</v>
      </c>
      <c r="I86" s="35" t="n">
        <v>12</v>
      </c>
      <c r="J86" s="35" t="n">
        <v>750</v>
      </c>
      <c r="K86" s="35" t="n">
        <v>0</v>
      </c>
      <c r="L86" s="40">
        <f>ROUND(PMT(H86/12,I86,-G86),0)</f>
        <v/>
      </c>
      <c r="M86" s="41">
        <f>MAX(0,(YEAR(AsOfDate)-YEAR(F86))*12+MONTH(AsOfDate)-MONTH(F86))</f>
        <v/>
      </c>
      <c r="N86" s="41">
        <f>MAX(0,MIN(I86,M86)-INT(K86/30))</f>
        <v/>
      </c>
      <c r="O86" s="40">
        <f>IF(N86&gt;=I86,0,ROUND(PV(H86/12,I86-N86,-L86),0))</f>
        <v/>
      </c>
      <c r="P86" s="40">
        <f>MIN(I86,M86)*L86-N86*L86</f>
        <v/>
      </c>
      <c r="Q86" s="41">
        <f>INDEX(DPD_Bucket,MATCH(K86,DPD_From,1))</f>
        <v/>
      </c>
      <c r="R86" s="41">
        <f>INDEX(DPD_Class,MATCH(K86,DPD_From,1))</f>
        <v/>
      </c>
      <c r="S86" s="41">
        <f>INDEX(DPD_NPA,MATCH(K86,DPD_From,1))</f>
        <v/>
      </c>
      <c r="T86" s="42">
        <f>INDEX(DPD_Prov,MATCH(K86,DPD_From,1))</f>
        <v/>
      </c>
      <c r="U86" s="40">
        <f>ROUND(O86*T86,0)</f>
        <v/>
      </c>
      <c r="V86" s="41">
        <f>INDEX(CIBIL_Grade,MATCH(J86,CIBIL_From,1))</f>
        <v/>
      </c>
      <c r="W86" s="41">
        <f>YEAR(F86)&amp;"-Q"&amp;ROUNDUP(MONTH(F86)/3,0)</f>
        <v/>
      </c>
      <c r="X86" s="41">
        <f>IF(AND(OR(Dashboard!$C$4="All",D86=Dashboard!$C$4),OR(Dashboard!$C$5="All",E86=Dashboard!$C$5)),1,0)</f>
        <v/>
      </c>
      <c r="Y86" s="43">
        <f>IF(AND(X86=1,S86="Yes"),O86+ROW()/1000000,0)</f>
        <v/>
      </c>
    </row>
    <row r="87">
      <c r="A87" s="35" t="inlineStr">
        <is>
          <t>LN100086</t>
        </is>
      </c>
      <c r="B87" s="35" t="inlineStr">
        <is>
          <t>Pooja Menon</t>
        </is>
      </c>
      <c r="C87" s="35" t="inlineStr">
        <is>
          <t>PUN-01</t>
        </is>
      </c>
      <c r="D87" s="36">
        <f>INDEX(Branches!$C$2:$C$15,MATCH(C87,Branches!$A$2:$A$15,0))</f>
        <v/>
      </c>
      <c r="E87" s="35" t="inlineStr">
        <is>
          <t>Auto Loan</t>
        </is>
      </c>
      <c r="F87" s="37" t="n">
        <v>45869</v>
      </c>
      <c r="G87" s="38" t="n">
        <v>1283000</v>
      </c>
      <c r="H87" s="39" t="n">
        <v>0.1058</v>
      </c>
      <c r="I87" s="35" t="n">
        <v>84</v>
      </c>
      <c r="J87" s="35" t="n">
        <v>628</v>
      </c>
      <c r="K87" s="35" t="n">
        <v>0</v>
      </c>
      <c r="L87" s="40">
        <f>ROUND(PMT(H87/12,I87,-G87),0)</f>
        <v/>
      </c>
      <c r="M87" s="41">
        <f>MAX(0,(YEAR(AsOfDate)-YEAR(F87))*12+MONTH(AsOfDate)-MONTH(F87))</f>
        <v/>
      </c>
      <c r="N87" s="41">
        <f>MAX(0,MIN(I87,M87)-INT(K87/30))</f>
        <v/>
      </c>
      <c r="O87" s="40">
        <f>IF(N87&gt;=I87,0,ROUND(PV(H87/12,I87-N87,-L87),0))</f>
        <v/>
      </c>
      <c r="P87" s="40">
        <f>MIN(I87,M87)*L87-N87*L87</f>
        <v/>
      </c>
      <c r="Q87" s="41">
        <f>INDEX(DPD_Bucket,MATCH(K87,DPD_From,1))</f>
        <v/>
      </c>
      <c r="R87" s="41">
        <f>INDEX(DPD_Class,MATCH(K87,DPD_From,1))</f>
        <v/>
      </c>
      <c r="S87" s="41">
        <f>INDEX(DPD_NPA,MATCH(K87,DPD_From,1))</f>
        <v/>
      </c>
      <c r="T87" s="42">
        <f>INDEX(DPD_Prov,MATCH(K87,DPD_From,1))</f>
        <v/>
      </c>
      <c r="U87" s="40">
        <f>ROUND(O87*T87,0)</f>
        <v/>
      </c>
      <c r="V87" s="41">
        <f>INDEX(CIBIL_Grade,MATCH(J87,CIBIL_From,1))</f>
        <v/>
      </c>
      <c r="W87" s="41">
        <f>YEAR(F87)&amp;"-Q"&amp;ROUNDUP(MONTH(F87)/3,0)</f>
        <v/>
      </c>
      <c r="X87" s="41">
        <f>IF(AND(OR(Dashboard!$C$4="All",D87=Dashboard!$C$4),OR(Dashboard!$C$5="All",E87=Dashboard!$C$5)),1,0)</f>
        <v/>
      </c>
      <c r="Y87" s="43">
        <f>IF(AND(X87=1,S87="Yes"),O87+ROW()/1000000,0)</f>
        <v/>
      </c>
    </row>
    <row r="88">
      <c r="A88" s="35" t="inlineStr">
        <is>
          <t>LN100087</t>
        </is>
      </c>
      <c r="B88" s="35" t="inlineStr">
        <is>
          <t>Gaurav Khan</t>
        </is>
      </c>
      <c r="C88" s="35" t="inlineStr">
        <is>
          <t>BLR-01</t>
        </is>
      </c>
      <c r="D88" s="36">
        <f>INDEX(Branches!$C$2:$C$15,MATCH(C88,Branches!$A$2:$A$15,0))</f>
        <v/>
      </c>
      <c r="E88" s="35" t="inlineStr">
        <is>
          <t>Personal Loan</t>
        </is>
      </c>
      <c r="F88" s="37" t="n">
        <v>45787</v>
      </c>
      <c r="G88" s="38" t="n">
        <v>545000</v>
      </c>
      <c r="H88" s="39" t="n">
        <v>0.1405</v>
      </c>
      <c r="I88" s="35" t="n">
        <v>36</v>
      </c>
      <c r="J88" s="35" t="n">
        <v>775</v>
      </c>
      <c r="K88" s="35" t="n">
        <v>0</v>
      </c>
      <c r="L88" s="40">
        <f>ROUND(PMT(H88/12,I88,-G88),0)</f>
        <v/>
      </c>
      <c r="M88" s="41">
        <f>MAX(0,(YEAR(AsOfDate)-YEAR(F88))*12+MONTH(AsOfDate)-MONTH(F88))</f>
        <v/>
      </c>
      <c r="N88" s="41">
        <f>MAX(0,MIN(I88,M88)-INT(K88/30))</f>
        <v/>
      </c>
      <c r="O88" s="40">
        <f>IF(N88&gt;=I88,0,ROUND(PV(H88/12,I88-N88,-L88),0))</f>
        <v/>
      </c>
      <c r="P88" s="40">
        <f>MIN(I88,M88)*L88-N88*L88</f>
        <v/>
      </c>
      <c r="Q88" s="41">
        <f>INDEX(DPD_Bucket,MATCH(K88,DPD_From,1))</f>
        <v/>
      </c>
      <c r="R88" s="41">
        <f>INDEX(DPD_Class,MATCH(K88,DPD_From,1))</f>
        <v/>
      </c>
      <c r="S88" s="41">
        <f>INDEX(DPD_NPA,MATCH(K88,DPD_From,1))</f>
        <v/>
      </c>
      <c r="T88" s="42">
        <f>INDEX(DPD_Prov,MATCH(K88,DPD_From,1))</f>
        <v/>
      </c>
      <c r="U88" s="40">
        <f>ROUND(O88*T88,0)</f>
        <v/>
      </c>
      <c r="V88" s="41">
        <f>INDEX(CIBIL_Grade,MATCH(J88,CIBIL_From,1))</f>
        <v/>
      </c>
      <c r="W88" s="41">
        <f>YEAR(F88)&amp;"-Q"&amp;ROUNDUP(MONTH(F88)/3,0)</f>
        <v/>
      </c>
      <c r="X88" s="41">
        <f>IF(AND(OR(Dashboard!$C$4="All",D88=Dashboard!$C$4),OR(Dashboard!$C$5="All",E88=Dashboard!$C$5)),1,0)</f>
        <v/>
      </c>
      <c r="Y88" s="43">
        <f>IF(AND(X88=1,S88="Yes"),O88+ROW()/1000000,0)</f>
        <v/>
      </c>
    </row>
    <row r="89">
      <c r="A89" s="35" t="inlineStr">
        <is>
          <t>LN100088</t>
        </is>
      </c>
      <c r="B89" s="35" t="inlineStr">
        <is>
          <t>Nikhil Reddy</t>
        </is>
      </c>
      <c r="C89" s="35" t="inlineStr">
        <is>
          <t>DEL-01</t>
        </is>
      </c>
      <c r="D89" s="36">
        <f>INDEX(Branches!$C$2:$C$15,MATCH(C89,Branches!$A$2:$A$15,0))</f>
        <v/>
      </c>
      <c r="E89" s="35" t="inlineStr">
        <is>
          <t>Gold Loan</t>
        </is>
      </c>
      <c r="F89" s="37" t="n">
        <v>45383</v>
      </c>
      <c r="G89" s="38" t="n">
        <v>484000</v>
      </c>
      <c r="H89" s="39" t="n">
        <v>0.09379999999999999</v>
      </c>
      <c r="I89" s="35" t="n">
        <v>12</v>
      </c>
      <c r="J89" s="35" t="n">
        <v>730</v>
      </c>
      <c r="K89" s="35" t="n">
        <v>0</v>
      </c>
      <c r="L89" s="40">
        <f>ROUND(PMT(H89/12,I89,-G89),0)</f>
        <v/>
      </c>
      <c r="M89" s="41">
        <f>MAX(0,(YEAR(AsOfDate)-YEAR(F89))*12+MONTH(AsOfDate)-MONTH(F89))</f>
        <v/>
      </c>
      <c r="N89" s="41">
        <f>MAX(0,MIN(I89,M89)-INT(K89/30))</f>
        <v/>
      </c>
      <c r="O89" s="40">
        <f>IF(N89&gt;=I89,0,ROUND(PV(H89/12,I89-N89,-L89),0))</f>
        <v/>
      </c>
      <c r="P89" s="40">
        <f>MIN(I89,M89)*L89-N89*L89</f>
        <v/>
      </c>
      <c r="Q89" s="41">
        <f>INDEX(DPD_Bucket,MATCH(K89,DPD_From,1))</f>
        <v/>
      </c>
      <c r="R89" s="41">
        <f>INDEX(DPD_Class,MATCH(K89,DPD_From,1))</f>
        <v/>
      </c>
      <c r="S89" s="41">
        <f>INDEX(DPD_NPA,MATCH(K89,DPD_From,1))</f>
        <v/>
      </c>
      <c r="T89" s="42">
        <f>INDEX(DPD_Prov,MATCH(K89,DPD_From,1))</f>
        <v/>
      </c>
      <c r="U89" s="40">
        <f>ROUND(O89*T89,0)</f>
        <v/>
      </c>
      <c r="V89" s="41">
        <f>INDEX(CIBIL_Grade,MATCH(J89,CIBIL_From,1))</f>
        <v/>
      </c>
      <c r="W89" s="41">
        <f>YEAR(F89)&amp;"-Q"&amp;ROUNDUP(MONTH(F89)/3,0)</f>
        <v/>
      </c>
      <c r="X89" s="41">
        <f>IF(AND(OR(Dashboard!$C$4="All",D89=Dashboard!$C$4),OR(Dashboard!$C$5="All",E89=Dashboard!$C$5)),1,0)</f>
        <v/>
      </c>
      <c r="Y89" s="43">
        <f>IF(AND(X89=1,S89="Yes"),O89+ROW()/1000000,0)</f>
        <v/>
      </c>
    </row>
    <row r="90">
      <c r="A90" s="35" t="inlineStr">
        <is>
          <t>LN100089</t>
        </is>
      </c>
      <c r="B90" s="35" t="inlineStr">
        <is>
          <t>Riya Sharma</t>
        </is>
      </c>
      <c r="C90" s="35" t="inlineStr">
        <is>
          <t>BBS-01</t>
        </is>
      </c>
      <c r="D90" s="36">
        <f>INDEX(Branches!$C$2:$C$15,MATCH(C90,Branches!$A$2:$A$15,0))</f>
        <v/>
      </c>
      <c r="E90" s="35" t="inlineStr">
        <is>
          <t>Gold Loan</t>
        </is>
      </c>
      <c r="F90" s="37" t="n">
        <v>45968</v>
      </c>
      <c r="G90" s="38" t="n">
        <v>115000</v>
      </c>
      <c r="H90" s="39" t="n">
        <v>0.1161</v>
      </c>
      <c r="I90" s="35" t="n">
        <v>12</v>
      </c>
      <c r="J90" s="35" t="n">
        <v>776</v>
      </c>
      <c r="K90" s="35" t="n">
        <v>0</v>
      </c>
      <c r="L90" s="40">
        <f>ROUND(PMT(H90/12,I90,-G90),0)</f>
        <v/>
      </c>
      <c r="M90" s="41">
        <f>MAX(0,(YEAR(AsOfDate)-YEAR(F90))*12+MONTH(AsOfDate)-MONTH(F90))</f>
        <v/>
      </c>
      <c r="N90" s="41">
        <f>MAX(0,MIN(I90,M90)-INT(K90/30))</f>
        <v/>
      </c>
      <c r="O90" s="40">
        <f>IF(N90&gt;=I90,0,ROUND(PV(H90/12,I90-N90,-L90),0))</f>
        <v/>
      </c>
      <c r="P90" s="40">
        <f>MIN(I90,M90)*L90-N90*L90</f>
        <v/>
      </c>
      <c r="Q90" s="41">
        <f>INDEX(DPD_Bucket,MATCH(K90,DPD_From,1))</f>
        <v/>
      </c>
      <c r="R90" s="41">
        <f>INDEX(DPD_Class,MATCH(K90,DPD_From,1))</f>
        <v/>
      </c>
      <c r="S90" s="41">
        <f>INDEX(DPD_NPA,MATCH(K90,DPD_From,1))</f>
        <v/>
      </c>
      <c r="T90" s="42">
        <f>INDEX(DPD_Prov,MATCH(K90,DPD_From,1))</f>
        <v/>
      </c>
      <c r="U90" s="40">
        <f>ROUND(O90*T90,0)</f>
        <v/>
      </c>
      <c r="V90" s="41">
        <f>INDEX(CIBIL_Grade,MATCH(J90,CIBIL_From,1))</f>
        <v/>
      </c>
      <c r="W90" s="41">
        <f>YEAR(F90)&amp;"-Q"&amp;ROUNDUP(MONTH(F90)/3,0)</f>
        <v/>
      </c>
      <c r="X90" s="41">
        <f>IF(AND(OR(Dashboard!$C$4="All",D90=Dashboard!$C$4),OR(Dashboard!$C$5="All",E90=Dashboard!$C$5)),1,0)</f>
        <v/>
      </c>
      <c r="Y90" s="43">
        <f>IF(AND(X90=1,S90="Yes"),O90+ROW()/1000000,0)</f>
        <v/>
      </c>
    </row>
    <row r="91">
      <c r="A91" s="35" t="inlineStr">
        <is>
          <t>LN100090</t>
        </is>
      </c>
      <c r="B91" s="35" t="inlineStr">
        <is>
          <t>Ananya Rao</t>
        </is>
      </c>
      <c r="C91" s="35" t="inlineStr">
        <is>
          <t>JAI-01</t>
        </is>
      </c>
      <c r="D91" s="36">
        <f>INDEX(Branches!$C$2:$C$15,MATCH(C91,Branches!$A$2:$A$15,0))</f>
        <v/>
      </c>
      <c r="E91" s="35" t="inlineStr">
        <is>
          <t>Gold Loan</t>
        </is>
      </c>
      <c r="F91" s="37" t="n">
        <v>45212</v>
      </c>
      <c r="G91" s="38" t="n">
        <v>362000</v>
      </c>
      <c r="H91" s="39" t="n">
        <v>0.1095</v>
      </c>
      <c r="I91" s="35" t="n">
        <v>6</v>
      </c>
      <c r="J91" s="35" t="n">
        <v>692</v>
      </c>
      <c r="K91" s="35" t="n">
        <v>0</v>
      </c>
      <c r="L91" s="40">
        <f>ROUND(PMT(H91/12,I91,-G91),0)</f>
        <v/>
      </c>
      <c r="M91" s="41">
        <f>MAX(0,(YEAR(AsOfDate)-YEAR(F91))*12+MONTH(AsOfDate)-MONTH(F91))</f>
        <v/>
      </c>
      <c r="N91" s="41">
        <f>MAX(0,MIN(I91,M91)-INT(K91/30))</f>
        <v/>
      </c>
      <c r="O91" s="40">
        <f>IF(N91&gt;=I91,0,ROUND(PV(H91/12,I91-N91,-L91),0))</f>
        <v/>
      </c>
      <c r="P91" s="40">
        <f>MIN(I91,M91)*L91-N91*L91</f>
        <v/>
      </c>
      <c r="Q91" s="41">
        <f>INDEX(DPD_Bucket,MATCH(K91,DPD_From,1))</f>
        <v/>
      </c>
      <c r="R91" s="41">
        <f>INDEX(DPD_Class,MATCH(K91,DPD_From,1))</f>
        <v/>
      </c>
      <c r="S91" s="41">
        <f>INDEX(DPD_NPA,MATCH(K91,DPD_From,1))</f>
        <v/>
      </c>
      <c r="T91" s="42">
        <f>INDEX(DPD_Prov,MATCH(K91,DPD_From,1))</f>
        <v/>
      </c>
      <c r="U91" s="40">
        <f>ROUND(O91*T91,0)</f>
        <v/>
      </c>
      <c r="V91" s="41">
        <f>INDEX(CIBIL_Grade,MATCH(J91,CIBIL_From,1))</f>
        <v/>
      </c>
      <c r="W91" s="41">
        <f>YEAR(F91)&amp;"-Q"&amp;ROUNDUP(MONTH(F91)/3,0)</f>
        <v/>
      </c>
      <c r="X91" s="41">
        <f>IF(AND(OR(Dashboard!$C$4="All",D91=Dashboard!$C$4),OR(Dashboard!$C$5="All",E91=Dashboard!$C$5)),1,0)</f>
        <v/>
      </c>
      <c r="Y91" s="43">
        <f>IF(AND(X91=1,S91="Yes"),O91+ROW()/1000000,0)</f>
        <v/>
      </c>
    </row>
    <row r="92">
      <c r="A92" s="35" t="inlineStr">
        <is>
          <t>LN100091</t>
        </is>
      </c>
      <c r="B92" s="35" t="inlineStr">
        <is>
          <t>Rohan Verma</t>
        </is>
      </c>
      <c r="C92" s="35" t="inlineStr">
        <is>
          <t>JAI-01</t>
        </is>
      </c>
      <c r="D92" s="36">
        <f>INDEX(Branches!$C$2:$C$15,MATCH(C92,Branches!$A$2:$A$15,0))</f>
        <v/>
      </c>
      <c r="E92" s="35" t="inlineStr">
        <is>
          <t>Business Loan</t>
        </is>
      </c>
      <c r="F92" s="37" t="n">
        <v>45525</v>
      </c>
      <c r="G92" s="38" t="n">
        <v>808000</v>
      </c>
      <c r="H92" s="39" t="n">
        <v>0.1742</v>
      </c>
      <c r="I92" s="35" t="n">
        <v>60</v>
      </c>
      <c r="J92" s="35" t="n">
        <v>654</v>
      </c>
      <c r="K92" s="35" t="n">
        <v>0</v>
      </c>
      <c r="L92" s="40">
        <f>ROUND(PMT(H92/12,I92,-G92),0)</f>
        <v/>
      </c>
      <c r="M92" s="41">
        <f>MAX(0,(YEAR(AsOfDate)-YEAR(F92))*12+MONTH(AsOfDate)-MONTH(F92))</f>
        <v/>
      </c>
      <c r="N92" s="41">
        <f>MAX(0,MIN(I92,M92)-INT(K92/30))</f>
        <v/>
      </c>
      <c r="O92" s="40">
        <f>IF(N92&gt;=I92,0,ROUND(PV(H92/12,I92-N92,-L92),0))</f>
        <v/>
      </c>
      <c r="P92" s="40">
        <f>MIN(I92,M92)*L92-N92*L92</f>
        <v/>
      </c>
      <c r="Q92" s="41">
        <f>INDEX(DPD_Bucket,MATCH(K92,DPD_From,1))</f>
        <v/>
      </c>
      <c r="R92" s="41">
        <f>INDEX(DPD_Class,MATCH(K92,DPD_From,1))</f>
        <v/>
      </c>
      <c r="S92" s="41">
        <f>INDEX(DPD_NPA,MATCH(K92,DPD_From,1))</f>
        <v/>
      </c>
      <c r="T92" s="42">
        <f>INDEX(DPD_Prov,MATCH(K92,DPD_From,1))</f>
        <v/>
      </c>
      <c r="U92" s="40">
        <f>ROUND(O92*T92,0)</f>
        <v/>
      </c>
      <c r="V92" s="41">
        <f>INDEX(CIBIL_Grade,MATCH(J92,CIBIL_From,1))</f>
        <v/>
      </c>
      <c r="W92" s="41">
        <f>YEAR(F92)&amp;"-Q"&amp;ROUNDUP(MONTH(F92)/3,0)</f>
        <v/>
      </c>
      <c r="X92" s="41">
        <f>IF(AND(OR(Dashboard!$C$4="All",D92=Dashboard!$C$4),OR(Dashboard!$C$5="All",E92=Dashboard!$C$5)),1,0)</f>
        <v/>
      </c>
      <c r="Y92" s="43">
        <f>IF(AND(X92=1,S92="Yes"),O92+ROW()/1000000,0)</f>
        <v/>
      </c>
    </row>
    <row r="93">
      <c r="A93" s="35" t="inlineStr">
        <is>
          <t>LN100092</t>
        </is>
      </c>
      <c r="B93" s="35" t="inlineStr">
        <is>
          <t>Arjun Nair</t>
        </is>
      </c>
      <c r="C93" s="35" t="inlineStr">
        <is>
          <t>DEL-01</t>
        </is>
      </c>
      <c r="D93" s="36">
        <f>INDEX(Branches!$C$2:$C$15,MATCH(C93,Branches!$A$2:$A$15,0))</f>
        <v/>
      </c>
      <c r="E93" s="35" t="inlineStr">
        <is>
          <t>Gold Loan</t>
        </is>
      </c>
      <c r="F93" s="37" t="n">
        <v>45988</v>
      </c>
      <c r="G93" s="38" t="n">
        <v>125000</v>
      </c>
      <c r="H93" s="39" t="n">
        <v>0.099</v>
      </c>
      <c r="I93" s="35" t="n">
        <v>6</v>
      </c>
      <c r="J93" s="35" t="n">
        <v>652</v>
      </c>
      <c r="K93" s="35" t="n">
        <v>0</v>
      </c>
      <c r="L93" s="40">
        <f>ROUND(PMT(H93/12,I93,-G93),0)</f>
        <v/>
      </c>
      <c r="M93" s="41">
        <f>MAX(0,(YEAR(AsOfDate)-YEAR(F93))*12+MONTH(AsOfDate)-MONTH(F93))</f>
        <v/>
      </c>
      <c r="N93" s="41">
        <f>MAX(0,MIN(I93,M93)-INT(K93/30))</f>
        <v/>
      </c>
      <c r="O93" s="40">
        <f>IF(N93&gt;=I93,0,ROUND(PV(H93/12,I93-N93,-L93),0))</f>
        <v/>
      </c>
      <c r="P93" s="40">
        <f>MIN(I93,M93)*L93-N93*L93</f>
        <v/>
      </c>
      <c r="Q93" s="41">
        <f>INDEX(DPD_Bucket,MATCH(K93,DPD_From,1))</f>
        <v/>
      </c>
      <c r="R93" s="41">
        <f>INDEX(DPD_Class,MATCH(K93,DPD_From,1))</f>
        <v/>
      </c>
      <c r="S93" s="41">
        <f>INDEX(DPD_NPA,MATCH(K93,DPD_From,1))</f>
        <v/>
      </c>
      <c r="T93" s="42">
        <f>INDEX(DPD_Prov,MATCH(K93,DPD_From,1))</f>
        <v/>
      </c>
      <c r="U93" s="40">
        <f>ROUND(O93*T93,0)</f>
        <v/>
      </c>
      <c r="V93" s="41">
        <f>INDEX(CIBIL_Grade,MATCH(J93,CIBIL_From,1))</f>
        <v/>
      </c>
      <c r="W93" s="41">
        <f>YEAR(F93)&amp;"-Q"&amp;ROUNDUP(MONTH(F93)/3,0)</f>
        <v/>
      </c>
      <c r="X93" s="41">
        <f>IF(AND(OR(Dashboard!$C$4="All",D93=Dashboard!$C$4),OR(Dashboard!$C$5="All",E93=Dashboard!$C$5)),1,0)</f>
        <v/>
      </c>
      <c r="Y93" s="43">
        <f>IF(AND(X93=1,S93="Yes"),O93+ROW()/1000000,0)</f>
        <v/>
      </c>
    </row>
    <row r="94">
      <c r="A94" s="35" t="inlineStr">
        <is>
          <t>LN100093</t>
        </is>
      </c>
      <c r="B94" s="35" t="inlineStr">
        <is>
          <t>Rahul Khan</t>
        </is>
      </c>
      <c r="C94" s="35" t="inlineStr">
        <is>
          <t>JAI-01</t>
        </is>
      </c>
      <c r="D94" s="36">
        <f>INDEX(Branches!$C$2:$C$15,MATCH(C94,Branches!$A$2:$A$15,0))</f>
        <v/>
      </c>
      <c r="E94" s="35" t="inlineStr">
        <is>
          <t>Home Loan</t>
        </is>
      </c>
      <c r="F94" s="37" t="n">
        <v>46059</v>
      </c>
      <c r="G94" s="38" t="n">
        <v>10863000</v>
      </c>
      <c r="H94" s="39" t="n">
        <v>0.08649999999999999</v>
      </c>
      <c r="I94" s="35" t="n">
        <v>180</v>
      </c>
      <c r="J94" s="35" t="n">
        <v>720</v>
      </c>
      <c r="K94" s="35" t="n">
        <v>0</v>
      </c>
      <c r="L94" s="40">
        <f>ROUND(PMT(H94/12,I94,-G94),0)</f>
        <v/>
      </c>
      <c r="M94" s="41">
        <f>MAX(0,(YEAR(AsOfDate)-YEAR(F94))*12+MONTH(AsOfDate)-MONTH(F94))</f>
        <v/>
      </c>
      <c r="N94" s="41">
        <f>MAX(0,MIN(I94,M94)-INT(K94/30))</f>
        <v/>
      </c>
      <c r="O94" s="40">
        <f>IF(N94&gt;=I94,0,ROUND(PV(H94/12,I94-N94,-L94),0))</f>
        <v/>
      </c>
      <c r="P94" s="40">
        <f>MIN(I94,M94)*L94-N94*L94</f>
        <v/>
      </c>
      <c r="Q94" s="41">
        <f>INDEX(DPD_Bucket,MATCH(K94,DPD_From,1))</f>
        <v/>
      </c>
      <c r="R94" s="41">
        <f>INDEX(DPD_Class,MATCH(K94,DPD_From,1))</f>
        <v/>
      </c>
      <c r="S94" s="41">
        <f>INDEX(DPD_NPA,MATCH(K94,DPD_From,1))</f>
        <v/>
      </c>
      <c r="T94" s="42">
        <f>INDEX(DPD_Prov,MATCH(K94,DPD_From,1))</f>
        <v/>
      </c>
      <c r="U94" s="40">
        <f>ROUND(O94*T94,0)</f>
        <v/>
      </c>
      <c r="V94" s="41">
        <f>INDEX(CIBIL_Grade,MATCH(J94,CIBIL_From,1))</f>
        <v/>
      </c>
      <c r="W94" s="41">
        <f>YEAR(F94)&amp;"-Q"&amp;ROUNDUP(MONTH(F94)/3,0)</f>
        <v/>
      </c>
      <c r="X94" s="41">
        <f>IF(AND(OR(Dashboard!$C$4="All",D94=Dashboard!$C$4),OR(Dashboard!$C$5="All",E94=Dashboard!$C$5)),1,0)</f>
        <v/>
      </c>
      <c r="Y94" s="43">
        <f>IF(AND(X94=1,S94="Yes"),O94+ROW()/1000000,0)</f>
        <v/>
      </c>
    </row>
    <row r="95">
      <c r="A95" s="35" t="inlineStr">
        <is>
          <t>LN100094</t>
        </is>
      </c>
      <c r="B95" s="35" t="inlineStr">
        <is>
          <t>Kabir Pillai</t>
        </is>
      </c>
      <c r="C95" s="35" t="inlineStr">
        <is>
          <t>JAI-01</t>
        </is>
      </c>
      <c r="D95" s="36">
        <f>INDEX(Branches!$C$2:$C$15,MATCH(C95,Branches!$A$2:$A$15,0))</f>
        <v/>
      </c>
      <c r="E95" s="35" t="inlineStr">
        <is>
          <t>Home Loan</t>
        </is>
      </c>
      <c r="F95" s="37" t="n">
        <v>45390</v>
      </c>
      <c r="G95" s="38" t="n">
        <v>3861000</v>
      </c>
      <c r="H95" s="39" t="n">
        <v>0.0905</v>
      </c>
      <c r="I95" s="35" t="n">
        <v>240</v>
      </c>
      <c r="J95" s="35" t="n">
        <v>786</v>
      </c>
      <c r="K95" s="35" t="n">
        <v>0</v>
      </c>
      <c r="L95" s="40">
        <f>ROUND(PMT(H95/12,I95,-G95),0)</f>
        <v/>
      </c>
      <c r="M95" s="41">
        <f>MAX(0,(YEAR(AsOfDate)-YEAR(F95))*12+MONTH(AsOfDate)-MONTH(F95))</f>
        <v/>
      </c>
      <c r="N95" s="41">
        <f>MAX(0,MIN(I95,M95)-INT(K95/30))</f>
        <v/>
      </c>
      <c r="O95" s="40">
        <f>IF(N95&gt;=I95,0,ROUND(PV(H95/12,I95-N95,-L95),0))</f>
        <v/>
      </c>
      <c r="P95" s="40">
        <f>MIN(I95,M95)*L95-N95*L95</f>
        <v/>
      </c>
      <c r="Q95" s="41">
        <f>INDEX(DPD_Bucket,MATCH(K95,DPD_From,1))</f>
        <v/>
      </c>
      <c r="R95" s="41">
        <f>INDEX(DPD_Class,MATCH(K95,DPD_From,1))</f>
        <v/>
      </c>
      <c r="S95" s="41">
        <f>INDEX(DPD_NPA,MATCH(K95,DPD_From,1))</f>
        <v/>
      </c>
      <c r="T95" s="42">
        <f>INDEX(DPD_Prov,MATCH(K95,DPD_From,1))</f>
        <v/>
      </c>
      <c r="U95" s="40">
        <f>ROUND(O95*T95,0)</f>
        <v/>
      </c>
      <c r="V95" s="41">
        <f>INDEX(CIBIL_Grade,MATCH(J95,CIBIL_From,1))</f>
        <v/>
      </c>
      <c r="W95" s="41">
        <f>YEAR(F95)&amp;"-Q"&amp;ROUNDUP(MONTH(F95)/3,0)</f>
        <v/>
      </c>
      <c r="X95" s="41">
        <f>IF(AND(OR(Dashboard!$C$4="All",D95=Dashboard!$C$4),OR(Dashboard!$C$5="All",E95=Dashboard!$C$5)),1,0)</f>
        <v/>
      </c>
      <c r="Y95" s="43">
        <f>IF(AND(X95=1,S95="Yes"),O95+ROW()/1000000,0)</f>
        <v/>
      </c>
    </row>
    <row r="96">
      <c r="A96" s="35" t="inlineStr">
        <is>
          <t>LN100095</t>
        </is>
      </c>
      <c r="B96" s="35" t="inlineStr">
        <is>
          <t>Rohan Patel</t>
        </is>
      </c>
      <c r="C96" s="35" t="inlineStr">
        <is>
          <t>CHN-01</t>
        </is>
      </c>
      <c r="D96" s="36">
        <f>INDEX(Branches!$C$2:$C$15,MATCH(C96,Branches!$A$2:$A$15,0))</f>
        <v/>
      </c>
      <c r="E96" s="35" t="inlineStr">
        <is>
          <t>Auto Loan</t>
        </is>
      </c>
      <c r="F96" s="37" t="n">
        <v>46154</v>
      </c>
      <c r="G96" s="38" t="n">
        <v>1107000</v>
      </c>
      <c r="H96" s="39" t="n">
        <v>0.0997</v>
      </c>
      <c r="I96" s="35" t="n">
        <v>60</v>
      </c>
      <c r="J96" s="35" t="n">
        <v>784</v>
      </c>
      <c r="K96" s="35" t="n">
        <v>0</v>
      </c>
      <c r="L96" s="40">
        <f>ROUND(PMT(H96/12,I96,-G96),0)</f>
        <v/>
      </c>
      <c r="M96" s="41">
        <f>MAX(0,(YEAR(AsOfDate)-YEAR(F96))*12+MONTH(AsOfDate)-MONTH(F96))</f>
        <v/>
      </c>
      <c r="N96" s="41">
        <f>MAX(0,MIN(I96,M96)-INT(K96/30))</f>
        <v/>
      </c>
      <c r="O96" s="40">
        <f>IF(N96&gt;=I96,0,ROUND(PV(H96/12,I96-N96,-L96),0))</f>
        <v/>
      </c>
      <c r="P96" s="40">
        <f>MIN(I96,M96)*L96-N96*L96</f>
        <v/>
      </c>
      <c r="Q96" s="41">
        <f>INDEX(DPD_Bucket,MATCH(K96,DPD_From,1))</f>
        <v/>
      </c>
      <c r="R96" s="41">
        <f>INDEX(DPD_Class,MATCH(K96,DPD_From,1))</f>
        <v/>
      </c>
      <c r="S96" s="41">
        <f>INDEX(DPD_NPA,MATCH(K96,DPD_From,1))</f>
        <v/>
      </c>
      <c r="T96" s="42">
        <f>INDEX(DPD_Prov,MATCH(K96,DPD_From,1))</f>
        <v/>
      </c>
      <c r="U96" s="40">
        <f>ROUND(O96*T96,0)</f>
        <v/>
      </c>
      <c r="V96" s="41">
        <f>INDEX(CIBIL_Grade,MATCH(J96,CIBIL_From,1))</f>
        <v/>
      </c>
      <c r="W96" s="41">
        <f>YEAR(F96)&amp;"-Q"&amp;ROUNDUP(MONTH(F96)/3,0)</f>
        <v/>
      </c>
      <c r="X96" s="41">
        <f>IF(AND(OR(Dashboard!$C$4="All",D96=Dashboard!$C$4),OR(Dashboard!$C$5="All",E96=Dashboard!$C$5)),1,0)</f>
        <v/>
      </c>
      <c r="Y96" s="43">
        <f>IF(AND(X96=1,S96="Yes"),O96+ROW()/1000000,0)</f>
        <v/>
      </c>
    </row>
    <row r="97">
      <c r="A97" s="35" t="inlineStr">
        <is>
          <t>LN100096</t>
        </is>
      </c>
      <c r="B97" s="35" t="inlineStr">
        <is>
          <t>Diya Das</t>
        </is>
      </c>
      <c r="C97" s="35" t="inlineStr">
        <is>
          <t>AMD-01</t>
        </is>
      </c>
      <c r="D97" s="36">
        <f>INDEX(Branches!$C$2:$C$15,MATCH(C97,Branches!$A$2:$A$15,0))</f>
        <v/>
      </c>
      <c r="E97" s="35" t="inlineStr">
        <is>
          <t>Personal Loan</t>
        </is>
      </c>
      <c r="F97" s="37" t="n">
        <v>45661</v>
      </c>
      <c r="G97" s="38" t="n">
        <v>1295000</v>
      </c>
      <c r="H97" s="39" t="n">
        <v>0.113</v>
      </c>
      <c r="I97" s="35" t="n">
        <v>48</v>
      </c>
      <c r="J97" s="35" t="n">
        <v>698</v>
      </c>
      <c r="K97" s="35" t="n">
        <v>0</v>
      </c>
      <c r="L97" s="40">
        <f>ROUND(PMT(H97/12,I97,-G97),0)</f>
        <v/>
      </c>
      <c r="M97" s="41">
        <f>MAX(0,(YEAR(AsOfDate)-YEAR(F97))*12+MONTH(AsOfDate)-MONTH(F97))</f>
        <v/>
      </c>
      <c r="N97" s="41">
        <f>MAX(0,MIN(I97,M97)-INT(K97/30))</f>
        <v/>
      </c>
      <c r="O97" s="40">
        <f>IF(N97&gt;=I97,0,ROUND(PV(H97/12,I97-N97,-L97),0))</f>
        <v/>
      </c>
      <c r="P97" s="40">
        <f>MIN(I97,M97)*L97-N97*L97</f>
        <v/>
      </c>
      <c r="Q97" s="41">
        <f>INDEX(DPD_Bucket,MATCH(K97,DPD_From,1))</f>
        <v/>
      </c>
      <c r="R97" s="41">
        <f>INDEX(DPD_Class,MATCH(K97,DPD_From,1))</f>
        <v/>
      </c>
      <c r="S97" s="41">
        <f>INDEX(DPD_NPA,MATCH(K97,DPD_From,1))</f>
        <v/>
      </c>
      <c r="T97" s="42">
        <f>INDEX(DPD_Prov,MATCH(K97,DPD_From,1))</f>
        <v/>
      </c>
      <c r="U97" s="40">
        <f>ROUND(O97*T97,0)</f>
        <v/>
      </c>
      <c r="V97" s="41">
        <f>INDEX(CIBIL_Grade,MATCH(J97,CIBIL_From,1))</f>
        <v/>
      </c>
      <c r="W97" s="41">
        <f>YEAR(F97)&amp;"-Q"&amp;ROUNDUP(MONTH(F97)/3,0)</f>
        <v/>
      </c>
      <c r="X97" s="41">
        <f>IF(AND(OR(Dashboard!$C$4="All",D97=Dashboard!$C$4),OR(Dashboard!$C$5="All",E97=Dashboard!$C$5)),1,0)</f>
        <v/>
      </c>
      <c r="Y97" s="43">
        <f>IF(AND(X97=1,S97="Yes"),O97+ROW()/1000000,0)</f>
        <v/>
      </c>
    </row>
    <row r="98">
      <c r="A98" s="35" t="inlineStr">
        <is>
          <t>LN100097</t>
        </is>
      </c>
      <c r="B98" s="35" t="inlineStr">
        <is>
          <t>Deepa Banerjee</t>
        </is>
      </c>
      <c r="C98" s="35" t="inlineStr">
        <is>
          <t>MUM-01</t>
        </is>
      </c>
      <c r="D98" s="36">
        <f>INDEX(Branches!$C$2:$C$15,MATCH(C98,Branches!$A$2:$A$15,0))</f>
        <v/>
      </c>
      <c r="E98" s="35" t="inlineStr">
        <is>
          <t>Auto Loan</t>
        </is>
      </c>
      <c r="F98" s="37" t="n">
        <v>45568</v>
      </c>
      <c r="G98" s="38" t="n">
        <v>413000</v>
      </c>
      <c r="H98" s="39" t="n">
        <v>0.1158</v>
      </c>
      <c r="I98" s="35" t="n">
        <v>60</v>
      </c>
      <c r="J98" s="35" t="n">
        <v>780</v>
      </c>
      <c r="K98" s="35" t="n">
        <v>0</v>
      </c>
      <c r="L98" s="40">
        <f>ROUND(PMT(H98/12,I98,-G98),0)</f>
        <v/>
      </c>
      <c r="M98" s="41">
        <f>MAX(0,(YEAR(AsOfDate)-YEAR(F98))*12+MONTH(AsOfDate)-MONTH(F98))</f>
        <v/>
      </c>
      <c r="N98" s="41">
        <f>MAX(0,MIN(I98,M98)-INT(K98/30))</f>
        <v/>
      </c>
      <c r="O98" s="40">
        <f>IF(N98&gt;=I98,0,ROUND(PV(H98/12,I98-N98,-L98),0))</f>
        <v/>
      </c>
      <c r="P98" s="40">
        <f>MIN(I98,M98)*L98-N98*L98</f>
        <v/>
      </c>
      <c r="Q98" s="41">
        <f>INDEX(DPD_Bucket,MATCH(K98,DPD_From,1))</f>
        <v/>
      </c>
      <c r="R98" s="41">
        <f>INDEX(DPD_Class,MATCH(K98,DPD_From,1))</f>
        <v/>
      </c>
      <c r="S98" s="41">
        <f>INDEX(DPD_NPA,MATCH(K98,DPD_From,1))</f>
        <v/>
      </c>
      <c r="T98" s="42">
        <f>INDEX(DPD_Prov,MATCH(K98,DPD_From,1))</f>
        <v/>
      </c>
      <c r="U98" s="40">
        <f>ROUND(O98*T98,0)</f>
        <v/>
      </c>
      <c r="V98" s="41">
        <f>INDEX(CIBIL_Grade,MATCH(J98,CIBIL_From,1))</f>
        <v/>
      </c>
      <c r="W98" s="41">
        <f>YEAR(F98)&amp;"-Q"&amp;ROUNDUP(MONTH(F98)/3,0)</f>
        <v/>
      </c>
      <c r="X98" s="41">
        <f>IF(AND(OR(Dashboard!$C$4="All",D98=Dashboard!$C$4),OR(Dashboard!$C$5="All",E98=Dashboard!$C$5)),1,0)</f>
        <v/>
      </c>
      <c r="Y98" s="43">
        <f>IF(AND(X98=1,S98="Yes"),O98+ROW()/1000000,0)</f>
        <v/>
      </c>
    </row>
    <row r="99">
      <c r="A99" s="35" t="inlineStr">
        <is>
          <t>LN100098</t>
        </is>
      </c>
      <c r="B99" s="35" t="inlineStr">
        <is>
          <t>Swati Singh</t>
        </is>
      </c>
      <c r="C99" s="35" t="inlineStr">
        <is>
          <t>PAT-01</t>
        </is>
      </c>
      <c r="D99" s="36">
        <f>INDEX(Branches!$C$2:$C$15,MATCH(C99,Branches!$A$2:$A$15,0))</f>
        <v/>
      </c>
      <c r="E99" s="35" t="inlineStr">
        <is>
          <t>Business Loan</t>
        </is>
      </c>
      <c r="F99" s="37" t="n">
        <v>45156</v>
      </c>
      <c r="G99" s="38" t="n">
        <v>4095000</v>
      </c>
      <c r="H99" s="39" t="n">
        <v>0.1725</v>
      </c>
      <c r="I99" s="35" t="n">
        <v>12</v>
      </c>
      <c r="J99" s="35" t="n">
        <v>732</v>
      </c>
      <c r="K99" s="35" t="n">
        <v>0</v>
      </c>
      <c r="L99" s="40">
        <f>ROUND(PMT(H99/12,I99,-G99),0)</f>
        <v/>
      </c>
      <c r="M99" s="41">
        <f>MAX(0,(YEAR(AsOfDate)-YEAR(F99))*12+MONTH(AsOfDate)-MONTH(F99))</f>
        <v/>
      </c>
      <c r="N99" s="41">
        <f>MAX(0,MIN(I99,M99)-INT(K99/30))</f>
        <v/>
      </c>
      <c r="O99" s="40">
        <f>IF(N99&gt;=I99,0,ROUND(PV(H99/12,I99-N99,-L99),0))</f>
        <v/>
      </c>
      <c r="P99" s="40">
        <f>MIN(I99,M99)*L99-N99*L99</f>
        <v/>
      </c>
      <c r="Q99" s="41">
        <f>INDEX(DPD_Bucket,MATCH(K99,DPD_From,1))</f>
        <v/>
      </c>
      <c r="R99" s="41">
        <f>INDEX(DPD_Class,MATCH(K99,DPD_From,1))</f>
        <v/>
      </c>
      <c r="S99" s="41">
        <f>INDEX(DPD_NPA,MATCH(K99,DPD_From,1))</f>
        <v/>
      </c>
      <c r="T99" s="42">
        <f>INDEX(DPD_Prov,MATCH(K99,DPD_From,1))</f>
        <v/>
      </c>
      <c r="U99" s="40">
        <f>ROUND(O99*T99,0)</f>
        <v/>
      </c>
      <c r="V99" s="41">
        <f>INDEX(CIBIL_Grade,MATCH(J99,CIBIL_From,1))</f>
        <v/>
      </c>
      <c r="W99" s="41">
        <f>YEAR(F99)&amp;"-Q"&amp;ROUNDUP(MONTH(F99)/3,0)</f>
        <v/>
      </c>
      <c r="X99" s="41">
        <f>IF(AND(OR(Dashboard!$C$4="All",D99=Dashboard!$C$4),OR(Dashboard!$C$5="All",E99=Dashboard!$C$5)),1,0)</f>
        <v/>
      </c>
      <c r="Y99" s="43">
        <f>IF(AND(X99=1,S99="Yes"),O99+ROW()/1000000,0)</f>
        <v/>
      </c>
    </row>
    <row r="100">
      <c r="A100" s="35" t="inlineStr">
        <is>
          <t>LN100099</t>
        </is>
      </c>
      <c r="B100" s="35" t="inlineStr">
        <is>
          <t>Tanvi Reddy</t>
        </is>
      </c>
      <c r="C100" s="35" t="inlineStr">
        <is>
          <t>KOL-01</t>
        </is>
      </c>
      <c r="D100" s="36">
        <f>INDEX(Branches!$C$2:$C$15,MATCH(C100,Branches!$A$2:$A$15,0))</f>
        <v/>
      </c>
      <c r="E100" s="35" t="inlineStr">
        <is>
          <t>Auto Loan</t>
        </is>
      </c>
      <c r="F100" s="37" t="n">
        <v>45660</v>
      </c>
      <c r="G100" s="38" t="n">
        <v>555000</v>
      </c>
      <c r="H100" s="39" t="n">
        <v>0.1085</v>
      </c>
      <c r="I100" s="35" t="n">
        <v>48</v>
      </c>
      <c r="J100" s="35" t="n">
        <v>696</v>
      </c>
      <c r="K100" s="35" t="n">
        <v>0</v>
      </c>
      <c r="L100" s="40">
        <f>ROUND(PMT(H100/12,I100,-G100),0)</f>
        <v/>
      </c>
      <c r="M100" s="41">
        <f>MAX(0,(YEAR(AsOfDate)-YEAR(F100))*12+MONTH(AsOfDate)-MONTH(F100))</f>
        <v/>
      </c>
      <c r="N100" s="41">
        <f>MAX(0,MIN(I100,M100)-INT(K100/30))</f>
        <v/>
      </c>
      <c r="O100" s="40">
        <f>IF(N100&gt;=I100,0,ROUND(PV(H100/12,I100-N100,-L100),0))</f>
        <v/>
      </c>
      <c r="P100" s="40">
        <f>MIN(I100,M100)*L100-N100*L100</f>
        <v/>
      </c>
      <c r="Q100" s="41">
        <f>INDEX(DPD_Bucket,MATCH(K100,DPD_From,1))</f>
        <v/>
      </c>
      <c r="R100" s="41">
        <f>INDEX(DPD_Class,MATCH(K100,DPD_From,1))</f>
        <v/>
      </c>
      <c r="S100" s="41">
        <f>INDEX(DPD_NPA,MATCH(K100,DPD_From,1))</f>
        <v/>
      </c>
      <c r="T100" s="42">
        <f>INDEX(DPD_Prov,MATCH(K100,DPD_From,1))</f>
        <v/>
      </c>
      <c r="U100" s="40">
        <f>ROUND(O100*T100,0)</f>
        <v/>
      </c>
      <c r="V100" s="41">
        <f>INDEX(CIBIL_Grade,MATCH(J100,CIBIL_From,1))</f>
        <v/>
      </c>
      <c r="W100" s="41">
        <f>YEAR(F100)&amp;"-Q"&amp;ROUNDUP(MONTH(F100)/3,0)</f>
        <v/>
      </c>
      <c r="X100" s="41">
        <f>IF(AND(OR(Dashboard!$C$4="All",D100=Dashboard!$C$4),OR(Dashboard!$C$5="All",E100=Dashboard!$C$5)),1,0)</f>
        <v/>
      </c>
      <c r="Y100" s="43">
        <f>IF(AND(X100=1,S100="Yes"),O100+ROW()/1000000,0)</f>
        <v/>
      </c>
    </row>
    <row r="101">
      <c r="A101" s="35" t="inlineStr">
        <is>
          <t>LN100100</t>
        </is>
      </c>
      <c r="B101" s="35" t="inlineStr">
        <is>
          <t>Zoya Reddy</t>
        </is>
      </c>
      <c r="C101" s="35" t="inlineStr">
        <is>
          <t>CHN-01</t>
        </is>
      </c>
      <c r="D101" s="36">
        <f>INDEX(Branches!$C$2:$C$15,MATCH(C101,Branches!$A$2:$A$15,0))</f>
        <v/>
      </c>
      <c r="E101" s="35" t="inlineStr">
        <is>
          <t>Home Loan</t>
        </is>
      </c>
      <c r="F101" s="37" t="n">
        <v>46105</v>
      </c>
      <c r="G101" s="38" t="n">
        <v>13825000</v>
      </c>
      <c r="H101" s="39" t="n">
        <v>0.0886</v>
      </c>
      <c r="I101" s="35" t="n">
        <v>180</v>
      </c>
      <c r="J101" s="35" t="n">
        <v>656</v>
      </c>
      <c r="K101" s="35" t="n">
        <v>0</v>
      </c>
      <c r="L101" s="40">
        <f>ROUND(PMT(H101/12,I101,-G101),0)</f>
        <v/>
      </c>
      <c r="M101" s="41">
        <f>MAX(0,(YEAR(AsOfDate)-YEAR(F101))*12+MONTH(AsOfDate)-MONTH(F101))</f>
        <v/>
      </c>
      <c r="N101" s="41">
        <f>MAX(0,MIN(I101,M101)-INT(K101/30))</f>
        <v/>
      </c>
      <c r="O101" s="40">
        <f>IF(N101&gt;=I101,0,ROUND(PV(H101/12,I101-N101,-L101),0))</f>
        <v/>
      </c>
      <c r="P101" s="40">
        <f>MIN(I101,M101)*L101-N101*L101</f>
        <v/>
      </c>
      <c r="Q101" s="41">
        <f>INDEX(DPD_Bucket,MATCH(K101,DPD_From,1))</f>
        <v/>
      </c>
      <c r="R101" s="41">
        <f>INDEX(DPD_Class,MATCH(K101,DPD_From,1))</f>
        <v/>
      </c>
      <c r="S101" s="41">
        <f>INDEX(DPD_NPA,MATCH(K101,DPD_From,1))</f>
        <v/>
      </c>
      <c r="T101" s="42">
        <f>INDEX(DPD_Prov,MATCH(K101,DPD_From,1))</f>
        <v/>
      </c>
      <c r="U101" s="40">
        <f>ROUND(O101*T101,0)</f>
        <v/>
      </c>
      <c r="V101" s="41">
        <f>INDEX(CIBIL_Grade,MATCH(J101,CIBIL_From,1))</f>
        <v/>
      </c>
      <c r="W101" s="41">
        <f>YEAR(F101)&amp;"-Q"&amp;ROUNDUP(MONTH(F101)/3,0)</f>
        <v/>
      </c>
      <c r="X101" s="41">
        <f>IF(AND(OR(Dashboard!$C$4="All",D101=Dashboard!$C$4),OR(Dashboard!$C$5="All",E101=Dashboard!$C$5)),1,0)</f>
        <v/>
      </c>
      <c r="Y101" s="43">
        <f>IF(AND(X101=1,S101="Yes"),O101+ROW()/1000000,0)</f>
        <v/>
      </c>
    </row>
    <row r="102">
      <c r="A102" s="35" t="inlineStr">
        <is>
          <t>LN100101</t>
        </is>
      </c>
      <c r="B102" s="35" t="inlineStr">
        <is>
          <t>Rahul Gupta</t>
        </is>
      </c>
      <c r="C102" s="35" t="inlineStr">
        <is>
          <t>GUW-01</t>
        </is>
      </c>
      <c r="D102" s="36">
        <f>INDEX(Branches!$C$2:$C$15,MATCH(C102,Branches!$A$2:$A$15,0))</f>
        <v/>
      </c>
      <c r="E102" s="35" t="inlineStr">
        <is>
          <t>Auto Loan</t>
        </is>
      </c>
      <c r="F102" s="37" t="n">
        <v>45903</v>
      </c>
      <c r="G102" s="38" t="n">
        <v>663000</v>
      </c>
      <c r="H102" s="39" t="n">
        <v>0.1173</v>
      </c>
      <c r="I102" s="35" t="n">
        <v>48</v>
      </c>
      <c r="J102" s="35" t="n">
        <v>760</v>
      </c>
      <c r="K102" s="35" t="n">
        <v>0</v>
      </c>
      <c r="L102" s="40">
        <f>ROUND(PMT(H102/12,I102,-G102),0)</f>
        <v/>
      </c>
      <c r="M102" s="41">
        <f>MAX(0,(YEAR(AsOfDate)-YEAR(F102))*12+MONTH(AsOfDate)-MONTH(F102))</f>
        <v/>
      </c>
      <c r="N102" s="41">
        <f>MAX(0,MIN(I102,M102)-INT(K102/30))</f>
        <v/>
      </c>
      <c r="O102" s="40">
        <f>IF(N102&gt;=I102,0,ROUND(PV(H102/12,I102-N102,-L102),0))</f>
        <v/>
      </c>
      <c r="P102" s="40">
        <f>MIN(I102,M102)*L102-N102*L102</f>
        <v/>
      </c>
      <c r="Q102" s="41">
        <f>INDEX(DPD_Bucket,MATCH(K102,DPD_From,1))</f>
        <v/>
      </c>
      <c r="R102" s="41">
        <f>INDEX(DPD_Class,MATCH(K102,DPD_From,1))</f>
        <v/>
      </c>
      <c r="S102" s="41">
        <f>INDEX(DPD_NPA,MATCH(K102,DPD_From,1))</f>
        <v/>
      </c>
      <c r="T102" s="42">
        <f>INDEX(DPD_Prov,MATCH(K102,DPD_From,1))</f>
        <v/>
      </c>
      <c r="U102" s="40">
        <f>ROUND(O102*T102,0)</f>
        <v/>
      </c>
      <c r="V102" s="41">
        <f>INDEX(CIBIL_Grade,MATCH(J102,CIBIL_From,1))</f>
        <v/>
      </c>
      <c r="W102" s="41">
        <f>YEAR(F102)&amp;"-Q"&amp;ROUNDUP(MONTH(F102)/3,0)</f>
        <v/>
      </c>
      <c r="X102" s="41">
        <f>IF(AND(OR(Dashboard!$C$4="All",D102=Dashboard!$C$4),OR(Dashboard!$C$5="All",E102=Dashboard!$C$5)),1,0)</f>
        <v/>
      </c>
      <c r="Y102" s="43">
        <f>IF(AND(X102=1,S102="Yes"),O102+ROW()/1000000,0)</f>
        <v/>
      </c>
    </row>
    <row r="103">
      <c r="A103" s="35" t="inlineStr">
        <is>
          <t>LN100102</t>
        </is>
      </c>
      <c r="B103" s="35" t="inlineStr">
        <is>
          <t>Riya Iyer</t>
        </is>
      </c>
      <c r="C103" s="35" t="inlineStr">
        <is>
          <t>HYD-01</t>
        </is>
      </c>
      <c r="D103" s="36">
        <f>INDEX(Branches!$C$2:$C$15,MATCH(C103,Branches!$A$2:$A$15,0))</f>
        <v/>
      </c>
      <c r="E103" s="35" t="inlineStr">
        <is>
          <t>Gold Loan</t>
        </is>
      </c>
      <c r="F103" s="37" t="n">
        <v>45480</v>
      </c>
      <c r="G103" s="38" t="n">
        <v>389000</v>
      </c>
      <c r="H103" s="39" t="n">
        <v>0.0968</v>
      </c>
      <c r="I103" s="35" t="n">
        <v>12</v>
      </c>
      <c r="J103" s="35" t="n">
        <v>625</v>
      </c>
      <c r="K103" s="35" t="n">
        <v>0</v>
      </c>
      <c r="L103" s="40">
        <f>ROUND(PMT(H103/12,I103,-G103),0)</f>
        <v/>
      </c>
      <c r="M103" s="41">
        <f>MAX(0,(YEAR(AsOfDate)-YEAR(F103))*12+MONTH(AsOfDate)-MONTH(F103))</f>
        <v/>
      </c>
      <c r="N103" s="41">
        <f>MAX(0,MIN(I103,M103)-INT(K103/30))</f>
        <v/>
      </c>
      <c r="O103" s="40">
        <f>IF(N103&gt;=I103,0,ROUND(PV(H103/12,I103-N103,-L103),0))</f>
        <v/>
      </c>
      <c r="P103" s="40">
        <f>MIN(I103,M103)*L103-N103*L103</f>
        <v/>
      </c>
      <c r="Q103" s="41">
        <f>INDEX(DPD_Bucket,MATCH(K103,DPD_From,1))</f>
        <v/>
      </c>
      <c r="R103" s="41">
        <f>INDEX(DPD_Class,MATCH(K103,DPD_From,1))</f>
        <v/>
      </c>
      <c r="S103" s="41">
        <f>INDEX(DPD_NPA,MATCH(K103,DPD_From,1))</f>
        <v/>
      </c>
      <c r="T103" s="42">
        <f>INDEX(DPD_Prov,MATCH(K103,DPD_From,1))</f>
        <v/>
      </c>
      <c r="U103" s="40">
        <f>ROUND(O103*T103,0)</f>
        <v/>
      </c>
      <c r="V103" s="41">
        <f>INDEX(CIBIL_Grade,MATCH(J103,CIBIL_From,1))</f>
        <v/>
      </c>
      <c r="W103" s="41">
        <f>YEAR(F103)&amp;"-Q"&amp;ROUNDUP(MONTH(F103)/3,0)</f>
        <v/>
      </c>
      <c r="X103" s="41">
        <f>IF(AND(OR(Dashboard!$C$4="All",D103=Dashboard!$C$4),OR(Dashboard!$C$5="All",E103=Dashboard!$C$5)),1,0)</f>
        <v/>
      </c>
      <c r="Y103" s="43">
        <f>IF(AND(X103=1,S103="Yes"),O103+ROW()/1000000,0)</f>
        <v/>
      </c>
    </row>
    <row r="104">
      <c r="A104" s="35" t="inlineStr">
        <is>
          <t>LN100103</t>
        </is>
      </c>
      <c r="B104" s="35" t="inlineStr">
        <is>
          <t>Arjun Joshi</t>
        </is>
      </c>
      <c r="C104" s="35" t="inlineStr">
        <is>
          <t>PUN-01</t>
        </is>
      </c>
      <c r="D104" s="36">
        <f>INDEX(Branches!$C$2:$C$15,MATCH(C104,Branches!$A$2:$A$15,0))</f>
        <v/>
      </c>
      <c r="E104" s="35" t="inlineStr">
        <is>
          <t>Personal Loan</t>
        </is>
      </c>
      <c r="F104" s="37" t="n">
        <v>45424</v>
      </c>
      <c r="G104" s="38" t="n">
        <v>1042000</v>
      </c>
      <c r="H104" s="39" t="n">
        <v>0.1554</v>
      </c>
      <c r="I104" s="35" t="n">
        <v>48</v>
      </c>
      <c r="J104" s="35" t="n">
        <v>781</v>
      </c>
      <c r="K104" s="35" t="n">
        <v>0</v>
      </c>
      <c r="L104" s="40">
        <f>ROUND(PMT(H104/12,I104,-G104),0)</f>
        <v/>
      </c>
      <c r="M104" s="41">
        <f>MAX(0,(YEAR(AsOfDate)-YEAR(F104))*12+MONTH(AsOfDate)-MONTH(F104))</f>
        <v/>
      </c>
      <c r="N104" s="41">
        <f>MAX(0,MIN(I104,M104)-INT(K104/30))</f>
        <v/>
      </c>
      <c r="O104" s="40">
        <f>IF(N104&gt;=I104,0,ROUND(PV(H104/12,I104-N104,-L104),0))</f>
        <v/>
      </c>
      <c r="P104" s="40">
        <f>MIN(I104,M104)*L104-N104*L104</f>
        <v/>
      </c>
      <c r="Q104" s="41">
        <f>INDEX(DPD_Bucket,MATCH(K104,DPD_From,1))</f>
        <v/>
      </c>
      <c r="R104" s="41">
        <f>INDEX(DPD_Class,MATCH(K104,DPD_From,1))</f>
        <v/>
      </c>
      <c r="S104" s="41">
        <f>INDEX(DPD_NPA,MATCH(K104,DPD_From,1))</f>
        <v/>
      </c>
      <c r="T104" s="42">
        <f>INDEX(DPD_Prov,MATCH(K104,DPD_From,1))</f>
        <v/>
      </c>
      <c r="U104" s="40">
        <f>ROUND(O104*T104,0)</f>
        <v/>
      </c>
      <c r="V104" s="41">
        <f>INDEX(CIBIL_Grade,MATCH(J104,CIBIL_From,1))</f>
        <v/>
      </c>
      <c r="W104" s="41">
        <f>YEAR(F104)&amp;"-Q"&amp;ROUNDUP(MONTH(F104)/3,0)</f>
        <v/>
      </c>
      <c r="X104" s="41">
        <f>IF(AND(OR(Dashboard!$C$4="All",D104=Dashboard!$C$4),OR(Dashboard!$C$5="All",E104=Dashboard!$C$5)),1,0)</f>
        <v/>
      </c>
      <c r="Y104" s="43">
        <f>IF(AND(X104=1,S104="Yes"),O104+ROW()/1000000,0)</f>
        <v/>
      </c>
    </row>
    <row r="105">
      <c r="A105" s="35" t="inlineStr">
        <is>
          <t>LN100104</t>
        </is>
      </c>
      <c r="B105" s="35" t="inlineStr">
        <is>
          <t>Pooja Sharma</t>
        </is>
      </c>
      <c r="C105" s="35" t="inlineStr">
        <is>
          <t>JAI-01</t>
        </is>
      </c>
      <c r="D105" s="36">
        <f>INDEX(Branches!$C$2:$C$15,MATCH(C105,Branches!$A$2:$A$15,0))</f>
        <v/>
      </c>
      <c r="E105" s="35" t="inlineStr">
        <is>
          <t>Personal Loan</t>
        </is>
      </c>
      <c r="F105" s="37" t="n">
        <v>45952</v>
      </c>
      <c r="G105" s="38" t="n">
        <v>1338000</v>
      </c>
      <c r="H105" s="39" t="n">
        <v>0.1471</v>
      </c>
      <c r="I105" s="35" t="n">
        <v>36</v>
      </c>
      <c r="J105" s="35" t="n">
        <v>764</v>
      </c>
      <c r="K105" s="35" t="n">
        <v>0</v>
      </c>
      <c r="L105" s="40">
        <f>ROUND(PMT(H105/12,I105,-G105),0)</f>
        <v/>
      </c>
      <c r="M105" s="41">
        <f>MAX(0,(YEAR(AsOfDate)-YEAR(F105))*12+MONTH(AsOfDate)-MONTH(F105))</f>
        <v/>
      </c>
      <c r="N105" s="41">
        <f>MAX(0,MIN(I105,M105)-INT(K105/30))</f>
        <v/>
      </c>
      <c r="O105" s="40">
        <f>IF(N105&gt;=I105,0,ROUND(PV(H105/12,I105-N105,-L105),0))</f>
        <v/>
      </c>
      <c r="P105" s="40">
        <f>MIN(I105,M105)*L105-N105*L105</f>
        <v/>
      </c>
      <c r="Q105" s="41">
        <f>INDEX(DPD_Bucket,MATCH(K105,DPD_From,1))</f>
        <v/>
      </c>
      <c r="R105" s="41">
        <f>INDEX(DPD_Class,MATCH(K105,DPD_From,1))</f>
        <v/>
      </c>
      <c r="S105" s="41">
        <f>INDEX(DPD_NPA,MATCH(K105,DPD_From,1))</f>
        <v/>
      </c>
      <c r="T105" s="42">
        <f>INDEX(DPD_Prov,MATCH(K105,DPD_From,1))</f>
        <v/>
      </c>
      <c r="U105" s="40">
        <f>ROUND(O105*T105,0)</f>
        <v/>
      </c>
      <c r="V105" s="41">
        <f>INDEX(CIBIL_Grade,MATCH(J105,CIBIL_From,1))</f>
        <v/>
      </c>
      <c r="W105" s="41">
        <f>YEAR(F105)&amp;"-Q"&amp;ROUNDUP(MONTH(F105)/3,0)</f>
        <v/>
      </c>
      <c r="X105" s="41">
        <f>IF(AND(OR(Dashboard!$C$4="All",D105=Dashboard!$C$4),OR(Dashboard!$C$5="All",E105=Dashboard!$C$5)),1,0)</f>
        <v/>
      </c>
      <c r="Y105" s="43">
        <f>IF(AND(X105=1,S105="Yes"),O105+ROW()/1000000,0)</f>
        <v/>
      </c>
    </row>
    <row r="106">
      <c r="A106" s="35" t="inlineStr">
        <is>
          <t>LN100105</t>
        </is>
      </c>
      <c r="B106" s="35" t="inlineStr">
        <is>
          <t>Lakshmi Khan</t>
        </is>
      </c>
      <c r="C106" s="35" t="inlineStr">
        <is>
          <t>CHN-01</t>
        </is>
      </c>
      <c r="D106" s="36">
        <f>INDEX(Branches!$C$2:$C$15,MATCH(C106,Branches!$A$2:$A$15,0))</f>
        <v/>
      </c>
      <c r="E106" s="35" t="inlineStr">
        <is>
          <t>Gold Loan</t>
        </is>
      </c>
      <c r="F106" s="37" t="n">
        <v>46044</v>
      </c>
      <c r="G106" s="38" t="n">
        <v>113000</v>
      </c>
      <c r="H106" s="39" t="n">
        <v>0.1184</v>
      </c>
      <c r="I106" s="35" t="n">
        <v>6</v>
      </c>
      <c r="J106" s="35" t="n">
        <v>694</v>
      </c>
      <c r="K106" s="35" t="n">
        <v>0</v>
      </c>
      <c r="L106" s="40">
        <f>ROUND(PMT(H106/12,I106,-G106),0)</f>
        <v/>
      </c>
      <c r="M106" s="41">
        <f>MAX(0,(YEAR(AsOfDate)-YEAR(F106))*12+MONTH(AsOfDate)-MONTH(F106))</f>
        <v/>
      </c>
      <c r="N106" s="41">
        <f>MAX(0,MIN(I106,M106)-INT(K106/30))</f>
        <v/>
      </c>
      <c r="O106" s="40">
        <f>IF(N106&gt;=I106,0,ROUND(PV(H106/12,I106-N106,-L106),0))</f>
        <v/>
      </c>
      <c r="P106" s="40">
        <f>MIN(I106,M106)*L106-N106*L106</f>
        <v/>
      </c>
      <c r="Q106" s="41">
        <f>INDEX(DPD_Bucket,MATCH(K106,DPD_From,1))</f>
        <v/>
      </c>
      <c r="R106" s="41">
        <f>INDEX(DPD_Class,MATCH(K106,DPD_From,1))</f>
        <v/>
      </c>
      <c r="S106" s="41">
        <f>INDEX(DPD_NPA,MATCH(K106,DPD_From,1))</f>
        <v/>
      </c>
      <c r="T106" s="42">
        <f>INDEX(DPD_Prov,MATCH(K106,DPD_From,1))</f>
        <v/>
      </c>
      <c r="U106" s="40">
        <f>ROUND(O106*T106,0)</f>
        <v/>
      </c>
      <c r="V106" s="41">
        <f>INDEX(CIBIL_Grade,MATCH(J106,CIBIL_From,1))</f>
        <v/>
      </c>
      <c r="W106" s="41">
        <f>YEAR(F106)&amp;"-Q"&amp;ROUNDUP(MONTH(F106)/3,0)</f>
        <v/>
      </c>
      <c r="X106" s="41">
        <f>IF(AND(OR(Dashboard!$C$4="All",D106=Dashboard!$C$4),OR(Dashboard!$C$5="All",E106=Dashboard!$C$5)),1,0)</f>
        <v/>
      </c>
      <c r="Y106" s="43">
        <f>IF(AND(X106=1,S106="Yes"),O106+ROW()/1000000,0)</f>
        <v/>
      </c>
    </row>
    <row r="107">
      <c r="A107" s="35" t="inlineStr">
        <is>
          <t>LN100106</t>
        </is>
      </c>
      <c r="B107" s="35" t="inlineStr">
        <is>
          <t>Karthik Reddy</t>
        </is>
      </c>
      <c r="C107" s="35" t="inlineStr">
        <is>
          <t>AMD-01</t>
        </is>
      </c>
      <c r="D107" s="36">
        <f>INDEX(Branches!$C$2:$C$15,MATCH(C107,Branches!$A$2:$A$15,0))</f>
        <v/>
      </c>
      <c r="E107" s="35" t="inlineStr">
        <is>
          <t>Auto Loan</t>
        </is>
      </c>
      <c r="F107" s="37" t="n">
        <v>45936</v>
      </c>
      <c r="G107" s="38" t="n">
        <v>1448000</v>
      </c>
      <c r="H107" s="39" t="n">
        <v>0.1148</v>
      </c>
      <c r="I107" s="35" t="n">
        <v>84</v>
      </c>
      <c r="J107" s="35" t="n">
        <v>688</v>
      </c>
      <c r="K107" s="35" t="n">
        <v>225</v>
      </c>
      <c r="L107" s="40">
        <f>ROUND(PMT(H107/12,I107,-G107),0)</f>
        <v/>
      </c>
      <c r="M107" s="41">
        <f>MAX(0,(YEAR(AsOfDate)-YEAR(F107))*12+MONTH(AsOfDate)-MONTH(F107))</f>
        <v/>
      </c>
      <c r="N107" s="41">
        <f>MAX(0,MIN(I107,M107)-INT(K107/30))</f>
        <v/>
      </c>
      <c r="O107" s="40">
        <f>IF(N107&gt;=I107,0,ROUND(PV(H107/12,I107-N107,-L107),0))</f>
        <v/>
      </c>
      <c r="P107" s="40">
        <f>MIN(I107,M107)*L107-N107*L107</f>
        <v/>
      </c>
      <c r="Q107" s="41">
        <f>INDEX(DPD_Bucket,MATCH(K107,DPD_From,1))</f>
        <v/>
      </c>
      <c r="R107" s="41">
        <f>INDEX(DPD_Class,MATCH(K107,DPD_From,1))</f>
        <v/>
      </c>
      <c r="S107" s="41">
        <f>INDEX(DPD_NPA,MATCH(K107,DPD_From,1))</f>
        <v/>
      </c>
      <c r="T107" s="42">
        <f>INDEX(DPD_Prov,MATCH(K107,DPD_From,1))</f>
        <v/>
      </c>
      <c r="U107" s="40">
        <f>ROUND(O107*T107,0)</f>
        <v/>
      </c>
      <c r="V107" s="41">
        <f>INDEX(CIBIL_Grade,MATCH(J107,CIBIL_From,1))</f>
        <v/>
      </c>
      <c r="W107" s="41">
        <f>YEAR(F107)&amp;"-Q"&amp;ROUNDUP(MONTH(F107)/3,0)</f>
        <v/>
      </c>
      <c r="X107" s="41">
        <f>IF(AND(OR(Dashboard!$C$4="All",D107=Dashboard!$C$4),OR(Dashboard!$C$5="All",E107=Dashboard!$C$5)),1,0)</f>
        <v/>
      </c>
      <c r="Y107" s="43">
        <f>IF(AND(X107=1,S107="Yes"),O107+ROW()/1000000,0)</f>
        <v/>
      </c>
    </row>
    <row r="108">
      <c r="A108" s="35" t="inlineStr">
        <is>
          <t>LN100107</t>
        </is>
      </c>
      <c r="B108" s="35" t="inlineStr">
        <is>
          <t>Kabir Menon</t>
        </is>
      </c>
      <c r="C108" s="35" t="inlineStr">
        <is>
          <t>CHN-01</t>
        </is>
      </c>
      <c r="D108" s="36">
        <f>INDEX(Branches!$C$2:$C$15,MATCH(C108,Branches!$A$2:$A$15,0))</f>
        <v/>
      </c>
      <c r="E108" s="35" t="inlineStr">
        <is>
          <t>Personal Loan</t>
        </is>
      </c>
      <c r="F108" s="37" t="n">
        <v>46106</v>
      </c>
      <c r="G108" s="38" t="n">
        <v>1473000</v>
      </c>
      <c r="H108" s="39" t="n">
        <v>0.1326</v>
      </c>
      <c r="I108" s="35" t="n">
        <v>36</v>
      </c>
      <c r="J108" s="35" t="n">
        <v>720</v>
      </c>
      <c r="K108" s="35" t="n">
        <v>0</v>
      </c>
      <c r="L108" s="40">
        <f>ROUND(PMT(H108/12,I108,-G108),0)</f>
        <v/>
      </c>
      <c r="M108" s="41">
        <f>MAX(0,(YEAR(AsOfDate)-YEAR(F108))*12+MONTH(AsOfDate)-MONTH(F108))</f>
        <v/>
      </c>
      <c r="N108" s="41">
        <f>MAX(0,MIN(I108,M108)-INT(K108/30))</f>
        <v/>
      </c>
      <c r="O108" s="40">
        <f>IF(N108&gt;=I108,0,ROUND(PV(H108/12,I108-N108,-L108),0))</f>
        <v/>
      </c>
      <c r="P108" s="40">
        <f>MIN(I108,M108)*L108-N108*L108</f>
        <v/>
      </c>
      <c r="Q108" s="41">
        <f>INDEX(DPD_Bucket,MATCH(K108,DPD_From,1))</f>
        <v/>
      </c>
      <c r="R108" s="41">
        <f>INDEX(DPD_Class,MATCH(K108,DPD_From,1))</f>
        <v/>
      </c>
      <c r="S108" s="41">
        <f>INDEX(DPD_NPA,MATCH(K108,DPD_From,1))</f>
        <v/>
      </c>
      <c r="T108" s="42">
        <f>INDEX(DPD_Prov,MATCH(K108,DPD_From,1))</f>
        <v/>
      </c>
      <c r="U108" s="40">
        <f>ROUND(O108*T108,0)</f>
        <v/>
      </c>
      <c r="V108" s="41">
        <f>INDEX(CIBIL_Grade,MATCH(J108,CIBIL_From,1))</f>
        <v/>
      </c>
      <c r="W108" s="41">
        <f>YEAR(F108)&amp;"-Q"&amp;ROUNDUP(MONTH(F108)/3,0)</f>
        <v/>
      </c>
      <c r="X108" s="41">
        <f>IF(AND(OR(Dashboard!$C$4="All",D108=Dashboard!$C$4),OR(Dashboard!$C$5="All",E108=Dashboard!$C$5)),1,0)</f>
        <v/>
      </c>
      <c r="Y108" s="43">
        <f>IF(AND(X108=1,S108="Yes"),O108+ROW()/1000000,0)</f>
        <v/>
      </c>
    </row>
    <row r="109">
      <c r="A109" s="35" t="inlineStr">
        <is>
          <t>LN100108</t>
        </is>
      </c>
      <c r="B109" s="35" t="inlineStr">
        <is>
          <t>Ishaan Nair</t>
        </is>
      </c>
      <c r="C109" s="35" t="inlineStr">
        <is>
          <t>GUW-01</t>
        </is>
      </c>
      <c r="D109" s="36">
        <f>INDEX(Branches!$C$2:$C$15,MATCH(C109,Branches!$A$2:$A$15,0))</f>
        <v/>
      </c>
      <c r="E109" s="35" t="inlineStr">
        <is>
          <t>Gold Loan</t>
        </is>
      </c>
      <c r="F109" s="37" t="n">
        <v>46049</v>
      </c>
      <c r="G109" s="38" t="n">
        <v>421000</v>
      </c>
      <c r="H109" s="39" t="n">
        <v>0.09279999999999999</v>
      </c>
      <c r="I109" s="35" t="n">
        <v>12</v>
      </c>
      <c r="J109" s="35" t="n">
        <v>699</v>
      </c>
      <c r="K109" s="35" t="n">
        <v>0</v>
      </c>
      <c r="L109" s="40">
        <f>ROUND(PMT(H109/12,I109,-G109),0)</f>
        <v/>
      </c>
      <c r="M109" s="41">
        <f>MAX(0,(YEAR(AsOfDate)-YEAR(F109))*12+MONTH(AsOfDate)-MONTH(F109))</f>
        <v/>
      </c>
      <c r="N109" s="41">
        <f>MAX(0,MIN(I109,M109)-INT(K109/30))</f>
        <v/>
      </c>
      <c r="O109" s="40">
        <f>IF(N109&gt;=I109,0,ROUND(PV(H109/12,I109-N109,-L109),0))</f>
        <v/>
      </c>
      <c r="P109" s="40">
        <f>MIN(I109,M109)*L109-N109*L109</f>
        <v/>
      </c>
      <c r="Q109" s="41">
        <f>INDEX(DPD_Bucket,MATCH(K109,DPD_From,1))</f>
        <v/>
      </c>
      <c r="R109" s="41">
        <f>INDEX(DPD_Class,MATCH(K109,DPD_From,1))</f>
        <v/>
      </c>
      <c r="S109" s="41">
        <f>INDEX(DPD_NPA,MATCH(K109,DPD_From,1))</f>
        <v/>
      </c>
      <c r="T109" s="42">
        <f>INDEX(DPD_Prov,MATCH(K109,DPD_From,1))</f>
        <v/>
      </c>
      <c r="U109" s="40">
        <f>ROUND(O109*T109,0)</f>
        <v/>
      </c>
      <c r="V109" s="41">
        <f>INDEX(CIBIL_Grade,MATCH(J109,CIBIL_From,1))</f>
        <v/>
      </c>
      <c r="W109" s="41">
        <f>YEAR(F109)&amp;"-Q"&amp;ROUNDUP(MONTH(F109)/3,0)</f>
        <v/>
      </c>
      <c r="X109" s="41">
        <f>IF(AND(OR(Dashboard!$C$4="All",D109=Dashboard!$C$4),OR(Dashboard!$C$5="All",E109=Dashboard!$C$5)),1,0)</f>
        <v/>
      </c>
      <c r="Y109" s="43">
        <f>IF(AND(X109=1,S109="Yes"),O109+ROW()/1000000,0)</f>
        <v/>
      </c>
    </row>
    <row r="110">
      <c r="A110" s="35" t="inlineStr">
        <is>
          <t>LN100109</t>
        </is>
      </c>
      <c r="B110" s="35" t="inlineStr">
        <is>
          <t>Nikhil Mishra</t>
        </is>
      </c>
      <c r="C110" s="35" t="inlineStr">
        <is>
          <t>KOC-01</t>
        </is>
      </c>
      <c r="D110" s="36">
        <f>INDEX(Branches!$C$2:$C$15,MATCH(C110,Branches!$A$2:$A$15,0))</f>
        <v/>
      </c>
      <c r="E110" s="35" t="inlineStr">
        <is>
          <t>Home Loan</t>
        </is>
      </c>
      <c r="F110" s="37" t="n">
        <v>46130</v>
      </c>
      <c r="G110" s="38" t="n">
        <v>2892000</v>
      </c>
      <c r="H110" s="39" t="n">
        <v>0.09470000000000001</v>
      </c>
      <c r="I110" s="35" t="n">
        <v>240</v>
      </c>
      <c r="J110" s="35" t="n">
        <v>782</v>
      </c>
      <c r="K110" s="35" t="n">
        <v>0</v>
      </c>
      <c r="L110" s="40">
        <f>ROUND(PMT(H110/12,I110,-G110),0)</f>
        <v/>
      </c>
      <c r="M110" s="41">
        <f>MAX(0,(YEAR(AsOfDate)-YEAR(F110))*12+MONTH(AsOfDate)-MONTH(F110))</f>
        <v/>
      </c>
      <c r="N110" s="41">
        <f>MAX(0,MIN(I110,M110)-INT(K110/30))</f>
        <v/>
      </c>
      <c r="O110" s="40">
        <f>IF(N110&gt;=I110,0,ROUND(PV(H110/12,I110-N110,-L110),0))</f>
        <v/>
      </c>
      <c r="P110" s="40">
        <f>MIN(I110,M110)*L110-N110*L110</f>
        <v/>
      </c>
      <c r="Q110" s="41">
        <f>INDEX(DPD_Bucket,MATCH(K110,DPD_From,1))</f>
        <v/>
      </c>
      <c r="R110" s="41">
        <f>INDEX(DPD_Class,MATCH(K110,DPD_From,1))</f>
        <v/>
      </c>
      <c r="S110" s="41">
        <f>INDEX(DPD_NPA,MATCH(K110,DPD_From,1))</f>
        <v/>
      </c>
      <c r="T110" s="42">
        <f>INDEX(DPD_Prov,MATCH(K110,DPD_From,1))</f>
        <v/>
      </c>
      <c r="U110" s="40">
        <f>ROUND(O110*T110,0)</f>
        <v/>
      </c>
      <c r="V110" s="41">
        <f>INDEX(CIBIL_Grade,MATCH(J110,CIBIL_From,1))</f>
        <v/>
      </c>
      <c r="W110" s="41">
        <f>YEAR(F110)&amp;"-Q"&amp;ROUNDUP(MONTH(F110)/3,0)</f>
        <v/>
      </c>
      <c r="X110" s="41">
        <f>IF(AND(OR(Dashboard!$C$4="All",D110=Dashboard!$C$4),OR(Dashboard!$C$5="All",E110=Dashboard!$C$5)),1,0)</f>
        <v/>
      </c>
      <c r="Y110" s="43">
        <f>IF(AND(X110=1,S110="Yes"),O110+ROW()/1000000,0)</f>
        <v/>
      </c>
    </row>
    <row r="111">
      <c r="A111" s="35" t="inlineStr">
        <is>
          <t>LN100110</t>
        </is>
      </c>
      <c r="B111" s="35" t="inlineStr">
        <is>
          <t>Sai Sahoo</t>
        </is>
      </c>
      <c r="C111" s="35" t="inlineStr">
        <is>
          <t>BLR-01</t>
        </is>
      </c>
      <c r="D111" s="36">
        <f>INDEX(Branches!$C$2:$C$15,MATCH(C111,Branches!$A$2:$A$15,0))</f>
        <v/>
      </c>
      <c r="E111" s="35" t="inlineStr">
        <is>
          <t>Home Loan</t>
        </is>
      </c>
      <c r="F111" s="37" t="n">
        <v>45696</v>
      </c>
      <c r="G111" s="38" t="n">
        <v>5605000</v>
      </c>
      <c r="H111" s="39" t="n">
        <v>0.0978</v>
      </c>
      <c r="I111" s="35" t="n">
        <v>120</v>
      </c>
      <c r="J111" s="35" t="n">
        <v>750</v>
      </c>
      <c r="K111" s="35" t="n">
        <v>0</v>
      </c>
      <c r="L111" s="40">
        <f>ROUND(PMT(H111/12,I111,-G111),0)</f>
        <v/>
      </c>
      <c r="M111" s="41">
        <f>MAX(0,(YEAR(AsOfDate)-YEAR(F111))*12+MONTH(AsOfDate)-MONTH(F111))</f>
        <v/>
      </c>
      <c r="N111" s="41">
        <f>MAX(0,MIN(I111,M111)-INT(K111/30))</f>
        <v/>
      </c>
      <c r="O111" s="40">
        <f>IF(N111&gt;=I111,0,ROUND(PV(H111/12,I111-N111,-L111),0))</f>
        <v/>
      </c>
      <c r="P111" s="40">
        <f>MIN(I111,M111)*L111-N111*L111</f>
        <v/>
      </c>
      <c r="Q111" s="41">
        <f>INDEX(DPD_Bucket,MATCH(K111,DPD_From,1))</f>
        <v/>
      </c>
      <c r="R111" s="41">
        <f>INDEX(DPD_Class,MATCH(K111,DPD_From,1))</f>
        <v/>
      </c>
      <c r="S111" s="41">
        <f>INDEX(DPD_NPA,MATCH(K111,DPD_From,1))</f>
        <v/>
      </c>
      <c r="T111" s="42">
        <f>INDEX(DPD_Prov,MATCH(K111,DPD_From,1))</f>
        <v/>
      </c>
      <c r="U111" s="40">
        <f>ROUND(O111*T111,0)</f>
        <v/>
      </c>
      <c r="V111" s="41">
        <f>INDEX(CIBIL_Grade,MATCH(J111,CIBIL_From,1))</f>
        <v/>
      </c>
      <c r="W111" s="41">
        <f>YEAR(F111)&amp;"-Q"&amp;ROUNDUP(MONTH(F111)/3,0)</f>
        <v/>
      </c>
      <c r="X111" s="41">
        <f>IF(AND(OR(Dashboard!$C$4="All",D111=Dashboard!$C$4),OR(Dashboard!$C$5="All",E111=Dashboard!$C$5)),1,0)</f>
        <v/>
      </c>
      <c r="Y111" s="43">
        <f>IF(AND(X111=1,S111="Yes"),O111+ROW()/1000000,0)</f>
        <v/>
      </c>
    </row>
    <row r="112">
      <c r="A112" s="35" t="inlineStr">
        <is>
          <t>LN100111</t>
        </is>
      </c>
      <c r="B112" s="35" t="inlineStr">
        <is>
          <t>Sneha Mohanty</t>
        </is>
      </c>
      <c r="C112" s="35" t="inlineStr">
        <is>
          <t>JAI-01</t>
        </is>
      </c>
      <c r="D112" s="36">
        <f>INDEX(Branches!$C$2:$C$15,MATCH(C112,Branches!$A$2:$A$15,0))</f>
        <v/>
      </c>
      <c r="E112" s="35" t="inlineStr">
        <is>
          <t>Gold Loan</t>
        </is>
      </c>
      <c r="F112" s="37" t="n">
        <v>45816</v>
      </c>
      <c r="G112" s="38" t="n">
        <v>196000</v>
      </c>
      <c r="H112" s="39" t="n">
        <v>0.09520000000000001</v>
      </c>
      <c r="I112" s="35" t="n">
        <v>12</v>
      </c>
      <c r="J112" s="35" t="n">
        <v>820</v>
      </c>
      <c r="K112" s="35" t="n">
        <v>0</v>
      </c>
      <c r="L112" s="40">
        <f>ROUND(PMT(H112/12,I112,-G112),0)</f>
        <v/>
      </c>
      <c r="M112" s="41">
        <f>MAX(0,(YEAR(AsOfDate)-YEAR(F112))*12+MONTH(AsOfDate)-MONTH(F112))</f>
        <v/>
      </c>
      <c r="N112" s="41">
        <f>MAX(0,MIN(I112,M112)-INT(K112/30))</f>
        <v/>
      </c>
      <c r="O112" s="40">
        <f>IF(N112&gt;=I112,0,ROUND(PV(H112/12,I112-N112,-L112),0))</f>
        <v/>
      </c>
      <c r="P112" s="40">
        <f>MIN(I112,M112)*L112-N112*L112</f>
        <v/>
      </c>
      <c r="Q112" s="41">
        <f>INDEX(DPD_Bucket,MATCH(K112,DPD_From,1))</f>
        <v/>
      </c>
      <c r="R112" s="41">
        <f>INDEX(DPD_Class,MATCH(K112,DPD_From,1))</f>
        <v/>
      </c>
      <c r="S112" s="41">
        <f>INDEX(DPD_NPA,MATCH(K112,DPD_From,1))</f>
        <v/>
      </c>
      <c r="T112" s="42">
        <f>INDEX(DPD_Prov,MATCH(K112,DPD_From,1))</f>
        <v/>
      </c>
      <c r="U112" s="40">
        <f>ROUND(O112*T112,0)</f>
        <v/>
      </c>
      <c r="V112" s="41">
        <f>INDEX(CIBIL_Grade,MATCH(J112,CIBIL_From,1))</f>
        <v/>
      </c>
      <c r="W112" s="41">
        <f>YEAR(F112)&amp;"-Q"&amp;ROUNDUP(MONTH(F112)/3,0)</f>
        <v/>
      </c>
      <c r="X112" s="41">
        <f>IF(AND(OR(Dashboard!$C$4="All",D112=Dashboard!$C$4),OR(Dashboard!$C$5="All",E112=Dashboard!$C$5)),1,0)</f>
        <v/>
      </c>
      <c r="Y112" s="43">
        <f>IF(AND(X112=1,S112="Yes"),O112+ROW()/1000000,0)</f>
        <v/>
      </c>
    </row>
    <row r="113">
      <c r="A113" s="35" t="inlineStr">
        <is>
          <t>LN100112</t>
        </is>
      </c>
      <c r="B113" s="35" t="inlineStr">
        <is>
          <t>Zoya Iyer</t>
        </is>
      </c>
      <c r="C113" s="35" t="inlineStr">
        <is>
          <t>DEL-01</t>
        </is>
      </c>
      <c r="D113" s="36">
        <f>INDEX(Branches!$C$2:$C$15,MATCH(C113,Branches!$A$2:$A$15,0))</f>
        <v/>
      </c>
      <c r="E113" s="35" t="inlineStr">
        <is>
          <t>Home Loan</t>
        </is>
      </c>
      <c r="F113" s="37" t="n">
        <v>45311</v>
      </c>
      <c r="G113" s="38" t="n">
        <v>7828000</v>
      </c>
      <c r="H113" s="39" t="n">
        <v>0.0891</v>
      </c>
      <c r="I113" s="35" t="n">
        <v>240</v>
      </c>
      <c r="J113" s="35" t="n">
        <v>805</v>
      </c>
      <c r="K113" s="35" t="n">
        <v>0</v>
      </c>
      <c r="L113" s="40">
        <f>ROUND(PMT(H113/12,I113,-G113),0)</f>
        <v/>
      </c>
      <c r="M113" s="41">
        <f>MAX(0,(YEAR(AsOfDate)-YEAR(F113))*12+MONTH(AsOfDate)-MONTH(F113))</f>
        <v/>
      </c>
      <c r="N113" s="41">
        <f>MAX(0,MIN(I113,M113)-INT(K113/30))</f>
        <v/>
      </c>
      <c r="O113" s="40">
        <f>IF(N113&gt;=I113,0,ROUND(PV(H113/12,I113-N113,-L113),0))</f>
        <v/>
      </c>
      <c r="P113" s="40">
        <f>MIN(I113,M113)*L113-N113*L113</f>
        <v/>
      </c>
      <c r="Q113" s="41">
        <f>INDEX(DPD_Bucket,MATCH(K113,DPD_From,1))</f>
        <v/>
      </c>
      <c r="R113" s="41">
        <f>INDEX(DPD_Class,MATCH(K113,DPD_From,1))</f>
        <v/>
      </c>
      <c r="S113" s="41">
        <f>INDEX(DPD_NPA,MATCH(K113,DPD_From,1))</f>
        <v/>
      </c>
      <c r="T113" s="42">
        <f>INDEX(DPD_Prov,MATCH(K113,DPD_From,1))</f>
        <v/>
      </c>
      <c r="U113" s="40">
        <f>ROUND(O113*T113,0)</f>
        <v/>
      </c>
      <c r="V113" s="41">
        <f>INDEX(CIBIL_Grade,MATCH(J113,CIBIL_From,1))</f>
        <v/>
      </c>
      <c r="W113" s="41">
        <f>YEAR(F113)&amp;"-Q"&amp;ROUNDUP(MONTH(F113)/3,0)</f>
        <v/>
      </c>
      <c r="X113" s="41">
        <f>IF(AND(OR(Dashboard!$C$4="All",D113=Dashboard!$C$4),OR(Dashboard!$C$5="All",E113=Dashboard!$C$5)),1,0)</f>
        <v/>
      </c>
      <c r="Y113" s="43">
        <f>IF(AND(X113=1,S113="Yes"),O113+ROW()/1000000,0)</f>
        <v/>
      </c>
    </row>
    <row r="114">
      <c r="A114" s="35" t="inlineStr">
        <is>
          <t>LN100113</t>
        </is>
      </c>
      <c r="B114" s="35" t="inlineStr">
        <is>
          <t>Harsh Chatterjee</t>
        </is>
      </c>
      <c r="C114" s="35" t="inlineStr">
        <is>
          <t>MUM-01</t>
        </is>
      </c>
      <c r="D114" s="36">
        <f>INDEX(Branches!$C$2:$C$15,MATCH(C114,Branches!$A$2:$A$15,0))</f>
        <v/>
      </c>
      <c r="E114" s="35" t="inlineStr">
        <is>
          <t>Personal Loan</t>
        </is>
      </c>
      <c r="F114" s="37" t="n">
        <v>45142</v>
      </c>
      <c r="G114" s="38" t="n">
        <v>741000</v>
      </c>
      <c r="H114" s="39" t="n">
        <v>0.1773</v>
      </c>
      <c r="I114" s="35" t="n">
        <v>48</v>
      </c>
      <c r="J114" s="35" t="n">
        <v>748</v>
      </c>
      <c r="K114" s="35" t="n">
        <v>0</v>
      </c>
      <c r="L114" s="40">
        <f>ROUND(PMT(H114/12,I114,-G114),0)</f>
        <v/>
      </c>
      <c r="M114" s="41">
        <f>MAX(0,(YEAR(AsOfDate)-YEAR(F114))*12+MONTH(AsOfDate)-MONTH(F114))</f>
        <v/>
      </c>
      <c r="N114" s="41">
        <f>MAX(0,MIN(I114,M114)-INT(K114/30))</f>
        <v/>
      </c>
      <c r="O114" s="40">
        <f>IF(N114&gt;=I114,0,ROUND(PV(H114/12,I114-N114,-L114),0))</f>
        <v/>
      </c>
      <c r="P114" s="40">
        <f>MIN(I114,M114)*L114-N114*L114</f>
        <v/>
      </c>
      <c r="Q114" s="41">
        <f>INDEX(DPD_Bucket,MATCH(K114,DPD_From,1))</f>
        <v/>
      </c>
      <c r="R114" s="41">
        <f>INDEX(DPD_Class,MATCH(K114,DPD_From,1))</f>
        <v/>
      </c>
      <c r="S114" s="41">
        <f>INDEX(DPD_NPA,MATCH(K114,DPD_From,1))</f>
        <v/>
      </c>
      <c r="T114" s="42">
        <f>INDEX(DPD_Prov,MATCH(K114,DPD_From,1))</f>
        <v/>
      </c>
      <c r="U114" s="40">
        <f>ROUND(O114*T114,0)</f>
        <v/>
      </c>
      <c r="V114" s="41">
        <f>INDEX(CIBIL_Grade,MATCH(J114,CIBIL_From,1))</f>
        <v/>
      </c>
      <c r="W114" s="41">
        <f>YEAR(F114)&amp;"-Q"&amp;ROUNDUP(MONTH(F114)/3,0)</f>
        <v/>
      </c>
      <c r="X114" s="41">
        <f>IF(AND(OR(Dashboard!$C$4="All",D114=Dashboard!$C$4),OR(Dashboard!$C$5="All",E114=Dashboard!$C$5)),1,0)</f>
        <v/>
      </c>
      <c r="Y114" s="43">
        <f>IF(AND(X114=1,S114="Yes"),O114+ROW()/1000000,0)</f>
        <v/>
      </c>
    </row>
    <row r="115">
      <c r="A115" s="35" t="inlineStr">
        <is>
          <t>LN100114</t>
        </is>
      </c>
      <c r="B115" s="35" t="inlineStr">
        <is>
          <t>Arjun Pillai</t>
        </is>
      </c>
      <c r="C115" s="35" t="inlineStr">
        <is>
          <t>BBS-01</t>
        </is>
      </c>
      <c r="D115" s="36">
        <f>INDEX(Branches!$C$2:$C$15,MATCH(C115,Branches!$A$2:$A$15,0))</f>
        <v/>
      </c>
      <c r="E115" s="35" t="inlineStr">
        <is>
          <t>Home Loan</t>
        </is>
      </c>
      <c r="F115" s="37" t="n">
        <v>45351</v>
      </c>
      <c r="G115" s="38" t="n">
        <v>13826000</v>
      </c>
      <c r="H115" s="39" t="n">
        <v>0.08500000000000001</v>
      </c>
      <c r="I115" s="35" t="n">
        <v>180</v>
      </c>
      <c r="J115" s="35" t="n">
        <v>809</v>
      </c>
      <c r="K115" s="35" t="n">
        <v>0</v>
      </c>
      <c r="L115" s="40">
        <f>ROUND(PMT(H115/12,I115,-G115),0)</f>
        <v/>
      </c>
      <c r="M115" s="41">
        <f>MAX(0,(YEAR(AsOfDate)-YEAR(F115))*12+MONTH(AsOfDate)-MONTH(F115))</f>
        <v/>
      </c>
      <c r="N115" s="41">
        <f>MAX(0,MIN(I115,M115)-INT(K115/30))</f>
        <v/>
      </c>
      <c r="O115" s="40">
        <f>IF(N115&gt;=I115,0,ROUND(PV(H115/12,I115-N115,-L115),0))</f>
        <v/>
      </c>
      <c r="P115" s="40">
        <f>MIN(I115,M115)*L115-N115*L115</f>
        <v/>
      </c>
      <c r="Q115" s="41">
        <f>INDEX(DPD_Bucket,MATCH(K115,DPD_From,1))</f>
        <v/>
      </c>
      <c r="R115" s="41">
        <f>INDEX(DPD_Class,MATCH(K115,DPD_From,1))</f>
        <v/>
      </c>
      <c r="S115" s="41">
        <f>INDEX(DPD_NPA,MATCH(K115,DPD_From,1))</f>
        <v/>
      </c>
      <c r="T115" s="42">
        <f>INDEX(DPD_Prov,MATCH(K115,DPD_From,1))</f>
        <v/>
      </c>
      <c r="U115" s="40">
        <f>ROUND(O115*T115,0)</f>
        <v/>
      </c>
      <c r="V115" s="41">
        <f>INDEX(CIBIL_Grade,MATCH(J115,CIBIL_From,1))</f>
        <v/>
      </c>
      <c r="W115" s="41">
        <f>YEAR(F115)&amp;"-Q"&amp;ROUNDUP(MONTH(F115)/3,0)</f>
        <v/>
      </c>
      <c r="X115" s="41">
        <f>IF(AND(OR(Dashboard!$C$4="All",D115=Dashboard!$C$4),OR(Dashboard!$C$5="All",E115=Dashboard!$C$5)),1,0)</f>
        <v/>
      </c>
      <c r="Y115" s="43">
        <f>IF(AND(X115=1,S115="Yes"),O115+ROW()/1000000,0)</f>
        <v/>
      </c>
    </row>
    <row r="116">
      <c r="A116" s="35" t="inlineStr">
        <is>
          <t>LN100115</t>
        </is>
      </c>
      <c r="B116" s="35" t="inlineStr">
        <is>
          <t>Rohan Rao</t>
        </is>
      </c>
      <c r="C116" s="35" t="inlineStr">
        <is>
          <t>AMD-01</t>
        </is>
      </c>
      <c r="D116" s="36">
        <f>INDEX(Branches!$C$2:$C$15,MATCH(C116,Branches!$A$2:$A$15,0))</f>
        <v/>
      </c>
      <c r="E116" s="35" t="inlineStr">
        <is>
          <t>Home Loan</t>
        </is>
      </c>
      <c r="F116" s="37" t="n">
        <v>45870</v>
      </c>
      <c r="G116" s="38" t="n">
        <v>14930000</v>
      </c>
      <c r="H116" s="39" t="n">
        <v>0.0914</v>
      </c>
      <c r="I116" s="35" t="n">
        <v>240</v>
      </c>
      <c r="J116" s="35" t="n">
        <v>775</v>
      </c>
      <c r="K116" s="35" t="n">
        <v>0</v>
      </c>
      <c r="L116" s="40">
        <f>ROUND(PMT(H116/12,I116,-G116),0)</f>
        <v/>
      </c>
      <c r="M116" s="41">
        <f>MAX(0,(YEAR(AsOfDate)-YEAR(F116))*12+MONTH(AsOfDate)-MONTH(F116))</f>
        <v/>
      </c>
      <c r="N116" s="41">
        <f>MAX(0,MIN(I116,M116)-INT(K116/30))</f>
        <v/>
      </c>
      <c r="O116" s="40">
        <f>IF(N116&gt;=I116,0,ROUND(PV(H116/12,I116-N116,-L116),0))</f>
        <v/>
      </c>
      <c r="P116" s="40">
        <f>MIN(I116,M116)*L116-N116*L116</f>
        <v/>
      </c>
      <c r="Q116" s="41">
        <f>INDEX(DPD_Bucket,MATCH(K116,DPD_From,1))</f>
        <v/>
      </c>
      <c r="R116" s="41">
        <f>INDEX(DPD_Class,MATCH(K116,DPD_From,1))</f>
        <v/>
      </c>
      <c r="S116" s="41">
        <f>INDEX(DPD_NPA,MATCH(K116,DPD_From,1))</f>
        <v/>
      </c>
      <c r="T116" s="42">
        <f>INDEX(DPD_Prov,MATCH(K116,DPD_From,1))</f>
        <v/>
      </c>
      <c r="U116" s="40">
        <f>ROUND(O116*T116,0)</f>
        <v/>
      </c>
      <c r="V116" s="41">
        <f>INDEX(CIBIL_Grade,MATCH(J116,CIBIL_From,1))</f>
        <v/>
      </c>
      <c r="W116" s="41">
        <f>YEAR(F116)&amp;"-Q"&amp;ROUNDUP(MONTH(F116)/3,0)</f>
        <v/>
      </c>
      <c r="X116" s="41">
        <f>IF(AND(OR(Dashboard!$C$4="All",D116=Dashboard!$C$4),OR(Dashboard!$C$5="All",E116=Dashboard!$C$5)),1,0)</f>
        <v/>
      </c>
      <c r="Y116" s="43">
        <f>IF(AND(X116=1,S116="Yes"),O116+ROW()/1000000,0)</f>
        <v/>
      </c>
    </row>
    <row r="117">
      <c r="A117" s="35" t="inlineStr">
        <is>
          <t>LN100116</t>
        </is>
      </c>
      <c r="B117" s="35" t="inlineStr">
        <is>
          <t>Priya Joshi</t>
        </is>
      </c>
      <c r="C117" s="35" t="inlineStr">
        <is>
          <t>AMD-01</t>
        </is>
      </c>
      <c r="D117" s="36">
        <f>INDEX(Branches!$C$2:$C$15,MATCH(C117,Branches!$A$2:$A$15,0))</f>
        <v/>
      </c>
      <c r="E117" s="35" t="inlineStr">
        <is>
          <t>Personal Loan</t>
        </is>
      </c>
      <c r="F117" s="37" t="n">
        <v>45292</v>
      </c>
      <c r="G117" s="38" t="n">
        <v>682000</v>
      </c>
      <c r="H117" s="39" t="n">
        <v>0.1121</v>
      </c>
      <c r="I117" s="35" t="n">
        <v>60</v>
      </c>
      <c r="J117" s="35" t="n">
        <v>752</v>
      </c>
      <c r="K117" s="35" t="n">
        <v>201</v>
      </c>
      <c r="L117" s="40">
        <f>ROUND(PMT(H117/12,I117,-G117),0)</f>
        <v/>
      </c>
      <c r="M117" s="41">
        <f>MAX(0,(YEAR(AsOfDate)-YEAR(F117))*12+MONTH(AsOfDate)-MONTH(F117))</f>
        <v/>
      </c>
      <c r="N117" s="41">
        <f>MAX(0,MIN(I117,M117)-INT(K117/30))</f>
        <v/>
      </c>
      <c r="O117" s="40">
        <f>IF(N117&gt;=I117,0,ROUND(PV(H117/12,I117-N117,-L117),0))</f>
        <v/>
      </c>
      <c r="P117" s="40">
        <f>MIN(I117,M117)*L117-N117*L117</f>
        <v/>
      </c>
      <c r="Q117" s="41">
        <f>INDEX(DPD_Bucket,MATCH(K117,DPD_From,1))</f>
        <v/>
      </c>
      <c r="R117" s="41">
        <f>INDEX(DPD_Class,MATCH(K117,DPD_From,1))</f>
        <v/>
      </c>
      <c r="S117" s="41">
        <f>INDEX(DPD_NPA,MATCH(K117,DPD_From,1))</f>
        <v/>
      </c>
      <c r="T117" s="42">
        <f>INDEX(DPD_Prov,MATCH(K117,DPD_From,1))</f>
        <v/>
      </c>
      <c r="U117" s="40">
        <f>ROUND(O117*T117,0)</f>
        <v/>
      </c>
      <c r="V117" s="41">
        <f>INDEX(CIBIL_Grade,MATCH(J117,CIBIL_From,1))</f>
        <v/>
      </c>
      <c r="W117" s="41">
        <f>YEAR(F117)&amp;"-Q"&amp;ROUNDUP(MONTH(F117)/3,0)</f>
        <v/>
      </c>
      <c r="X117" s="41">
        <f>IF(AND(OR(Dashboard!$C$4="All",D117=Dashboard!$C$4),OR(Dashboard!$C$5="All",E117=Dashboard!$C$5)),1,0)</f>
        <v/>
      </c>
      <c r="Y117" s="43">
        <f>IF(AND(X117=1,S117="Yes"),O117+ROW()/1000000,0)</f>
        <v/>
      </c>
    </row>
    <row r="118">
      <c r="A118" s="35" t="inlineStr">
        <is>
          <t>LN100117</t>
        </is>
      </c>
      <c r="B118" s="35" t="inlineStr">
        <is>
          <t>Aditya Iyer</t>
        </is>
      </c>
      <c r="C118" s="35" t="inlineStr">
        <is>
          <t>CHN-01</t>
        </is>
      </c>
      <c r="D118" s="36">
        <f>INDEX(Branches!$C$2:$C$15,MATCH(C118,Branches!$A$2:$A$15,0))</f>
        <v/>
      </c>
      <c r="E118" s="35" t="inlineStr">
        <is>
          <t>Personal Loan</t>
        </is>
      </c>
      <c r="F118" s="37" t="n">
        <v>45407</v>
      </c>
      <c r="G118" s="38" t="n">
        <v>705000</v>
      </c>
      <c r="H118" s="39" t="n">
        <v>0.1608</v>
      </c>
      <c r="I118" s="35" t="n">
        <v>36</v>
      </c>
      <c r="J118" s="35" t="n">
        <v>815</v>
      </c>
      <c r="K118" s="35" t="n">
        <v>0</v>
      </c>
      <c r="L118" s="40">
        <f>ROUND(PMT(H118/12,I118,-G118),0)</f>
        <v/>
      </c>
      <c r="M118" s="41">
        <f>MAX(0,(YEAR(AsOfDate)-YEAR(F118))*12+MONTH(AsOfDate)-MONTH(F118))</f>
        <v/>
      </c>
      <c r="N118" s="41">
        <f>MAX(0,MIN(I118,M118)-INT(K118/30))</f>
        <v/>
      </c>
      <c r="O118" s="40">
        <f>IF(N118&gt;=I118,0,ROUND(PV(H118/12,I118-N118,-L118),0))</f>
        <v/>
      </c>
      <c r="P118" s="40">
        <f>MIN(I118,M118)*L118-N118*L118</f>
        <v/>
      </c>
      <c r="Q118" s="41">
        <f>INDEX(DPD_Bucket,MATCH(K118,DPD_From,1))</f>
        <v/>
      </c>
      <c r="R118" s="41">
        <f>INDEX(DPD_Class,MATCH(K118,DPD_From,1))</f>
        <v/>
      </c>
      <c r="S118" s="41">
        <f>INDEX(DPD_NPA,MATCH(K118,DPD_From,1))</f>
        <v/>
      </c>
      <c r="T118" s="42">
        <f>INDEX(DPD_Prov,MATCH(K118,DPD_From,1))</f>
        <v/>
      </c>
      <c r="U118" s="40">
        <f>ROUND(O118*T118,0)</f>
        <v/>
      </c>
      <c r="V118" s="41">
        <f>INDEX(CIBIL_Grade,MATCH(J118,CIBIL_From,1))</f>
        <v/>
      </c>
      <c r="W118" s="41">
        <f>YEAR(F118)&amp;"-Q"&amp;ROUNDUP(MONTH(F118)/3,0)</f>
        <v/>
      </c>
      <c r="X118" s="41">
        <f>IF(AND(OR(Dashboard!$C$4="All",D118=Dashboard!$C$4),OR(Dashboard!$C$5="All",E118=Dashboard!$C$5)),1,0)</f>
        <v/>
      </c>
      <c r="Y118" s="43">
        <f>IF(AND(X118=1,S118="Yes"),O118+ROW()/1000000,0)</f>
        <v/>
      </c>
    </row>
    <row r="119">
      <c r="A119" s="35" t="inlineStr">
        <is>
          <t>LN100118</t>
        </is>
      </c>
      <c r="B119" s="35" t="inlineStr">
        <is>
          <t>Rohan Kulkarni</t>
        </is>
      </c>
      <c r="C119" s="35" t="inlineStr">
        <is>
          <t>PUN-01</t>
        </is>
      </c>
      <c r="D119" s="36">
        <f>INDEX(Branches!$C$2:$C$15,MATCH(C119,Branches!$A$2:$A$15,0))</f>
        <v/>
      </c>
      <c r="E119" s="35" t="inlineStr">
        <is>
          <t>Auto Loan</t>
        </is>
      </c>
      <c r="F119" s="37" t="n">
        <v>46051</v>
      </c>
      <c r="G119" s="38" t="n">
        <v>1472000</v>
      </c>
      <c r="H119" s="39" t="n">
        <v>0.1017</v>
      </c>
      <c r="I119" s="35" t="n">
        <v>48</v>
      </c>
      <c r="J119" s="35" t="n">
        <v>710</v>
      </c>
      <c r="K119" s="35" t="n">
        <v>0</v>
      </c>
      <c r="L119" s="40">
        <f>ROUND(PMT(H119/12,I119,-G119),0)</f>
        <v/>
      </c>
      <c r="M119" s="41">
        <f>MAX(0,(YEAR(AsOfDate)-YEAR(F119))*12+MONTH(AsOfDate)-MONTH(F119))</f>
        <v/>
      </c>
      <c r="N119" s="41">
        <f>MAX(0,MIN(I119,M119)-INT(K119/30))</f>
        <v/>
      </c>
      <c r="O119" s="40">
        <f>IF(N119&gt;=I119,0,ROUND(PV(H119/12,I119-N119,-L119),0))</f>
        <v/>
      </c>
      <c r="P119" s="40">
        <f>MIN(I119,M119)*L119-N119*L119</f>
        <v/>
      </c>
      <c r="Q119" s="41">
        <f>INDEX(DPD_Bucket,MATCH(K119,DPD_From,1))</f>
        <v/>
      </c>
      <c r="R119" s="41">
        <f>INDEX(DPD_Class,MATCH(K119,DPD_From,1))</f>
        <v/>
      </c>
      <c r="S119" s="41">
        <f>INDEX(DPD_NPA,MATCH(K119,DPD_From,1))</f>
        <v/>
      </c>
      <c r="T119" s="42">
        <f>INDEX(DPD_Prov,MATCH(K119,DPD_From,1))</f>
        <v/>
      </c>
      <c r="U119" s="40">
        <f>ROUND(O119*T119,0)</f>
        <v/>
      </c>
      <c r="V119" s="41">
        <f>INDEX(CIBIL_Grade,MATCH(J119,CIBIL_From,1))</f>
        <v/>
      </c>
      <c r="W119" s="41">
        <f>YEAR(F119)&amp;"-Q"&amp;ROUNDUP(MONTH(F119)/3,0)</f>
        <v/>
      </c>
      <c r="X119" s="41">
        <f>IF(AND(OR(Dashboard!$C$4="All",D119=Dashboard!$C$4),OR(Dashboard!$C$5="All",E119=Dashboard!$C$5)),1,0)</f>
        <v/>
      </c>
      <c r="Y119" s="43">
        <f>IF(AND(X119=1,S119="Yes"),O119+ROW()/1000000,0)</f>
        <v/>
      </c>
    </row>
    <row r="120">
      <c r="A120" s="35" t="inlineStr">
        <is>
          <t>LN100119</t>
        </is>
      </c>
      <c r="B120" s="35" t="inlineStr">
        <is>
          <t>Karthik Chatterjee</t>
        </is>
      </c>
      <c r="C120" s="35" t="inlineStr">
        <is>
          <t>KOC-01</t>
        </is>
      </c>
      <c r="D120" s="36">
        <f>INDEX(Branches!$C$2:$C$15,MATCH(C120,Branches!$A$2:$A$15,0))</f>
        <v/>
      </c>
      <c r="E120" s="35" t="inlineStr">
        <is>
          <t>Business Loan</t>
        </is>
      </c>
      <c r="F120" s="37" t="n">
        <v>46068</v>
      </c>
      <c r="G120" s="38" t="n">
        <v>1196000</v>
      </c>
      <c r="H120" s="39" t="n">
        <v>0.1638</v>
      </c>
      <c r="I120" s="35" t="n">
        <v>60</v>
      </c>
      <c r="J120" s="35" t="n">
        <v>808</v>
      </c>
      <c r="K120" s="35" t="n">
        <v>0</v>
      </c>
      <c r="L120" s="40">
        <f>ROUND(PMT(H120/12,I120,-G120),0)</f>
        <v/>
      </c>
      <c r="M120" s="41">
        <f>MAX(0,(YEAR(AsOfDate)-YEAR(F120))*12+MONTH(AsOfDate)-MONTH(F120))</f>
        <v/>
      </c>
      <c r="N120" s="41">
        <f>MAX(0,MIN(I120,M120)-INT(K120/30))</f>
        <v/>
      </c>
      <c r="O120" s="40">
        <f>IF(N120&gt;=I120,0,ROUND(PV(H120/12,I120-N120,-L120),0))</f>
        <v/>
      </c>
      <c r="P120" s="40">
        <f>MIN(I120,M120)*L120-N120*L120</f>
        <v/>
      </c>
      <c r="Q120" s="41">
        <f>INDEX(DPD_Bucket,MATCH(K120,DPD_From,1))</f>
        <v/>
      </c>
      <c r="R120" s="41">
        <f>INDEX(DPD_Class,MATCH(K120,DPD_From,1))</f>
        <v/>
      </c>
      <c r="S120" s="41">
        <f>INDEX(DPD_NPA,MATCH(K120,DPD_From,1))</f>
        <v/>
      </c>
      <c r="T120" s="42">
        <f>INDEX(DPD_Prov,MATCH(K120,DPD_From,1))</f>
        <v/>
      </c>
      <c r="U120" s="40">
        <f>ROUND(O120*T120,0)</f>
        <v/>
      </c>
      <c r="V120" s="41">
        <f>INDEX(CIBIL_Grade,MATCH(J120,CIBIL_From,1))</f>
        <v/>
      </c>
      <c r="W120" s="41">
        <f>YEAR(F120)&amp;"-Q"&amp;ROUNDUP(MONTH(F120)/3,0)</f>
        <v/>
      </c>
      <c r="X120" s="41">
        <f>IF(AND(OR(Dashboard!$C$4="All",D120=Dashboard!$C$4),OR(Dashboard!$C$5="All",E120=Dashboard!$C$5)),1,0)</f>
        <v/>
      </c>
      <c r="Y120" s="43">
        <f>IF(AND(X120=1,S120="Yes"),O120+ROW()/1000000,0)</f>
        <v/>
      </c>
    </row>
    <row r="121">
      <c r="A121" s="35" t="inlineStr">
        <is>
          <t>LN100120</t>
        </is>
      </c>
      <c r="B121" s="35" t="inlineStr">
        <is>
          <t>Farhan Gupta</t>
        </is>
      </c>
      <c r="C121" s="35" t="inlineStr">
        <is>
          <t>BLR-01</t>
        </is>
      </c>
      <c r="D121" s="36">
        <f>INDEX(Branches!$C$2:$C$15,MATCH(C121,Branches!$A$2:$A$15,0))</f>
        <v/>
      </c>
      <c r="E121" s="35" t="inlineStr">
        <is>
          <t>Business Loan</t>
        </is>
      </c>
      <c r="F121" s="37" t="n">
        <v>45421</v>
      </c>
      <c r="G121" s="38" t="n">
        <v>1312000</v>
      </c>
      <c r="H121" s="39" t="n">
        <v>0.1792</v>
      </c>
      <c r="I121" s="35" t="n">
        <v>36</v>
      </c>
      <c r="J121" s="35" t="n">
        <v>720</v>
      </c>
      <c r="K121" s="35" t="n">
        <v>735</v>
      </c>
      <c r="L121" s="40">
        <f>ROUND(PMT(H121/12,I121,-G121),0)</f>
        <v/>
      </c>
      <c r="M121" s="41">
        <f>MAX(0,(YEAR(AsOfDate)-YEAR(F121))*12+MONTH(AsOfDate)-MONTH(F121))</f>
        <v/>
      </c>
      <c r="N121" s="41">
        <f>MAX(0,MIN(I121,M121)-INT(K121/30))</f>
        <v/>
      </c>
      <c r="O121" s="40">
        <f>IF(N121&gt;=I121,0,ROUND(PV(H121/12,I121-N121,-L121),0))</f>
        <v/>
      </c>
      <c r="P121" s="40">
        <f>MIN(I121,M121)*L121-N121*L121</f>
        <v/>
      </c>
      <c r="Q121" s="41">
        <f>INDEX(DPD_Bucket,MATCH(K121,DPD_From,1))</f>
        <v/>
      </c>
      <c r="R121" s="41">
        <f>INDEX(DPD_Class,MATCH(K121,DPD_From,1))</f>
        <v/>
      </c>
      <c r="S121" s="41">
        <f>INDEX(DPD_NPA,MATCH(K121,DPD_From,1))</f>
        <v/>
      </c>
      <c r="T121" s="42">
        <f>INDEX(DPD_Prov,MATCH(K121,DPD_From,1))</f>
        <v/>
      </c>
      <c r="U121" s="40">
        <f>ROUND(O121*T121,0)</f>
        <v/>
      </c>
      <c r="V121" s="41">
        <f>INDEX(CIBIL_Grade,MATCH(J121,CIBIL_From,1))</f>
        <v/>
      </c>
      <c r="W121" s="41">
        <f>YEAR(F121)&amp;"-Q"&amp;ROUNDUP(MONTH(F121)/3,0)</f>
        <v/>
      </c>
      <c r="X121" s="41">
        <f>IF(AND(OR(Dashboard!$C$4="All",D121=Dashboard!$C$4),OR(Dashboard!$C$5="All",E121=Dashboard!$C$5)),1,0)</f>
        <v/>
      </c>
      <c r="Y121" s="43">
        <f>IF(AND(X121=1,S121="Yes"),O121+ROW()/1000000,0)</f>
        <v/>
      </c>
    </row>
    <row r="122">
      <c r="A122" s="35" t="inlineStr">
        <is>
          <t>LN100121</t>
        </is>
      </c>
      <c r="B122" s="35" t="inlineStr">
        <is>
          <t>Kavya Iyer</t>
        </is>
      </c>
      <c r="C122" s="35" t="inlineStr">
        <is>
          <t>HYD-01</t>
        </is>
      </c>
      <c r="D122" s="36">
        <f>INDEX(Branches!$C$2:$C$15,MATCH(C122,Branches!$A$2:$A$15,0))</f>
        <v/>
      </c>
      <c r="E122" s="35" t="inlineStr">
        <is>
          <t>Auto Loan</t>
        </is>
      </c>
      <c r="F122" s="37" t="n">
        <v>45455</v>
      </c>
      <c r="G122" s="38" t="n">
        <v>1586000</v>
      </c>
      <c r="H122" s="39" t="n">
        <v>0.1191</v>
      </c>
      <c r="I122" s="35" t="n">
        <v>60</v>
      </c>
      <c r="J122" s="35" t="n">
        <v>845</v>
      </c>
      <c r="K122" s="35" t="n">
        <v>0</v>
      </c>
      <c r="L122" s="40">
        <f>ROUND(PMT(H122/12,I122,-G122),0)</f>
        <v/>
      </c>
      <c r="M122" s="41">
        <f>MAX(0,(YEAR(AsOfDate)-YEAR(F122))*12+MONTH(AsOfDate)-MONTH(F122))</f>
        <v/>
      </c>
      <c r="N122" s="41">
        <f>MAX(0,MIN(I122,M122)-INT(K122/30))</f>
        <v/>
      </c>
      <c r="O122" s="40">
        <f>IF(N122&gt;=I122,0,ROUND(PV(H122/12,I122-N122,-L122),0))</f>
        <v/>
      </c>
      <c r="P122" s="40">
        <f>MIN(I122,M122)*L122-N122*L122</f>
        <v/>
      </c>
      <c r="Q122" s="41">
        <f>INDEX(DPD_Bucket,MATCH(K122,DPD_From,1))</f>
        <v/>
      </c>
      <c r="R122" s="41">
        <f>INDEX(DPD_Class,MATCH(K122,DPD_From,1))</f>
        <v/>
      </c>
      <c r="S122" s="41">
        <f>INDEX(DPD_NPA,MATCH(K122,DPD_From,1))</f>
        <v/>
      </c>
      <c r="T122" s="42">
        <f>INDEX(DPD_Prov,MATCH(K122,DPD_From,1))</f>
        <v/>
      </c>
      <c r="U122" s="40">
        <f>ROUND(O122*T122,0)</f>
        <v/>
      </c>
      <c r="V122" s="41">
        <f>INDEX(CIBIL_Grade,MATCH(J122,CIBIL_From,1))</f>
        <v/>
      </c>
      <c r="W122" s="41">
        <f>YEAR(F122)&amp;"-Q"&amp;ROUNDUP(MONTH(F122)/3,0)</f>
        <v/>
      </c>
      <c r="X122" s="41">
        <f>IF(AND(OR(Dashboard!$C$4="All",D122=Dashboard!$C$4),OR(Dashboard!$C$5="All",E122=Dashboard!$C$5)),1,0)</f>
        <v/>
      </c>
      <c r="Y122" s="43">
        <f>IF(AND(X122=1,S122="Yes"),O122+ROW()/1000000,0)</f>
        <v/>
      </c>
    </row>
    <row r="123">
      <c r="A123" s="35" t="inlineStr">
        <is>
          <t>LN100122</t>
        </is>
      </c>
      <c r="B123" s="35" t="inlineStr">
        <is>
          <t>Riya Rao</t>
        </is>
      </c>
      <c r="C123" s="35" t="inlineStr">
        <is>
          <t>HYD-01</t>
        </is>
      </c>
      <c r="D123" s="36">
        <f>INDEX(Branches!$C$2:$C$15,MATCH(C123,Branches!$A$2:$A$15,0))</f>
        <v/>
      </c>
      <c r="E123" s="35" t="inlineStr">
        <is>
          <t>Home Loan</t>
        </is>
      </c>
      <c r="F123" s="37" t="n">
        <v>45733</v>
      </c>
      <c r="G123" s="38" t="n">
        <v>6811000</v>
      </c>
      <c r="H123" s="39" t="n">
        <v>0.0941</v>
      </c>
      <c r="I123" s="35" t="n">
        <v>240</v>
      </c>
      <c r="J123" s="35" t="n">
        <v>739</v>
      </c>
      <c r="K123" s="35" t="n">
        <v>0</v>
      </c>
      <c r="L123" s="40">
        <f>ROUND(PMT(H123/12,I123,-G123),0)</f>
        <v/>
      </c>
      <c r="M123" s="41">
        <f>MAX(0,(YEAR(AsOfDate)-YEAR(F123))*12+MONTH(AsOfDate)-MONTH(F123))</f>
        <v/>
      </c>
      <c r="N123" s="41">
        <f>MAX(0,MIN(I123,M123)-INT(K123/30))</f>
        <v/>
      </c>
      <c r="O123" s="40">
        <f>IF(N123&gt;=I123,0,ROUND(PV(H123/12,I123-N123,-L123),0))</f>
        <v/>
      </c>
      <c r="P123" s="40">
        <f>MIN(I123,M123)*L123-N123*L123</f>
        <v/>
      </c>
      <c r="Q123" s="41">
        <f>INDEX(DPD_Bucket,MATCH(K123,DPD_From,1))</f>
        <v/>
      </c>
      <c r="R123" s="41">
        <f>INDEX(DPD_Class,MATCH(K123,DPD_From,1))</f>
        <v/>
      </c>
      <c r="S123" s="41">
        <f>INDEX(DPD_NPA,MATCH(K123,DPD_From,1))</f>
        <v/>
      </c>
      <c r="T123" s="42">
        <f>INDEX(DPD_Prov,MATCH(K123,DPD_From,1))</f>
        <v/>
      </c>
      <c r="U123" s="40">
        <f>ROUND(O123*T123,0)</f>
        <v/>
      </c>
      <c r="V123" s="41">
        <f>INDEX(CIBIL_Grade,MATCH(J123,CIBIL_From,1))</f>
        <v/>
      </c>
      <c r="W123" s="41">
        <f>YEAR(F123)&amp;"-Q"&amp;ROUNDUP(MONTH(F123)/3,0)</f>
        <v/>
      </c>
      <c r="X123" s="41">
        <f>IF(AND(OR(Dashboard!$C$4="All",D123=Dashboard!$C$4),OR(Dashboard!$C$5="All",E123=Dashboard!$C$5)),1,0)</f>
        <v/>
      </c>
      <c r="Y123" s="43">
        <f>IF(AND(X123=1,S123="Yes"),O123+ROW()/1000000,0)</f>
        <v/>
      </c>
    </row>
    <row r="124">
      <c r="A124" s="35" t="inlineStr">
        <is>
          <t>LN100123</t>
        </is>
      </c>
      <c r="B124" s="35" t="inlineStr">
        <is>
          <t>Ananya Das</t>
        </is>
      </c>
      <c r="C124" s="35" t="inlineStr">
        <is>
          <t>PAT-01</t>
        </is>
      </c>
      <c r="D124" s="36">
        <f>INDEX(Branches!$C$2:$C$15,MATCH(C124,Branches!$A$2:$A$15,0))</f>
        <v/>
      </c>
      <c r="E124" s="35" t="inlineStr">
        <is>
          <t>Business Loan</t>
        </is>
      </c>
      <c r="F124" s="37" t="n">
        <v>46066</v>
      </c>
      <c r="G124" s="38" t="n">
        <v>2806000</v>
      </c>
      <c r="H124" s="39" t="n">
        <v>0.1542</v>
      </c>
      <c r="I124" s="35" t="n">
        <v>12</v>
      </c>
      <c r="J124" s="35" t="n">
        <v>786</v>
      </c>
      <c r="K124" s="35" t="n">
        <v>105</v>
      </c>
      <c r="L124" s="40">
        <f>ROUND(PMT(H124/12,I124,-G124),0)</f>
        <v/>
      </c>
      <c r="M124" s="41">
        <f>MAX(0,(YEAR(AsOfDate)-YEAR(F124))*12+MONTH(AsOfDate)-MONTH(F124))</f>
        <v/>
      </c>
      <c r="N124" s="41">
        <f>MAX(0,MIN(I124,M124)-INT(K124/30))</f>
        <v/>
      </c>
      <c r="O124" s="40">
        <f>IF(N124&gt;=I124,0,ROUND(PV(H124/12,I124-N124,-L124),0))</f>
        <v/>
      </c>
      <c r="P124" s="40">
        <f>MIN(I124,M124)*L124-N124*L124</f>
        <v/>
      </c>
      <c r="Q124" s="41">
        <f>INDEX(DPD_Bucket,MATCH(K124,DPD_From,1))</f>
        <v/>
      </c>
      <c r="R124" s="41">
        <f>INDEX(DPD_Class,MATCH(K124,DPD_From,1))</f>
        <v/>
      </c>
      <c r="S124" s="41">
        <f>INDEX(DPD_NPA,MATCH(K124,DPD_From,1))</f>
        <v/>
      </c>
      <c r="T124" s="42">
        <f>INDEX(DPD_Prov,MATCH(K124,DPD_From,1))</f>
        <v/>
      </c>
      <c r="U124" s="40">
        <f>ROUND(O124*T124,0)</f>
        <v/>
      </c>
      <c r="V124" s="41">
        <f>INDEX(CIBIL_Grade,MATCH(J124,CIBIL_From,1))</f>
        <v/>
      </c>
      <c r="W124" s="41">
        <f>YEAR(F124)&amp;"-Q"&amp;ROUNDUP(MONTH(F124)/3,0)</f>
        <v/>
      </c>
      <c r="X124" s="41">
        <f>IF(AND(OR(Dashboard!$C$4="All",D124=Dashboard!$C$4),OR(Dashboard!$C$5="All",E124=Dashboard!$C$5)),1,0)</f>
        <v/>
      </c>
      <c r="Y124" s="43">
        <f>IF(AND(X124=1,S124="Yes"),O124+ROW()/1000000,0)</f>
        <v/>
      </c>
    </row>
    <row r="125">
      <c r="A125" s="35" t="inlineStr">
        <is>
          <t>LN100124</t>
        </is>
      </c>
      <c r="B125" s="35" t="inlineStr">
        <is>
          <t>Diya Verma</t>
        </is>
      </c>
      <c r="C125" s="35" t="inlineStr">
        <is>
          <t>KOC-01</t>
        </is>
      </c>
      <c r="D125" s="36">
        <f>INDEX(Branches!$C$2:$C$15,MATCH(C125,Branches!$A$2:$A$15,0))</f>
        <v/>
      </c>
      <c r="E125" s="35" t="inlineStr">
        <is>
          <t>Home Loan</t>
        </is>
      </c>
      <c r="F125" s="37" t="n">
        <v>45177</v>
      </c>
      <c r="G125" s="38" t="n">
        <v>7138000</v>
      </c>
      <c r="H125" s="39" t="n">
        <v>0.0924</v>
      </c>
      <c r="I125" s="35" t="n">
        <v>240</v>
      </c>
      <c r="J125" s="35" t="n">
        <v>811</v>
      </c>
      <c r="K125" s="35" t="n">
        <v>0</v>
      </c>
      <c r="L125" s="40">
        <f>ROUND(PMT(H125/12,I125,-G125),0)</f>
        <v/>
      </c>
      <c r="M125" s="41">
        <f>MAX(0,(YEAR(AsOfDate)-YEAR(F125))*12+MONTH(AsOfDate)-MONTH(F125))</f>
        <v/>
      </c>
      <c r="N125" s="41">
        <f>MAX(0,MIN(I125,M125)-INT(K125/30))</f>
        <v/>
      </c>
      <c r="O125" s="40">
        <f>IF(N125&gt;=I125,0,ROUND(PV(H125/12,I125-N125,-L125),0))</f>
        <v/>
      </c>
      <c r="P125" s="40">
        <f>MIN(I125,M125)*L125-N125*L125</f>
        <v/>
      </c>
      <c r="Q125" s="41">
        <f>INDEX(DPD_Bucket,MATCH(K125,DPD_From,1))</f>
        <v/>
      </c>
      <c r="R125" s="41">
        <f>INDEX(DPD_Class,MATCH(K125,DPD_From,1))</f>
        <v/>
      </c>
      <c r="S125" s="41">
        <f>INDEX(DPD_NPA,MATCH(K125,DPD_From,1))</f>
        <v/>
      </c>
      <c r="T125" s="42">
        <f>INDEX(DPD_Prov,MATCH(K125,DPD_From,1))</f>
        <v/>
      </c>
      <c r="U125" s="40">
        <f>ROUND(O125*T125,0)</f>
        <v/>
      </c>
      <c r="V125" s="41">
        <f>INDEX(CIBIL_Grade,MATCH(J125,CIBIL_From,1))</f>
        <v/>
      </c>
      <c r="W125" s="41">
        <f>YEAR(F125)&amp;"-Q"&amp;ROUNDUP(MONTH(F125)/3,0)</f>
        <v/>
      </c>
      <c r="X125" s="41">
        <f>IF(AND(OR(Dashboard!$C$4="All",D125=Dashboard!$C$4),OR(Dashboard!$C$5="All",E125=Dashboard!$C$5)),1,0)</f>
        <v/>
      </c>
      <c r="Y125" s="43">
        <f>IF(AND(X125=1,S125="Yes"),O125+ROW()/1000000,0)</f>
        <v/>
      </c>
    </row>
    <row r="126">
      <c r="A126" s="35" t="inlineStr">
        <is>
          <t>LN100125</t>
        </is>
      </c>
      <c r="B126" s="35" t="inlineStr">
        <is>
          <t>Arjun Sharma</t>
        </is>
      </c>
      <c r="C126" s="35" t="inlineStr">
        <is>
          <t>DEL-01</t>
        </is>
      </c>
      <c r="D126" s="36">
        <f>INDEX(Branches!$C$2:$C$15,MATCH(C126,Branches!$A$2:$A$15,0))</f>
        <v/>
      </c>
      <c r="E126" s="35" t="inlineStr">
        <is>
          <t>Home Loan</t>
        </is>
      </c>
      <c r="F126" s="37" t="n">
        <v>45741</v>
      </c>
      <c r="G126" s="38" t="n">
        <v>11711000</v>
      </c>
      <c r="H126" s="39" t="n">
        <v>0.08649999999999999</v>
      </c>
      <c r="I126" s="35" t="n">
        <v>180</v>
      </c>
      <c r="J126" s="35" t="n">
        <v>745</v>
      </c>
      <c r="K126" s="35" t="n">
        <v>0</v>
      </c>
      <c r="L126" s="40">
        <f>ROUND(PMT(H126/12,I126,-G126),0)</f>
        <v/>
      </c>
      <c r="M126" s="41">
        <f>MAX(0,(YEAR(AsOfDate)-YEAR(F126))*12+MONTH(AsOfDate)-MONTH(F126))</f>
        <v/>
      </c>
      <c r="N126" s="41">
        <f>MAX(0,MIN(I126,M126)-INT(K126/30))</f>
        <v/>
      </c>
      <c r="O126" s="40">
        <f>IF(N126&gt;=I126,0,ROUND(PV(H126/12,I126-N126,-L126),0))</f>
        <v/>
      </c>
      <c r="P126" s="40">
        <f>MIN(I126,M126)*L126-N126*L126</f>
        <v/>
      </c>
      <c r="Q126" s="41">
        <f>INDEX(DPD_Bucket,MATCH(K126,DPD_From,1))</f>
        <v/>
      </c>
      <c r="R126" s="41">
        <f>INDEX(DPD_Class,MATCH(K126,DPD_From,1))</f>
        <v/>
      </c>
      <c r="S126" s="41">
        <f>INDEX(DPD_NPA,MATCH(K126,DPD_From,1))</f>
        <v/>
      </c>
      <c r="T126" s="42">
        <f>INDEX(DPD_Prov,MATCH(K126,DPD_From,1))</f>
        <v/>
      </c>
      <c r="U126" s="40">
        <f>ROUND(O126*T126,0)</f>
        <v/>
      </c>
      <c r="V126" s="41">
        <f>INDEX(CIBIL_Grade,MATCH(J126,CIBIL_From,1))</f>
        <v/>
      </c>
      <c r="W126" s="41">
        <f>YEAR(F126)&amp;"-Q"&amp;ROUNDUP(MONTH(F126)/3,0)</f>
        <v/>
      </c>
      <c r="X126" s="41">
        <f>IF(AND(OR(Dashboard!$C$4="All",D126=Dashboard!$C$4),OR(Dashboard!$C$5="All",E126=Dashboard!$C$5)),1,0)</f>
        <v/>
      </c>
      <c r="Y126" s="43">
        <f>IF(AND(X126=1,S126="Yes"),O126+ROW()/1000000,0)</f>
        <v/>
      </c>
    </row>
    <row r="127">
      <c r="A127" s="35" t="inlineStr">
        <is>
          <t>LN100126</t>
        </is>
      </c>
      <c r="B127" s="35" t="inlineStr">
        <is>
          <t>Deepa Menon</t>
        </is>
      </c>
      <c r="C127" s="35" t="inlineStr">
        <is>
          <t>CHN-01</t>
        </is>
      </c>
      <c r="D127" s="36">
        <f>INDEX(Branches!$C$2:$C$15,MATCH(C127,Branches!$A$2:$A$15,0))</f>
        <v/>
      </c>
      <c r="E127" s="35" t="inlineStr">
        <is>
          <t>Auto Loan</t>
        </is>
      </c>
      <c r="F127" s="37" t="n">
        <v>45149</v>
      </c>
      <c r="G127" s="38" t="n">
        <v>1035000</v>
      </c>
      <c r="H127" s="39" t="n">
        <v>0.112</v>
      </c>
      <c r="I127" s="35" t="n">
        <v>48</v>
      </c>
      <c r="J127" s="35" t="n">
        <v>642</v>
      </c>
      <c r="K127" s="35" t="n">
        <v>0</v>
      </c>
      <c r="L127" s="40">
        <f>ROUND(PMT(H127/12,I127,-G127),0)</f>
        <v/>
      </c>
      <c r="M127" s="41">
        <f>MAX(0,(YEAR(AsOfDate)-YEAR(F127))*12+MONTH(AsOfDate)-MONTH(F127))</f>
        <v/>
      </c>
      <c r="N127" s="41">
        <f>MAX(0,MIN(I127,M127)-INT(K127/30))</f>
        <v/>
      </c>
      <c r="O127" s="40">
        <f>IF(N127&gt;=I127,0,ROUND(PV(H127/12,I127-N127,-L127),0))</f>
        <v/>
      </c>
      <c r="P127" s="40">
        <f>MIN(I127,M127)*L127-N127*L127</f>
        <v/>
      </c>
      <c r="Q127" s="41">
        <f>INDEX(DPD_Bucket,MATCH(K127,DPD_From,1))</f>
        <v/>
      </c>
      <c r="R127" s="41">
        <f>INDEX(DPD_Class,MATCH(K127,DPD_From,1))</f>
        <v/>
      </c>
      <c r="S127" s="41">
        <f>INDEX(DPD_NPA,MATCH(K127,DPD_From,1))</f>
        <v/>
      </c>
      <c r="T127" s="42">
        <f>INDEX(DPD_Prov,MATCH(K127,DPD_From,1))</f>
        <v/>
      </c>
      <c r="U127" s="40">
        <f>ROUND(O127*T127,0)</f>
        <v/>
      </c>
      <c r="V127" s="41">
        <f>INDEX(CIBIL_Grade,MATCH(J127,CIBIL_From,1))</f>
        <v/>
      </c>
      <c r="W127" s="41">
        <f>YEAR(F127)&amp;"-Q"&amp;ROUNDUP(MONTH(F127)/3,0)</f>
        <v/>
      </c>
      <c r="X127" s="41">
        <f>IF(AND(OR(Dashboard!$C$4="All",D127=Dashboard!$C$4),OR(Dashboard!$C$5="All",E127=Dashboard!$C$5)),1,0)</f>
        <v/>
      </c>
      <c r="Y127" s="43">
        <f>IF(AND(X127=1,S127="Yes"),O127+ROW()/1000000,0)</f>
        <v/>
      </c>
    </row>
    <row r="128">
      <c r="A128" s="35" t="inlineStr">
        <is>
          <t>LN100127</t>
        </is>
      </c>
      <c r="B128" s="35" t="inlineStr">
        <is>
          <t>Farhan Khan</t>
        </is>
      </c>
      <c r="C128" s="35" t="inlineStr">
        <is>
          <t>MUM-01</t>
        </is>
      </c>
      <c r="D128" s="36">
        <f>INDEX(Branches!$C$2:$C$15,MATCH(C128,Branches!$A$2:$A$15,0))</f>
        <v/>
      </c>
      <c r="E128" s="35" t="inlineStr">
        <is>
          <t>Personal Loan</t>
        </is>
      </c>
      <c r="F128" s="37" t="n">
        <v>46014</v>
      </c>
      <c r="G128" s="38" t="n">
        <v>261000</v>
      </c>
      <c r="H128" s="39" t="n">
        <v>0.1066</v>
      </c>
      <c r="I128" s="35" t="n">
        <v>48</v>
      </c>
      <c r="J128" s="35" t="n">
        <v>781</v>
      </c>
      <c r="K128" s="35" t="n">
        <v>0</v>
      </c>
      <c r="L128" s="40">
        <f>ROUND(PMT(H128/12,I128,-G128),0)</f>
        <v/>
      </c>
      <c r="M128" s="41">
        <f>MAX(0,(YEAR(AsOfDate)-YEAR(F128))*12+MONTH(AsOfDate)-MONTH(F128))</f>
        <v/>
      </c>
      <c r="N128" s="41">
        <f>MAX(0,MIN(I128,M128)-INT(K128/30))</f>
        <v/>
      </c>
      <c r="O128" s="40">
        <f>IF(N128&gt;=I128,0,ROUND(PV(H128/12,I128-N128,-L128),0))</f>
        <v/>
      </c>
      <c r="P128" s="40">
        <f>MIN(I128,M128)*L128-N128*L128</f>
        <v/>
      </c>
      <c r="Q128" s="41">
        <f>INDEX(DPD_Bucket,MATCH(K128,DPD_From,1))</f>
        <v/>
      </c>
      <c r="R128" s="41">
        <f>INDEX(DPD_Class,MATCH(K128,DPD_From,1))</f>
        <v/>
      </c>
      <c r="S128" s="41">
        <f>INDEX(DPD_NPA,MATCH(K128,DPD_From,1))</f>
        <v/>
      </c>
      <c r="T128" s="42">
        <f>INDEX(DPD_Prov,MATCH(K128,DPD_From,1))</f>
        <v/>
      </c>
      <c r="U128" s="40">
        <f>ROUND(O128*T128,0)</f>
        <v/>
      </c>
      <c r="V128" s="41">
        <f>INDEX(CIBIL_Grade,MATCH(J128,CIBIL_From,1))</f>
        <v/>
      </c>
      <c r="W128" s="41">
        <f>YEAR(F128)&amp;"-Q"&amp;ROUNDUP(MONTH(F128)/3,0)</f>
        <v/>
      </c>
      <c r="X128" s="41">
        <f>IF(AND(OR(Dashboard!$C$4="All",D128=Dashboard!$C$4),OR(Dashboard!$C$5="All",E128=Dashboard!$C$5)),1,0)</f>
        <v/>
      </c>
      <c r="Y128" s="43">
        <f>IF(AND(X128=1,S128="Yes"),O128+ROW()/1000000,0)</f>
        <v/>
      </c>
    </row>
    <row r="129">
      <c r="A129" s="35" t="inlineStr">
        <is>
          <t>LN100128</t>
        </is>
      </c>
      <c r="B129" s="35" t="inlineStr">
        <is>
          <t>Gaurav Singh</t>
        </is>
      </c>
      <c r="C129" s="35" t="inlineStr">
        <is>
          <t>BBS-01</t>
        </is>
      </c>
      <c r="D129" s="36">
        <f>INDEX(Branches!$C$2:$C$15,MATCH(C129,Branches!$A$2:$A$15,0))</f>
        <v/>
      </c>
      <c r="E129" s="35" t="inlineStr">
        <is>
          <t>Auto Loan</t>
        </is>
      </c>
      <c r="F129" s="37" t="n">
        <v>45432</v>
      </c>
      <c r="G129" s="38" t="n">
        <v>943000</v>
      </c>
      <c r="H129" s="39" t="n">
        <v>0.0993</v>
      </c>
      <c r="I129" s="35" t="n">
        <v>84</v>
      </c>
      <c r="J129" s="35" t="n">
        <v>680</v>
      </c>
      <c r="K129" s="35" t="n">
        <v>314</v>
      </c>
      <c r="L129" s="40">
        <f>ROUND(PMT(H129/12,I129,-G129),0)</f>
        <v/>
      </c>
      <c r="M129" s="41">
        <f>MAX(0,(YEAR(AsOfDate)-YEAR(F129))*12+MONTH(AsOfDate)-MONTH(F129))</f>
        <v/>
      </c>
      <c r="N129" s="41">
        <f>MAX(0,MIN(I129,M129)-INT(K129/30))</f>
        <v/>
      </c>
      <c r="O129" s="40">
        <f>IF(N129&gt;=I129,0,ROUND(PV(H129/12,I129-N129,-L129),0))</f>
        <v/>
      </c>
      <c r="P129" s="40">
        <f>MIN(I129,M129)*L129-N129*L129</f>
        <v/>
      </c>
      <c r="Q129" s="41">
        <f>INDEX(DPD_Bucket,MATCH(K129,DPD_From,1))</f>
        <v/>
      </c>
      <c r="R129" s="41">
        <f>INDEX(DPD_Class,MATCH(K129,DPD_From,1))</f>
        <v/>
      </c>
      <c r="S129" s="41">
        <f>INDEX(DPD_NPA,MATCH(K129,DPD_From,1))</f>
        <v/>
      </c>
      <c r="T129" s="42">
        <f>INDEX(DPD_Prov,MATCH(K129,DPD_From,1))</f>
        <v/>
      </c>
      <c r="U129" s="40">
        <f>ROUND(O129*T129,0)</f>
        <v/>
      </c>
      <c r="V129" s="41">
        <f>INDEX(CIBIL_Grade,MATCH(J129,CIBIL_From,1))</f>
        <v/>
      </c>
      <c r="W129" s="41">
        <f>YEAR(F129)&amp;"-Q"&amp;ROUNDUP(MONTH(F129)/3,0)</f>
        <v/>
      </c>
      <c r="X129" s="41">
        <f>IF(AND(OR(Dashboard!$C$4="All",D129=Dashboard!$C$4),OR(Dashboard!$C$5="All",E129=Dashboard!$C$5)),1,0)</f>
        <v/>
      </c>
      <c r="Y129" s="43">
        <f>IF(AND(X129=1,S129="Yes"),O129+ROW()/1000000,0)</f>
        <v/>
      </c>
    </row>
    <row r="130">
      <c r="A130" s="35" t="inlineStr">
        <is>
          <t>LN100129</t>
        </is>
      </c>
      <c r="B130" s="35" t="inlineStr">
        <is>
          <t>Sneha Reddy</t>
        </is>
      </c>
      <c r="C130" s="35" t="inlineStr">
        <is>
          <t>KOC-01</t>
        </is>
      </c>
      <c r="D130" s="36">
        <f>INDEX(Branches!$C$2:$C$15,MATCH(C130,Branches!$A$2:$A$15,0))</f>
        <v/>
      </c>
      <c r="E130" s="35" t="inlineStr">
        <is>
          <t>Home Loan</t>
        </is>
      </c>
      <c r="F130" s="37" t="n">
        <v>45940</v>
      </c>
      <c r="G130" s="38" t="n">
        <v>3336000</v>
      </c>
      <c r="H130" s="39" t="n">
        <v>0.0876</v>
      </c>
      <c r="I130" s="35" t="n">
        <v>240</v>
      </c>
      <c r="J130" s="35" t="n">
        <v>699</v>
      </c>
      <c r="K130" s="35" t="n">
        <v>0</v>
      </c>
      <c r="L130" s="40">
        <f>ROUND(PMT(H130/12,I130,-G130),0)</f>
        <v/>
      </c>
      <c r="M130" s="41">
        <f>MAX(0,(YEAR(AsOfDate)-YEAR(F130))*12+MONTH(AsOfDate)-MONTH(F130))</f>
        <v/>
      </c>
      <c r="N130" s="41">
        <f>MAX(0,MIN(I130,M130)-INT(K130/30))</f>
        <v/>
      </c>
      <c r="O130" s="40">
        <f>IF(N130&gt;=I130,0,ROUND(PV(H130/12,I130-N130,-L130),0))</f>
        <v/>
      </c>
      <c r="P130" s="40">
        <f>MIN(I130,M130)*L130-N130*L130</f>
        <v/>
      </c>
      <c r="Q130" s="41">
        <f>INDEX(DPD_Bucket,MATCH(K130,DPD_From,1))</f>
        <v/>
      </c>
      <c r="R130" s="41">
        <f>INDEX(DPD_Class,MATCH(K130,DPD_From,1))</f>
        <v/>
      </c>
      <c r="S130" s="41">
        <f>INDEX(DPD_NPA,MATCH(K130,DPD_From,1))</f>
        <v/>
      </c>
      <c r="T130" s="42">
        <f>INDEX(DPD_Prov,MATCH(K130,DPD_From,1))</f>
        <v/>
      </c>
      <c r="U130" s="40">
        <f>ROUND(O130*T130,0)</f>
        <v/>
      </c>
      <c r="V130" s="41">
        <f>INDEX(CIBIL_Grade,MATCH(J130,CIBIL_From,1))</f>
        <v/>
      </c>
      <c r="W130" s="41">
        <f>YEAR(F130)&amp;"-Q"&amp;ROUNDUP(MONTH(F130)/3,0)</f>
        <v/>
      </c>
      <c r="X130" s="41">
        <f>IF(AND(OR(Dashboard!$C$4="All",D130=Dashboard!$C$4),OR(Dashboard!$C$5="All",E130=Dashboard!$C$5)),1,0)</f>
        <v/>
      </c>
      <c r="Y130" s="43">
        <f>IF(AND(X130=1,S130="Yes"),O130+ROW()/1000000,0)</f>
        <v/>
      </c>
    </row>
    <row r="131">
      <c r="A131" s="35" t="inlineStr">
        <is>
          <t>LN100130</t>
        </is>
      </c>
      <c r="B131" s="35" t="inlineStr">
        <is>
          <t>Manish Pillai</t>
        </is>
      </c>
      <c r="C131" s="35" t="inlineStr">
        <is>
          <t>DEL-01</t>
        </is>
      </c>
      <c r="D131" s="36">
        <f>INDEX(Branches!$C$2:$C$15,MATCH(C131,Branches!$A$2:$A$15,0))</f>
        <v/>
      </c>
      <c r="E131" s="35" t="inlineStr">
        <is>
          <t>Home Loan</t>
        </is>
      </c>
      <c r="F131" s="37" t="n">
        <v>46019</v>
      </c>
      <c r="G131" s="38" t="n">
        <v>11808000</v>
      </c>
      <c r="H131" s="39" t="n">
        <v>0.0946</v>
      </c>
      <c r="I131" s="35" t="n">
        <v>120</v>
      </c>
      <c r="J131" s="35" t="n">
        <v>728</v>
      </c>
      <c r="K131" s="35" t="n">
        <v>0</v>
      </c>
      <c r="L131" s="40">
        <f>ROUND(PMT(H131/12,I131,-G131),0)</f>
        <v/>
      </c>
      <c r="M131" s="41">
        <f>MAX(0,(YEAR(AsOfDate)-YEAR(F131))*12+MONTH(AsOfDate)-MONTH(F131))</f>
        <v/>
      </c>
      <c r="N131" s="41">
        <f>MAX(0,MIN(I131,M131)-INT(K131/30))</f>
        <v/>
      </c>
      <c r="O131" s="40">
        <f>IF(N131&gt;=I131,0,ROUND(PV(H131/12,I131-N131,-L131),0))</f>
        <v/>
      </c>
      <c r="P131" s="40">
        <f>MIN(I131,M131)*L131-N131*L131</f>
        <v/>
      </c>
      <c r="Q131" s="41">
        <f>INDEX(DPD_Bucket,MATCH(K131,DPD_From,1))</f>
        <v/>
      </c>
      <c r="R131" s="41">
        <f>INDEX(DPD_Class,MATCH(K131,DPD_From,1))</f>
        <v/>
      </c>
      <c r="S131" s="41">
        <f>INDEX(DPD_NPA,MATCH(K131,DPD_From,1))</f>
        <v/>
      </c>
      <c r="T131" s="42">
        <f>INDEX(DPD_Prov,MATCH(K131,DPD_From,1))</f>
        <v/>
      </c>
      <c r="U131" s="40">
        <f>ROUND(O131*T131,0)</f>
        <v/>
      </c>
      <c r="V131" s="41">
        <f>INDEX(CIBIL_Grade,MATCH(J131,CIBIL_From,1))</f>
        <v/>
      </c>
      <c r="W131" s="41">
        <f>YEAR(F131)&amp;"-Q"&amp;ROUNDUP(MONTH(F131)/3,0)</f>
        <v/>
      </c>
      <c r="X131" s="41">
        <f>IF(AND(OR(Dashboard!$C$4="All",D131=Dashboard!$C$4),OR(Dashboard!$C$5="All",E131=Dashboard!$C$5)),1,0)</f>
        <v/>
      </c>
      <c r="Y131" s="43">
        <f>IF(AND(X131=1,S131="Yes"),O131+ROW()/1000000,0)</f>
        <v/>
      </c>
    </row>
    <row r="132">
      <c r="A132" s="35" t="inlineStr">
        <is>
          <t>LN100131</t>
        </is>
      </c>
      <c r="B132" s="35" t="inlineStr">
        <is>
          <t>Aditya Pillai</t>
        </is>
      </c>
      <c r="C132" s="35" t="inlineStr">
        <is>
          <t>DEL-01</t>
        </is>
      </c>
      <c r="D132" s="36">
        <f>INDEX(Branches!$C$2:$C$15,MATCH(C132,Branches!$A$2:$A$15,0))</f>
        <v/>
      </c>
      <c r="E132" s="35" t="inlineStr">
        <is>
          <t>Personal Loan</t>
        </is>
      </c>
      <c r="F132" s="37" t="n">
        <v>45512</v>
      </c>
      <c r="G132" s="38" t="n">
        <v>984000</v>
      </c>
      <c r="H132" s="39" t="n">
        <v>0.1647</v>
      </c>
      <c r="I132" s="35" t="n">
        <v>60</v>
      </c>
      <c r="J132" s="35" t="n">
        <v>785</v>
      </c>
      <c r="K132" s="35" t="n">
        <v>0</v>
      </c>
      <c r="L132" s="40">
        <f>ROUND(PMT(H132/12,I132,-G132),0)</f>
        <v/>
      </c>
      <c r="M132" s="41">
        <f>MAX(0,(YEAR(AsOfDate)-YEAR(F132))*12+MONTH(AsOfDate)-MONTH(F132))</f>
        <v/>
      </c>
      <c r="N132" s="41">
        <f>MAX(0,MIN(I132,M132)-INT(K132/30))</f>
        <v/>
      </c>
      <c r="O132" s="40">
        <f>IF(N132&gt;=I132,0,ROUND(PV(H132/12,I132-N132,-L132),0))</f>
        <v/>
      </c>
      <c r="P132" s="40">
        <f>MIN(I132,M132)*L132-N132*L132</f>
        <v/>
      </c>
      <c r="Q132" s="41">
        <f>INDEX(DPD_Bucket,MATCH(K132,DPD_From,1))</f>
        <v/>
      </c>
      <c r="R132" s="41">
        <f>INDEX(DPD_Class,MATCH(K132,DPD_From,1))</f>
        <v/>
      </c>
      <c r="S132" s="41">
        <f>INDEX(DPD_NPA,MATCH(K132,DPD_From,1))</f>
        <v/>
      </c>
      <c r="T132" s="42">
        <f>INDEX(DPD_Prov,MATCH(K132,DPD_From,1))</f>
        <v/>
      </c>
      <c r="U132" s="40">
        <f>ROUND(O132*T132,0)</f>
        <v/>
      </c>
      <c r="V132" s="41">
        <f>INDEX(CIBIL_Grade,MATCH(J132,CIBIL_From,1))</f>
        <v/>
      </c>
      <c r="W132" s="41">
        <f>YEAR(F132)&amp;"-Q"&amp;ROUNDUP(MONTH(F132)/3,0)</f>
        <v/>
      </c>
      <c r="X132" s="41">
        <f>IF(AND(OR(Dashboard!$C$4="All",D132=Dashboard!$C$4),OR(Dashboard!$C$5="All",E132=Dashboard!$C$5)),1,0)</f>
        <v/>
      </c>
      <c r="Y132" s="43">
        <f>IF(AND(X132=1,S132="Yes"),O132+ROW()/1000000,0)</f>
        <v/>
      </c>
    </row>
    <row r="133">
      <c r="A133" s="35" t="inlineStr">
        <is>
          <t>LN100132</t>
        </is>
      </c>
      <c r="B133" s="35" t="inlineStr">
        <is>
          <t>Gaurav Iyer</t>
        </is>
      </c>
      <c r="C133" s="35" t="inlineStr">
        <is>
          <t>JAI-01</t>
        </is>
      </c>
      <c r="D133" s="36">
        <f>INDEX(Branches!$C$2:$C$15,MATCH(C133,Branches!$A$2:$A$15,0))</f>
        <v/>
      </c>
      <c r="E133" s="35" t="inlineStr">
        <is>
          <t>Personal Loan</t>
        </is>
      </c>
      <c r="F133" s="37" t="n">
        <v>45134</v>
      </c>
      <c r="G133" s="38" t="n">
        <v>932000</v>
      </c>
      <c r="H133" s="39" t="n">
        <v>0.1338</v>
      </c>
      <c r="I133" s="35" t="n">
        <v>36</v>
      </c>
      <c r="J133" s="35" t="n">
        <v>676</v>
      </c>
      <c r="K133" s="35" t="n">
        <v>512</v>
      </c>
      <c r="L133" s="40">
        <f>ROUND(PMT(H133/12,I133,-G133),0)</f>
        <v/>
      </c>
      <c r="M133" s="41">
        <f>MAX(0,(YEAR(AsOfDate)-YEAR(F133))*12+MONTH(AsOfDate)-MONTH(F133))</f>
        <v/>
      </c>
      <c r="N133" s="41">
        <f>MAX(0,MIN(I133,M133)-INT(K133/30))</f>
        <v/>
      </c>
      <c r="O133" s="40">
        <f>IF(N133&gt;=I133,0,ROUND(PV(H133/12,I133-N133,-L133),0))</f>
        <v/>
      </c>
      <c r="P133" s="40">
        <f>MIN(I133,M133)*L133-N133*L133</f>
        <v/>
      </c>
      <c r="Q133" s="41">
        <f>INDEX(DPD_Bucket,MATCH(K133,DPD_From,1))</f>
        <v/>
      </c>
      <c r="R133" s="41">
        <f>INDEX(DPD_Class,MATCH(K133,DPD_From,1))</f>
        <v/>
      </c>
      <c r="S133" s="41">
        <f>INDEX(DPD_NPA,MATCH(K133,DPD_From,1))</f>
        <v/>
      </c>
      <c r="T133" s="42">
        <f>INDEX(DPD_Prov,MATCH(K133,DPD_From,1))</f>
        <v/>
      </c>
      <c r="U133" s="40">
        <f>ROUND(O133*T133,0)</f>
        <v/>
      </c>
      <c r="V133" s="41">
        <f>INDEX(CIBIL_Grade,MATCH(J133,CIBIL_From,1))</f>
        <v/>
      </c>
      <c r="W133" s="41">
        <f>YEAR(F133)&amp;"-Q"&amp;ROUNDUP(MONTH(F133)/3,0)</f>
        <v/>
      </c>
      <c r="X133" s="41">
        <f>IF(AND(OR(Dashboard!$C$4="All",D133=Dashboard!$C$4),OR(Dashboard!$C$5="All",E133=Dashboard!$C$5)),1,0)</f>
        <v/>
      </c>
      <c r="Y133" s="43">
        <f>IF(AND(X133=1,S133="Yes"),O133+ROW()/1000000,0)</f>
        <v/>
      </c>
    </row>
    <row r="134">
      <c r="A134" s="35" t="inlineStr">
        <is>
          <t>LN100133</t>
        </is>
      </c>
      <c r="B134" s="35" t="inlineStr">
        <is>
          <t>Suresh Pillai</t>
        </is>
      </c>
      <c r="C134" s="35" t="inlineStr">
        <is>
          <t>LKO-01</t>
        </is>
      </c>
      <c r="D134" s="36">
        <f>INDEX(Branches!$C$2:$C$15,MATCH(C134,Branches!$A$2:$A$15,0))</f>
        <v/>
      </c>
      <c r="E134" s="35" t="inlineStr">
        <is>
          <t>Personal Loan</t>
        </is>
      </c>
      <c r="F134" s="37" t="n">
        <v>45252</v>
      </c>
      <c r="G134" s="38" t="n">
        <v>311000</v>
      </c>
      <c r="H134" s="39" t="n">
        <v>0.1096</v>
      </c>
      <c r="I134" s="35" t="n">
        <v>12</v>
      </c>
      <c r="J134" s="35" t="n">
        <v>795</v>
      </c>
      <c r="K134" s="35" t="n">
        <v>0</v>
      </c>
      <c r="L134" s="40">
        <f>ROUND(PMT(H134/12,I134,-G134),0)</f>
        <v/>
      </c>
      <c r="M134" s="41">
        <f>MAX(0,(YEAR(AsOfDate)-YEAR(F134))*12+MONTH(AsOfDate)-MONTH(F134))</f>
        <v/>
      </c>
      <c r="N134" s="41">
        <f>MAX(0,MIN(I134,M134)-INT(K134/30))</f>
        <v/>
      </c>
      <c r="O134" s="40">
        <f>IF(N134&gt;=I134,0,ROUND(PV(H134/12,I134-N134,-L134),0))</f>
        <v/>
      </c>
      <c r="P134" s="40">
        <f>MIN(I134,M134)*L134-N134*L134</f>
        <v/>
      </c>
      <c r="Q134" s="41">
        <f>INDEX(DPD_Bucket,MATCH(K134,DPD_From,1))</f>
        <v/>
      </c>
      <c r="R134" s="41">
        <f>INDEX(DPD_Class,MATCH(K134,DPD_From,1))</f>
        <v/>
      </c>
      <c r="S134" s="41">
        <f>INDEX(DPD_NPA,MATCH(K134,DPD_From,1))</f>
        <v/>
      </c>
      <c r="T134" s="42">
        <f>INDEX(DPD_Prov,MATCH(K134,DPD_From,1))</f>
        <v/>
      </c>
      <c r="U134" s="40">
        <f>ROUND(O134*T134,0)</f>
        <v/>
      </c>
      <c r="V134" s="41">
        <f>INDEX(CIBIL_Grade,MATCH(J134,CIBIL_From,1))</f>
        <v/>
      </c>
      <c r="W134" s="41">
        <f>YEAR(F134)&amp;"-Q"&amp;ROUNDUP(MONTH(F134)/3,0)</f>
        <v/>
      </c>
      <c r="X134" s="41">
        <f>IF(AND(OR(Dashboard!$C$4="All",D134=Dashboard!$C$4),OR(Dashboard!$C$5="All",E134=Dashboard!$C$5)),1,0)</f>
        <v/>
      </c>
      <c r="Y134" s="43">
        <f>IF(AND(X134=1,S134="Yes"),O134+ROW()/1000000,0)</f>
        <v/>
      </c>
    </row>
    <row r="135">
      <c r="A135" s="35" t="inlineStr">
        <is>
          <t>LN100134</t>
        </is>
      </c>
      <c r="B135" s="35" t="inlineStr">
        <is>
          <t>Reyansh Verma</t>
        </is>
      </c>
      <c r="C135" s="35" t="inlineStr">
        <is>
          <t>KOC-01</t>
        </is>
      </c>
      <c r="D135" s="36">
        <f>INDEX(Branches!$C$2:$C$15,MATCH(C135,Branches!$A$2:$A$15,0))</f>
        <v/>
      </c>
      <c r="E135" s="35" t="inlineStr">
        <is>
          <t>Home Loan</t>
        </is>
      </c>
      <c r="F135" s="37" t="n">
        <v>46001</v>
      </c>
      <c r="G135" s="38" t="n">
        <v>11199000</v>
      </c>
      <c r="H135" s="39" t="n">
        <v>0.0979</v>
      </c>
      <c r="I135" s="35" t="n">
        <v>180</v>
      </c>
      <c r="J135" s="35" t="n">
        <v>696</v>
      </c>
      <c r="K135" s="35" t="n">
        <v>0</v>
      </c>
      <c r="L135" s="40">
        <f>ROUND(PMT(H135/12,I135,-G135),0)</f>
        <v/>
      </c>
      <c r="M135" s="41">
        <f>MAX(0,(YEAR(AsOfDate)-YEAR(F135))*12+MONTH(AsOfDate)-MONTH(F135))</f>
        <v/>
      </c>
      <c r="N135" s="41">
        <f>MAX(0,MIN(I135,M135)-INT(K135/30))</f>
        <v/>
      </c>
      <c r="O135" s="40">
        <f>IF(N135&gt;=I135,0,ROUND(PV(H135/12,I135-N135,-L135),0))</f>
        <v/>
      </c>
      <c r="P135" s="40">
        <f>MIN(I135,M135)*L135-N135*L135</f>
        <v/>
      </c>
      <c r="Q135" s="41">
        <f>INDEX(DPD_Bucket,MATCH(K135,DPD_From,1))</f>
        <v/>
      </c>
      <c r="R135" s="41">
        <f>INDEX(DPD_Class,MATCH(K135,DPD_From,1))</f>
        <v/>
      </c>
      <c r="S135" s="41">
        <f>INDEX(DPD_NPA,MATCH(K135,DPD_From,1))</f>
        <v/>
      </c>
      <c r="T135" s="42">
        <f>INDEX(DPD_Prov,MATCH(K135,DPD_From,1))</f>
        <v/>
      </c>
      <c r="U135" s="40">
        <f>ROUND(O135*T135,0)</f>
        <v/>
      </c>
      <c r="V135" s="41">
        <f>INDEX(CIBIL_Grade,MATCH(J135,CIBIL_From,1))</f>
        <v/>
      </c>
      <c r="W135" s="41">
        <f>YEAR(F135)&amp;"-Q"&amp;ROUNDUP(MONTH(F135)/3,0)</f>
        <v/>
      </c>
      <c r="X135" s="41">
        <f>IF(AND(OR(Dashboard!$C$4="All",D135=Dashboard!$C$4),OR(Dashboard!$C$5="All",E135=Dashboard!$C$5)),1,0)</f>
        <v/>
      </c>
      <c r="Y135" s="43">
        <f>IF(AND(X135=1,S135="Yes"),O135+ROW()/1000000,0)</f>
        <v/>
      </c>
    </row>
    <row r="136">
      <c r="A136" s="35" t="inlineStr">
        <is>
          <t>LN100135</t>
        </is>
      </c>
      <c r="B136" s="35" t="inlineStr">
        <is>
          <t>Manish Rao</t>
        </is>
      </c>
      <c r="C136" s="35" t="inlineStr">
        <is>
          <t>KOL-01</t>
        </is>
      </c>
      <c r="D136" s="36">
        <f>INDEX(Branches!$C$2:$C$15,MATCH(C136,Branches!$A$2:$A$15,0))</f>
        <v/>
      </c>
      <c r="E136" s="35" t="inlineStr">
        <is>
          <t>Personal Loan</t>
        </is>
      </c>
      <c r="F136" s="37" t="n">
        <v>45848</v>
      </c>
      <c r="G136" s="38" t="n">
        <v>937000</v>
      </c>
      <c r="H136" s="39" t="n">
        <v>0.1642</v>
      </c>
      <c r="I136" s="35" t="n">
        <v>60</v>
      </c>
      <c r="J136" s="35" t="n">
        <v>654</v>
      </c>
      <c r="K136" s="35" t="n">
        <v>0</v>
      </c>
      <c r="L136" s="40">
        <f>ROUND(PMT(H136/12,I136,-G136),0)</f>
        <v/>
      </c>
      <c r="M136" s="41">
        <f>MAX(0,(YEAR(AsOfDate)-YEAR(F136))*12+MONTH(AsOfDate)-MONTH(F136))</f>
        <v/>
      </c>
      <c r="N136" s="41">
        <f>MAX(0,MIN(I136,M136)-INT(K136/30))</f>
        <v/>
      </c>
      <c r="O136" s="40">
        <f>IF(N136&gt;=I136,0,ROUND(PV(H136/12,I136-N136,-L136),0))</f>
        <v/>
      </c>
      <c r="P136" s="40">
        <f>MIN(I136,M136)*L136-N136*L136</f>
        <v/>
      </c>
      <c r="Q136" s="41">
        <f>INDEX(DPD_Bucket,MATCH(K136,DPD_From,1))</f>
        <v/>
      </c>
      <c r="R136" s="41">
        <f>INDEX(DPD_Class,MATCH(K136,DPD_From,1))</f>
        <v/>
      </c>
      <c r="S136" s="41">
        <f>INDEX(DPD_NPA,MATCH(K136,DPD_From,1))</f>
        <v/>
      </c>
      <c r="T136" s="42">
        <f>INDEX(DPD_Prov,MATCH(K136,DPD_From,1))</f>
        <v/>
      </c>
      <c r="U136" s="40">
        <f>ROUND(O136*T136,0)</f>
        <v/>
      </c>
      <c r="V136" s="41">
        <f>INDEX(CIBIL_Grade,MATCH(J136,CIBIL_From,1))</f>
        <v/>
      </c>
      <c r="W136" s="41">
        <f>YEAR(F136)&amp;"-Q"&amp;ROUNDUP(MONTH(F136)/3,0)</f>
        <v/>
      </c>
      <c r="X136" s="41">
        <f>IF(AND(OR(Dashboard!$C$4="All",D136=Dashboard!$C$4),OR(Dashboard!$C$5="All",E136=Dashboard!$C$5)),1,0)</f>
        <v/>
      </c>
      <c r="Y136" s="43">
        <f>IF(AND(X136=1,S136="Yes"),O136+ROW()/1000000,0)</f>
        <v/>
      </c>
    </row>
    <row r="137">
      <c r="A137" s="35" t="inlineStr">
        <is>
          <t>LN100136</t>
        </is>
      </c>
      <c r="B137" s="35" t="inlineStr">
        <is>
          <t>Deepa Reddy</t>
        </is>
      </c>
      <c r="C137" s="35" t="inlineStr">
        <is>
          <t>PUN-01</t>
        </is>
      </c>
      <c r="D137" s="36">
        <f>INDEX(Branches!$C$2:$C$15,MATCH(C137,Branches!$A$2:$A$15,0))</f>
        <v/>
      </c>
      <c r="E137" s="35" t="inlineStr">
        <is>
          <t>Personal Loan</t>
        </is>
      </c>
      <c r="F137" s="37" t="n">
        <v>45498</v>
      </c>
      <c r="G137" s="38" t="n">
        <v>534000</v>
      </c>
      <c r="H137" s="39" t="n">
        <v>0.1542</v>
      </c>
      <c r="I137" s="35" t="n">
        <v>12</v>
      </c>
      <c r="J137" s="35" t="n">
        <v>827</v>
      </c>
      <c r="K137" s="35" t="n">
        <v>0</v>
      </c>
      <c r="L137" s="40">
        <f>ROUND(PMT(H137/12,I137,-G137),0)</f>
        <v/>
      </c>
      <c r="M137" s="41">
        <f>MAX(0,(YEAR(AsOfDate)-YEAR(F137))*12+MONTH(AsOfDate)-MONTH(F137))</f>
        <v/>
      </c>
      <c r="N137" s="41">
        <f>MAX(0,MIN(I137,M137)-INT(K137/30))</f>
        <v/>
      </c>
      <c r="O137" s="40">
        <f>IF(N137&gt;=I137,0,ROUND(PV(H137/12,I137-N137,-L137),0))</f>
        <v/>
      </c>
      <c r="P137" s="40">
        <f>MIN(I137,M137)*L137-N137*L137</f>
        <v/>
      </c>
      <c r="Q137" s="41">
        <f>INDEX(DPD_Bucket,MATCH(K137,DPD_From,1))</f>
        <v/>
      </c>
      <c r="R137" s="41">
        <f>INDEX(DPD_Class,MATCH(K137,DPD_From,1))</f>
        <v/>
      </c>
      <c r="S137" s="41">
        <f>INDEX(DPD_NPA,MATCH(K137,DPD_From,1))</f>
        <v/>
      </c>
      <c r="T137" s="42">
        <f>INDEX(DPD_Prov,MATCH(K137,DPD_From,1))</f>
        <v/>
      </c>
      <c r="U137" s="40">
        <f>ROUND(O137*T137,0)</f>
        <v/>
      </c>
      <c r="V137" s="41">
        <f>INDEX(CIBIL_Grade,MATCH(J137,CIBIL_From,1))</f>
        <v/>
      </c>
      <c r="W137" s="41">
        <f>YEAR(F137)&amp;"-Q"&amp;ROUNDUP(MONTH(F137)/3,0)</f>
        <v/>
      </c>
      <c r="X137" s="41">
        <f>IF(AND(OR(Dashboard!$C$4="All",D137=Dashboard!$C$4),OR(Dashboard!$C$5="All",E137=Dashboard!$C$5)),1,0)</f>
        <v/>
      </c>
      <c r="Y137" s="43">
        <f>IF(AND(X137=1,S137="Yes"),O137+ROW()/1000000,0)</f>
        <v/>
      </c>
    </row>
    <row r="138">
      <c r="A138" s="35" t="inlineStr">
        <is>
          <t>LN100137</t>
        </is>
      </c>
      <c r="B138" s="35" t="inlineStr">
        <is>
          <t>Tanvi Reddy</t>
        </is>
      </c>
      <c r="C138" s="35" t="inlineStr">
        <is>
          <t>KOL-01</t>
        </is>
      </c>
      <c r="D138" s="36">
        <f>INDEX(Branches!$C$2:$C$15,MATCH(C138,Branches!$A$2:$A$15,0))</f>
        <v/>
      </c>
      <c r="E138" s="35" t="inlineStr">
        <is>
          <t>Personal Loan</t>
        </is>
      </c>
      <c r="F138" s="37" t="n">
        <v>46000</v>
      </c>
      <c r="G138" s="38" t="n">
        <v>1084000</v>
      </c>
      <c r="H138" s="39" t="n">
        <v>0.176</v>
      </c>
      <c r="I138" s="35" t="n">
        <v>24</v>
      </c>
      <c r="J138" s="35" t="n">
        <v>715</v>
      </c>
      <c r="K138" s="35" t="n">
        <v>0</v>
      </c>
      <c r="L138" s="40">
        <f>ROUND(PMT(H138/12,I138,-G138),0)</f>
        <v/>
      </c>
      <c r="M138" s="41">
        <f>MAX(0,(YEAR(AsOfDate)-YEAR(F138))*12+MONTH(AsOfDate)-MONTH(F138))</f>
        <v/>
      </c>
      <c r="N138" s="41">
        <f>MAX(0,MIN(I138,M138)-INT(K138/30))</f>
        <v/>
      </c>
      <c r="O138" s="40">
        <f>IF(N138&gt;=I138,0,ROUND(PV(H138/12,I138-N138,-L138),0))</f>
        <v/>
      </c>
      <c r="P138" s="40">
        <f>MIN(I138,M138)*L138-N138*L138</f>
        <v/>
      </c>
      <c r="Q138" s="41">
        <f>INDEX(DPD_Bucket,MATCH(K138,DPD_From,1))</f>
        <v/>
      </c>
      <c r="R138" s="41">
        <f>INDEX(DPD_Class,MATCH(K138,DPD_From,1))</f>
        <v/>
      </c>
      <c r="S138" s="41">
        <f>INDEX(DPD_NPA,MATCH(K138,DPD_From,1))</f>
        <v/>
      </c>
      <c r="T138" s="42">
        <f>INDEX(DPD_Prov,MATCH(K138,DPD_From,1))</f>
        <v/>
      </c>
      <c r="U138" s="40">
        <f>ROUND(O138*T138,0)</f>
        <v/>
      </c>
      <c r="V138" s="41">
        <f>INDEX(CIBIL_Grade,MATCH(J138,CIBIL_From,1))</f>
        <v/>
      </c>
      <c r="W138" s="41">
        <f>YEAR(F138)&amp;"-Q"&amp;ROUNDUP(MONTH(F138)/3,0)</f>
        <v/>
      </c>
      <c r="X138" s="41">
        <f>IF(AND(OR(Dashboard!$C$4="All",D138=Dashboard!$C$4),OR(Dashboard!$C$5="All",E138=Dashboard!$C$5)),1,0)</f>
        <v/>
      </c>
      <c r="Y138" s="43">
        <f>IF(AND(X138=1,S138="Yes"),O138+ROW()/1000000,0)</f>
        <v/>
      </c>
    </row>
    <row r="139">
      <c r="A139" s="35" t="inlineStr">
        <is>
          <t>LN100138</t>
        </is>
      </c>
      <c r="B139" s="35" t="inlineStr">
        <is>
          <t>Aarav Menon</t>
        </is>
      </c>
      <c r="C139" s="35" t="inlineStr">
        <is>
          <t>MUM-01</t>
        </is>
      </c>
      <c r="D139" s="36">
        <f>INDEX(Branches!$C$2:$C$15,MATCH(C139,Branches!$A$2:$A$15,0))</f>
        <v/>
      </c>
      <c r="E139" s="35" t="inlineStr">
        <is>
          <t>Gold Loan</t>
        </is>
      </c>
      <c r="F139" s="37" t="n">
        <v>45306</v>
      </c>
      <c r="G139" s="38" t="n">
        <v>131000</v>
      </c>
      <c r="H139" s="39" t="n">
        <v>0.0964</v>
      </c>
      <c r="I139" s="35" t="n">
        <v>6</v>
      </c>
      <c r="J139" s="35" t="n">
        <v>784</v>
      </c>
      <c r="K139" s="35" t="n">
        <v>0</v>
      </c>
      <c r="L139" s="40">
        <f>ROUND(PMT(H139/12,I139,-G139),0)</f>
        <v/>
      </c>
      <c r="M139" s="41">
        <f>MAX(0,(YEAR(AsOfDate)-YEAR(F139))*12+MONTH(AsOfDate)-MONTH(F139))</f>
        <v/>
      </c>
      <c r="N139" s="41">
        <f>MAX(0,MIN(I139,M139)-INT(K139/30))</f>
        <v/>
      </c>
      <c r="O139" s="40">
        <f>IF(N139&gt;=I139,0,ROUND(PV(H139/12,I139-N139,-L139),0))</f>
        <v/>
      </c>
      <c r="P139" s="40">
        <f>MIN(I139,M139)*L139-N139*L139</f>
        <v/>
      </c>
      <c r="Q139" s="41">
        <f>INDEX(DPD_Bucket,MATCH(K139,DPD_From,1))</f>
        <v/>
      </c>
      <c r="R139" s="41">
        <f>INDEX(DPD_Class,MATCH(K139,DPD_From,1))</f>
        <v/>
      </c>
      <c r="S139" s="41">
        <f>INDEX(DPD_NPA,MATCH(K139,DPD_From,1))</f>
        <v/>
      </c>
      <c r="T139" s="42">
        <f>INDEX(DPD_Prov,MATCH(K139,DPD_From,1))</f>
        <v/>
      </c>
      <c r="U139" s="40">
        <f>ROUND(O139*T139,0)</f>
        <v/>
      </c>
      <c r="V139" s="41">
        <f>INDEX(CIBIL_Grade,MATCH(J139,CIBIL_From,1))</f>
        <v/>
      </c>
      <c r="W139" s="41">
        <f>YEAR(F139)&amp;"-Q"&amp;ROUNDUP(MONTH(F139)/3,0)</f>
        <v/>
      </c>
      <c r="X139" s="41">
        <f>IF(AND(OR(Dashboard!$C$4="All",D139=Dashboard!$C$4),OR(Dashboard!$C$5="All",E139=Dashboard!$C$5)),1,0)</f>
        <v/>
      </c>
      <c r="Y139" s="43">
        <f>IF(AND(X139=1,S139="Yes"),O139+ROW()/1000000,0)</f>
        <v/>
      </c>
    </row>
    <row r="140">
      <c r="A140" s="35" t="inlineStr">
        <is>
          <t>LN100139</t>
        </is>
      </c>
      <c r="B140" s="35" t="inlineStr">
        <is>
          <t>Gaurav Nair</t>
        </is>
      </c>
      <c r="C140" s="35" t="inlineStr">
        <is>
          <t>LKO-01</t>
        </is>
      </c>
      <c r="D140" s="36">
        <f>INDEX(Branches!$C$2:$C$15,MATCH(C140,Branches!$A$2:$A$15,0))</f>
        <v/>
      </c>
      <c r="E140" s="35" t="inlineStr">
        <is>
          <t>Gold Loan</t>
        </is>
      </c>
      <c r="F140" s="37" t="n">
        <v>45780</v>
      </c>
      <c r="G140" s="38" t="n">
        <v>397000</v>
      </c>
      <c r="H140" s="39" t="n">
        <v>0.1151</v>
      </c>
      <c r="I140" s="35" t="n">
        <v>12</v>
      </c>
      <c r="J140" s="35" t="n">
        <v>739</v>
      </c>
      <c r="K140" s="35" t="n">
        <v>0</v>
      </c>
      <c r="L140" s="40">
        <f>ROUND(PMT(H140/12,I140,-G140),0)</f>
        <v/>
      </c>
      <c r="M140" s="41">
        <f>MAX(0,(YEAR(AsOfDate)-YEAR(F140))*12+MONTH(AsOfDate)-MONTH(F140))</f>
        <v/>
      </c>
      <c r="N140" s="41">
        <f>MAX(0,MIN(I140,M140)-INT(K140/30))</f>
        <v/>
      </c>
      <c r="O140" s="40">
        <f>IF(N140&gt;=I140,0,ROUND(PV(H140/12,I140-N140,-L140),0))</f>
        <v/>
      </c>
      <c r="P140" s="40">
        <f>MIN(I140,M140)*L140-N140*L140</f>
        <v/>
      </c>
      <c r="Q140" s="41">
        <f>INDEX(DPD_Bucket,MATCH(K140,DPD_From,1))</f>
        <v/>
      </c>
      <c r="R140" s="41">
        <f>INDEX(DPD_Class,MATCH(K140,DPD_From,1))</f>
        <v/>
      </c>
      <c r="S140" s="41">
        <f>INDEX(DPD_NPA,MATCH(K140,DPD_From,1))</f>
        <v/>
      </c>
      <c r="T140" s="42">
        <f>INDEX(DPD_Prov,MATCH(K140,DPD_From,1))</f>
        <v/>
      </c>
      <c r="U140" s="40">
        <f>ROUND(O140*T140,0)</f>
        <v/>
      </c>
      <c r="V140" s="41">
        <f>INDEX(CIBIL_Grade,MATCH(J140,CIBIL_From,1))</f>
        <v/>
      </c>
      <c r="W140" s="41">
        <f>YEAR(F140)&amp;"-Q"&amp;ROUNDUP(MONTH(F140)/3,0)</f>
        <v/>
      </c>
      <c r="X140" s="41">
        <f>IF(AND(OR(Dashboard!$C$4="All",D140=Dashboard!$C$4),OR(Dashboard!$C$5="All",E140=Dashboard!$C$5)),1,0)</f>
        <v/>
      </c>
      <c r="Y140" s="43">
        <f>IF(AND(X140=1,S140="Yes"),O140+ROW()/1000000,0)</f>
        <v/>
      </c>
    </row>
    <row r="141">
      <c r="A141" s="35" t="inlineStr">
        <is>
          <t>LN100140</t>
        </is>
      </c>
      <c r="B141" s="35" t="inlineStr">
        <is>
          <t>Suresh Reddy</t>
        </is>
      </c>
      <c r="C141" s="35" t="inlineStr">
        <is>
          <t>JAI-01</t>
        </is>
      </c>
      <c r="D141" s="36">
        <f>INDEX(Branches!$C$2:$C$15,MATCH(C141,Branches!$A$2:$A$15,0))</f>
        <v/>
      </c>
      <c r="E141" s="35" t="inlineStr">
        <is>
          <t>Gold Loan</t>
        </is>
      </c>
      <c r="F141" s="37" t="n">
        <v>45484</v>
      </c>
      <c r="G141" s="38" t="n">
        <v>220000</v>
      </c>
      <c r="H141" s="39" t="n">
        <v>0.0949</v>
      </c>
      <c r="I141" s="35" t="n">
        <v>6</v>
      </c>
      <c r="J141" s="35" t="n">
        <v>764</v>
      </c>
      <c r="K141" s="35" t="n">
        <v>0</v>
      </c>
      <c r="L141" s="40">
        <f>ROUND(PMT(H141/12,I141,-G141),0)</f>
        <v/>
      </c>
      <c r="M141" s="41">
        <f>MAX(0,(YEAR(AsOfDate)-YEAR(F141))*12+MONTH(AsOfDate)-MONTH(F141))</f>
        <v/>
      </c>
      <c r="N141" s="41">
        <f>MAX(0,MIN(I141,M141)-INT(K141/30))</f>
        <v/>
      </c>
      <c r="O141" s="40">
        <f>IF(N141&gt;=I141,0,ROUND(PV(H141/12,I141-N141,-L141),0))</f>
        <v/>
      </c>
      <c r="P141" s="40">
        <f>MIN(I141,M141)*L141-N141*L141</f>
        <v/>
      </c>
      <c r="Q141" s="41">
        <f>INDEX(DPD_Bucket,MATCH(K141,DPD_From,1))</f>
        <v/>
      </c>
      <c r="R141" s="41">
        <f>INDEX(DPD_Class,MATCH(K141,DPD_From,1))</f>
        <v/>
      </c>
      <c r="S141" s="41">
        <f>INDEX(DPD_NPA,MATCH(K141,DPD_From,1))</f>
        <v/>
      </c>
      <c r="T141" s="42">
        <f>INDEX(DPD_Prov,MATCH(K141,DPD_From,1))</f>
        <v/>
      </c>
      <c r="U141" s="40">
        <f>ROUND(O141*T141,0)</f>
        <v/>
      </c>
      <c r="V141" s="41">
        <f>INDEX(CIBIL_Grade,MATCH(J141,CIBIL_From,1))</f>
        <v/>
      </c>
      <c r="W141" s="41">
        <f>YEAR(F141)&amp;"-Q"&amp;ROUNDUP(MONTH(F141)/3,0)</f>
        <v/>
      </c>
      <c r="X141" s="41">
        <f>IF(AND(OR(Dashboard!$C$4="All",D141=Dashboard!$C$4),OR(Dashboard!$C$5="All",E141=Dashboard!$C$5)),1,0)</f>
        <v/>
      </c>
      <c r="Y141" s="43">
        <f>IF(AND(X141=1,S141="Yes"),O141+ROW()/1000000,0)</f>
        <v/>
      </c>
    </row>
    <row r="142">
      <c r="A142" s="35" t="inlineStr">
        <is>
          <t>LN100141</t>
        </is>
      </c>
      <c r="B142" s="35" t="inlineStr">
        <is>
          <t>Riya Sahoo</t>
        </is>
      </c>
      <c r="C142" s="35" t="inlineStr">
        <is>
          <t>MUM-01</t>
        </is>
      </c>
      <c r="D142" s="36">
        <f>INDEX(Branches!$C$2:$C$15,MATCH(C142,Branches!$A$2:$A$15,0))</f>
        <v/>
      </c>
      <c r="E142" s="35" t="inlineStr">
        <is>
          <t>Business Loan</t>
        </is>
      </c>
      <c r="F142" s="37" t="n">
        <v>45277</v>
      </c>
      <c r="G142" s="38" t="n">
        <v>3886000</v>
      </c>
      <c r="H142" s="39" t="n">
        <v>0.1849</v>
      </c>
      <c r="I142" s="35" t="n">
        <v>24</v>
      </c>
      <c r="J142" s="35" t="n">
        <v>785</v>
      </c>
      <c r="K142" s="35" t="n">
        <v>0</v>
      </c>
      <c r="L142" s="40">
        <f>ROUND(PMT(H142/12,I142,-G142),0)</f>
        <v/>
      </c>
      <c r="M142" s="41">
        <f>MAX(0,(YEAR(AsOfDate)-YEAR(F142))*12+MONTH(AsOfDate)-MONTH(F142))</f>
        <v/>
      </c>
      <c r="N142" s="41">
        <f>MAX(0,MIN(I142,M142)-INT(K142/30))</f>
        <v/>
      </c>
      <c r="O142" s="40">
        <f>IF(N142&gt;=I142,0,ROUND(PV(H142/12,I142-N142,-L142),0))</f>
        <v/>
      </c>
      <c r="P142" s="40">
        <f>MIN(I142,M142)*L142-N142*L142</f>
        <v/>
      </c>
      <c r="Q142" s="41">
        <f>INDEX(DPD_Bucket,MATCH(K142,DPD_From,1))</f>
        <v/>
      </c>
      <c r="R142" s="41">
        <f>INDEX(DPD_Class,MATCH(K142,DPD_From,1))</f>
        <v/>
      </c>
      <c r="S142" s="41">
        <f>INDEX(DPD_NPA,MATCH(K142,DPD_From,1))</f>
        <v/>
      </c>
      <c r="T142" s="42">
        <f>INDEX(DPD_Prov,MATCH(K142,DPD_From,1))</f>
        <v/>
      </c>
      <c r="U142" s="40">
        <f>ROUND(O142*T142,0)</f>
        <v/>
      </c>
      <c r="V142" s="41">
        <f>INDEX(CIBIL_Grade,MATCH(J142,CIBIL_From,1))</f>
        <v/>
      </c>
      <c r="W142" s="41">
        <f>YEAR(F142)&amp;"-Q"&amp;ROUNDUP(MONTH(F142)/3,0)</f>
        <v/>
      </c>
      <c r="X142" s="41">
        <f>IF(AND(OR(Dashboard!$C$4="All",D142=Dashboard!$C$4),OR(Dashboard!$C$5="All",E142=Dashboard!$C$5)),1,0)</f>
        <v/>
      </c>
      <c r="Y142" s="43">
        <f>IF(AND(X142=1,S142="Yes"),O142+ROW()/1000000,0)</f>
        <v/>
      </c>
    </row>
    <row r="143">
      <c r="A143" s="35" t="inlineStr">
        <is>
          <t>LN100142</t>
        </is>
      </c>
      <c r="B143" s="35" t="inlineStr">
        <is>
          <t>Nikhil Pillai</t>
        </is>
      </c>
      <c r="C143" s="35" t="inlineStr">
        <is>
          <t>GUW-01</t>
        </is>
      </c>
      <c r="D143" s="36">
        <f>INDEX(Branches!$C$2:$C$15,MATCH(C143,Branches!$A$2:$A$15,0))</f>
        <v/>
      </c>
      <c r="E143" s="35" t="inlineStr">
        <is>
          <t>Auto Loan</t>
        </is>
      </c>
      <c r="F143" s="37" t="n">
        <v>45540</v>
      </c>
      <c r="G143" s="38" t="n">
        <v>710000</v>
      </c>
      <c r="H143" s="39" t="n">
        <v>0.11</v>
      </c>
      <c r="I143" s="35" t="n">
        <v>48</v>
      </c>
      <c r="J143" s="35" t="n">
        <v>749</v>
      </c>
      <c r="K143" s="35" t="n">
        <v>0</v>
      </c>
      <c r="L143" s="40">
        <f>ROUND(PMT(H143/12,I143,-G143),0)</f>
        <v/>
      </c>
      <c r="M143" s="41">
        <f>MAX(0,(YEAR(AsOfDate)-YEAR(F143))*12+MONTH(AsOfDate)-MONTH(F143))</f>
        <v/>
      </c>
      <c r="N143" s="41">
        <f>MAX(0,MIN(I143,M143)-INT(K143/30))</f>
        <v/>
      </c>
      <c r="O143" s="40">
        <f>IF(N143&gt;=I143,0,ROUND(PV(H143/12,I143-N143,-L143),0))</f>
        <v/>
      </c>
      <c r="P143" s="40">
        <f>MIN(I143,M143)*L143-N143*L143</f>
        <v/>
      </c>
      <c r="Q143" s="41">
        <f>INDEX(DPD_Bucket,MATCH(K143,DPD_From,1))</f>
        <v/>
      </c>
      <c r="R143" s="41">
        <f>INDEX(DPD_Class,MATCH(K143,DPD_From,1))</f>
        <v/>
      </c>
      <c r="S143" s="41">
        <f>INDEX(DPD_NPA,MATCH(K143,DPD_From,1))</f>
        <v/>
      </c>
      <c r="T143" s="42">
        <f>INDEX(DPD_Prov,MATCH(K143,DPD_From,1))</f>
        <v/>
      </c>
      <c r="U143" s="40">
        <f>ROUND(O143*T143,0)</f>
        <v/>
      </c>
      <c r="V143" s="41">
        <f>INDEX(CIBIL_Grade,MATCH(J143,CIBIL_From,1))</f>
        <v/>
      </c>
      <c r="W143" s="41">
        <f>YEAR(F143)&amp;"-Q"&amp;ROUNDUP(MONTH(F143)/3,0)</f>
        <v/>
      </c>
      <c r="X143" s="41">
        <f>IF(AND(OR(Dashboard!$C$4="All",D143=Dashboard!$C$4),OR(Dashboard!$C$5="All",E143=Dashboard!$C$5)),1,0)</f>
        <v/>
      </c>
      <c r="Y143" s="43">
        <f>IF(AND(X143=1,S143="Yes"),O143+ROW()/1000000,0)</f>
        <v/>
      </c>
    </row>
    <row r="144">
      <c r="A144" s="35" t="inlineStr">
        <is>
          <t>LN100143</t>
        </is>
      </c>
      <c r="B144" s="35" t="inlineStr">
        <is>
          <t>Meera Patel</t>
        </is>
      </c>
      <c r="C144" s="35" t="inlineStr">
        <is>
          <t>GUW-01</t>
        </is>
      </c>
      <c r="D144" s="36">
        <f>INDEX(Branches!$C$2:$C$15,MATCH(C144,Branches!$A$2:$A$15,0))</f>
        <v/>
      </c>
      <c r="E144" s="35" t="inlineStr">
        <is>
          <t>Personal Loan</t>
        </is>
      </c>
      <c r="F144" s="37" t="n">
        <v>45228</v>
      </c>
      <c r="G144" s="38" t="n">
        <v>380000</v>
      </c>
      <c r="H144" s="39" t="n">
        <v>0.1503</v>
      </c>
      <c r="I144" s="35" t="n">
        <v>48</v>
      </c>
      <c r="J144" s="35" t="n">
        <v>746</v>
      </c>
      <c r="K144" s="35" t="n">
        <v>0</v>
      </c>
      <c r="L144" s="40">
        <f>ROUND(PMT(H144/12,I144,-G144),0)</f>
        <v/>
      </c>
      <c r="M144" s="41">
        <f>MAX(0,(YEAR(AsOfDate)-YEAR(F144))*12+MONTH(AsOfDate)-MONTH(F144))</f>
        <v/>
      </c>
      <c r="N144" s="41">
        <f>MAX(0,MIN(I144,M144)-INT(K144/30))</f>
        <v/>
      </c>
      <c r="O144" s="40">
        <f>IF(N144&gt;=I144,0,ROUND(PV(H144/12,I144-N144,-L144),0))</f>
        <v/>
      </c>
      <c r="P144" s="40">
        <f>MIN(I144,M144)*L144-N144*L144</f>
        <v/>
      </c>
      <c r="Q144" s="41">
        <f>INDEX(DPD_Bucket,MATCH(K144,DPD_From,1))</f>
        <v/>
      </c>
      <c r="R144" s="41">
        <f>INDEX(DPD_Class,MATCH(K144,DPD_From,1))</f>
        <v/>
      </c>
      <c r="S144" s="41">
        <f>INDEX(DPD_NPA,MATCH(K144,DPD_From,1))</f>
        <v/>
      </c>
      <c r="T144" s="42">
        <f>INDEX(DPD_Prov,MATCH(K144,DPD_From,1))</f>
        <v/>
      </c>
      <c r="U144" s="40">
        <f>ROUND(O144*T144,0)</f>
        <v/>
      </c>
      <c r="V144" s="41">
        <f>INDEX(CIBIL_Grade,MATCH(J144,CIBIL_From,1))</f>
        <v/>
      </c>
      <c r="W144" s="41">
        <f>YEAR(F144)&amp;"-Q"&amp;ROUNDUP(MONTH(F144)/3,0)</f>
        <v/>
      </c>
      <c r="X144" s="41">
        <f>IF(AND(OR(Dashboard!$C$4="All",D144=Dashboard!$C$4),OR(Dashboard!$C$5="All",E144=Dashboard!$C$5)),1,0)</f>
        <v/>
      </c>
      <c r="Y144" s="43">
        <f>IF(AND(X144=1,S144="Yes"),O144+ROW()/1000000,0)</f>
        <v/>
      </c>
    </row>
    <row r="145">
      <c r="A145" s="35" t="inlineStr">
        <is>
          <t>LN100144</t>
        </is>
      </c>
      <c r="B145" s="35" t="inlineStr">
        <is>
          <t>Rohan Nair</t>
        </is>
      </c>
      <c r="C145" s="35" t="inlineStr">
        <is>
          <t>BBS-01</t>
        </is>
      </c>
      <c r="D145" s="36">
        <f>INDEX(Branches!$C$2:$C$15,MATCH(C145,Branches!$A$2:$A$15,0))</f>
        <v/>
      </c>
      <c r="E145" s="35" t="inlineStr">
        <is>
          <t>Business Loan</t>
        </is>
      </c>
      <c r="F145" s="37" t="n">
        <v>45189</v>
      </c>
      <c r="G145" s="38" t="n">
        <v>4307000</v>
      </c>
      <c r="H145" s="39" t="n">
        <v>0.1896</v>
      </c>
      <c r="I145" s="35" t="n">
        <v>12</v>
      </c>
      <c r="J145" s="35" t="n">
        <v>640</v>
      </c>
      <c r="K145" s="35" t="n">
        <v>0</v>
      </c>
      <c r="L145" s="40">
        <f>ROUND(PMT(H145/12,I145,-G145),0)</f>
        <v/>
      </c>
      <c r="M145" s="41">
        <f>MAX(0,(YEAR(AsOfDate)-YEAR(F145))*12+MONTH(AsOfDate)-MONTH(F145))</f>
        <v/>
      </c>
      <c r="N145" s="41">
        <f>MAX(0,MIN(I145,M145)-INT(K145/30))</f>
        <v/>
      </c>
      <c r="O145" s="40">
        <f>IF(N145&gt;=I145,0,ROUND(PV(H145/12,I145-N145,-L145),0))</f>
        <v/>
      </c>
      <c r="P145" s="40">
        <f>MIN(I145,M145)*L145-N145*L145</f>
        <v/>
      </c>
      <c r="Q145" s="41">
        <f>INDEX(DPD_Bucket,MATCH(K145,DPD_From,1))</f>
        <v/>
      </c>
      <c r="R145" s="41">
        <f>INDEX(DPD_Class,MATCH(K145,DPD_From,1))</f>
        <v/>
      </c>
      <c r="S145" s="41">
        <f>INDEX(DPD_NPA,MATCH(K145,DPD_From,1))</f>
        <v/>
      </c>
      <c r="T145" s="42">
        <f>INDEX(DPD_Prov,MATCH(K145,DPD_From,1))</f>
        <v/>
      </c>
      <c r="U145" s="40">
        <f>ROUND(O145*T145,0)</f>
        <v/>
      </c>
      <c r="V145" s="41">
        <f>INDEX(CIBIL_Grade,MATCH(J145,CIBIL_From,1))</f>
        <v/>
      </c>
      <c r="W145" s="41">
        <f>YEAR(F145)&amp;"-Q"&amp;ROUNDUP(MONTH(F145)/3,0)</f>
        <v/>
      </c>
      <c r="X145" s="41">
        <f>IF(AND(OR(Dashboard!$C$4="All",D145=Dashboard!$C$4),OR(Dashboard!$C$5="All",E145=Dashboard!$C$5)),1,0)</f>
        <v/>
      </c>
      <c r="Y145" s="43">
        <f>IF(AND(X145=1,S145="Yes"),O145+ROW()/1000000,0)</f>
        <v/>
      </c>
    </row>
    <row r="146">
      <c r="A146" s="35" t="inlineStr">
        <is>
          <t>LN100145</t>
        </is>
      </c>
      <c r="B146" s="35" t="inlineStr">
        <is>
          <t>Aditya Mohanty</t>
        </is>
      </c>
      <c r="C146" s="35" t="inlineStr">
        <is>
          <t>GUW-01</t>
        </is>
      </c>
      <c r="D146" s="36">
        <f>INDEX(Branches!$C$2:$C$15,MATCH(C146,Branches!$A$2:$A$15,0))</f>
        <v/>
      </c>
      <c r="E146" s="35" t="inlineStr">
        <is>
          <t>Auto Loan</t>
        </is>
      </c>
      <c r="F146" s="37" t="n">
        <v>45615</v>
      </c>
      <c r="G146" s="38" t="n">
        <v>1122000</v>
      </c>
      <c r="H146" s="39" t="n">
        <v>0.0998</v>
      </c>
      <c r="I146" s="35" t="n">
        <v>48</v>
      </c>
      <c r="J146" s="35" t="n">
        <v>672</v>
      </c>
      <c r="K146" s="35" t="n">
        <v>0</v>
      </c>
      <c r="L146" s="40">
        <f>ROUND(PMT(H146/12,I146,-G146),0)</f>
        <v/>
      </c>
      <c r="M146" s="41">
        <f>MAX(0,(YEAR(AsOfDate)-YEAR(F146))*12+MONTH(AsOfDate)-MONTH(F146))</f>
        <v/>
      </c>
      <c r="N146" s="41">
        <f>MAX(0,MIN(I146,M146)-INT(K146/30))</f>
        <v/>
      </c>
      <c r="O146" s="40">
        <f>IF(N146&gt;=I146,0,ROUND(PV(H146/12,I146-N146,-L146),0))</f>
        <v/>
      </c>
      <c r="P146" s="40">
        <f>MIN(I146,M146)*L146-N146*L146</f>
        <v/>
      </c>
      <c r="Q146" s="41">
        <f>INDEX(DPD_Bucket,MATCH(K146,DPD_From,1))</f>
        <v/>
      </c>
      <c r="R146" s="41">
        <f>INDEX(DPD_Class,MATCH(K146,DPD_From,1))</f>
        <v/>
      </c>
      <c r="S146" s="41">
        <f>INDEX(DPD_NPA,MATCH(K146,DPD_From,1))</f>
        <v/>
      </c>
      <c r="T146" s="42">
        <f>INDEX(DPD_Prov,MATCH(K146,DPD_From,1))</f>
        <v/>
      </c>
      <c r="U146" s="40">
        <f>ROUND(O146*T146,0)</f>
        <v/>
      </c>
      <c r="V146" s="41">
        <f>INDEX(CIBIL_Grade,MATCH(J146,CIBIL_From,1))</f>
        <v/>
      </c>
      <c r="W146" s="41">
        <f>YEAR(F146)&amp;"-Q"&amp;ROUNDUP(MONTH(F146)/3,0)</f>
        <v/>
      </c>
      <c r="X146" s="41">
        <f>IF(AND(OR(Dashboard!$C$4="All",D146=Dashboard!$C$4),OR(Dashboard!$C$5="All",E146=Dashboard!$C$5)),1,0)</f>
        <v/>
      </c>
      <c r="Y146" s="43">
        <f>IF(AND(X146=1,S146="Yes"),O146+ROW()/1000000,0)</f>
        <v/>
      </c>
    </row>
    <row r="147">
      <c r="A147" s="35" t="inlineStr">
        <is>
          <t>LN100146</t>
        </is>
      </c>
      <c r="B147" s="35" t="inlineStr">
        <is>
          <t>Kabir Banerjee</t>
        </is>
      </c>
      <c r="C147" s="35" t="inlineStr">
        <is>
          <t>CHN-01</t>
        </is>
      </c>
      <c r="D147" s="36">
        <f>INDEX(Branches!$C$2:$C$15,MATCH(C147,Branches!$A$2:$A$15,0))</f>
        <v/>
      </c>
      <c r="E147" s="35" t="inlineStr">
        <is>
          <t>Home Loan</t>
        </is>
      </c>
      <c r="F147" s="37" t="n">
        <v>45362</v>
      </c>
      <c r="G147" s="38" t="n">
        <v>6874000</v>
      </c>
      <c r="H147" s="39" t="n">
        <v>0.0844</v>
      </c>
      <c r="I147" s="35" t="n">
        <v>120</v>
      </c>
      <c r="J147" s="35" t="n">
        <v>755</v>
      </c>
      <c r="K147" s="35" t="n">
        <v>0</v>
      </c>
      <c r="L147" s="40">
        <f>ROUND(PMT(H147/12,I147,-G147),0)</f>
        <v/>
      </c>
      <c r="M147" s="41">
        <f>MAX(0,(YEAR(AsOfDate)-YEAR(F147))*12+MONTH(AsOfDate)-MONTH(F147))</f>
        <v/>
      </c>
      <c r="N147" s="41">
        <f>MAX(0,MIN(I147,M147)-INT(K147/30))</f>
        <v/>
      </c>
      <c r="O147" s="40">
        <f>IF(N147&gt;=I147,0,ROUND(PV(H147/12,I147-N147,-L147),0))</f>
        <v/>
      </c>
      <c r="P147" s="40">
        <f>MIN(I147,M147)*L147-N147*L147</f>
        <v/>
      </c>
      <c r="Q147" s="41">
        <f>INDEX(DPD_Bucket,MATCH(K147,DPD_From,1))</f>
        <v/>
      </c>
      <c r="R147" s="41">
        <f>INDEX(DPD_Class,MATCH(K147,DPD_From,1))</f>
        <v/>
      </c>
      <c r="S147" s="41">
        <f>INDEX(DPD_NPA,MATCH(K147,DPD_From,1))</f>
        <v/>
      </c>
      <c r="T147" s="42">
        <f>INDEX(DPD_Prov,MATCH(K147,DPD_From,1))</f>
        <v/>
      </c>
      <c r="U147" s="40">
        <f>ROUND(O147*T147,0)</f>
        <v/>
      </c>
      <c r="V147" s="41">
        <f>INDEX(CIBIL_Grade,MATCH(J147,CIBIL_From,1))</f>
        <v/>
      </c>
      <c r="W147" s="41">
        <f>YEAR(F147)&amp;"-Q"&amp;ROUNDUP(MONTH(F147)/3,0)</f>
        <v/>
      </c>
      <c r="X147" s="41">
        <f>IF(AND(OR(Dashboard!$C$4="All",D147=Dashboard!$C$4),OR(Dashboard!$C$5="All",E147=Dashboard!$C$5)),1,0)</f>
        <v/>
      </c>
      <c r="Y147" s="43">
        <f>IF(AND(X147=1,S147="Yes"),O147+ROW()/1000000,0)</f>
        <v/>
      </c>
    </row>
    <row r="148">
      <c r="A148" s="35" t="inlineStr">
        <is>
          <t>LN100147</t>
        </is>
      </c>
      <c r="B148" s="35" t="inlineStr">
        <is>
          <t>Farhan Reddy</t>
        </is>
      </c>
      <c r="C148" s="35" t="inlineStr">
        <is>
          <t>PAT-01</t>
        </is>
      </c>
      <c r="D148" s="36">
        <f>INDEX(Branches!$C$2:$C$15,MATCH(C148,Branches!$A$2:$A$15,0))</f>
        <v/>
      </c>
      <c r="E148" s="35" t="inlineStr">
        <is>
          <t>Gold Loan</t>
        </is>
      </c>
      <c r="F148" s="37" t="n">
        <v>45874</v>
      </c>
      <c r="G148" s="38" t="n">
        <v>367000</v>
      </c>
      <c r="H148" s="39" t="n">
        <v>0.1035</v>
      </c>
      <c r="I148" s="35" t="n">
        <v>12</v>
      </c>
      <c r="J148" s="35" t="n">
        <v>764</v>
      </c>
      <c r="K148" s="35" t="n">
        <v>0</v>
      </c>
      <c r="L148" s="40">
        <f>ROUND(PMT(H148/12,I148,-G148),0)</f>
        <v/>
      </c>
      <c r="M148" s="41">
        <f>MAX(0,(YEAR(AsOfDate)-YEAR(F148))*12+MONTH(AsOfDate)-MONTH(F148))</f>
        <v/>
      </c>
      <c r="N148" s="41">
        <f>MAX(0,MIN(I148,M148)-INT(K148/30))</f>
        <v/>
      </c>
      <c r="O148" s="40">
        <f>IF(N148&gt;=I148,0,ROUND(PV(H148/12,I148-N148,-L148),0))</f>
        <v/>
      </c>
      <c r="P148" s="40">
        <f>MIN(I148,M148)*L148-N148*L148</f>
        <v/>
      </c>
      <c r="Q148" s="41">
        <f>INDEX(DPD_Bucket,MATCH(K148,DPD_From,1))</f>
        <v/>
      </c>
      <c r="R148" s="41">
        <f>INDEX(DPD_Class,MATCH(K148,DPD_From,1))</f>
        <v/>
      </c>
      <c r="S148" s="41">
        <f>INDEX(DPD_NPA,MATCH(K148,DPD_From,1))</f>
        <v/>
      </c>
      <c r="T148" s="42">
        <f>INDEX(DPD_Prov,MATCH(K148,DPD_From,1))</f>
        <v/>
      </c>
      <c r="U148" s="40">
        <f>ROUND(O148*T148,0)</f>
        <v/>
      </c>
      <c r="V148" s="41">
        <f>INDEX(CIBIL_Grade,MATCH(J148,CIBIL_From,1))</f>
        <v/>
      </c>
      <c r="W148" s="41">
        <f>YEAR(F148)&amp;"-Q"&amp;ROUNDUP(MONTH(F148)/3,0)</f>
        <v/>
      </c>
      <c r="X148" s="41">
        <f>IF(AND(OR(Dashboard!$C$4="All",D148=Dashboard!$C$4),OR(Dashboard!$C$5="All",E148=Dashboard!$C$5)),1,0)</f>
        <v/>
      </c>
      <c r="Y148" s="43">
        <f>IF(AND(X148=1,S148="Yes"),O148+ROW()/1000000,0)</f>
        <v/>
      </c>
    </row>
    <row r="149">
      <c r="A149" s="35" t="inlineStr">
        <is>
          <t>LN100148</t>
        </is>
      </c>
      <c r="B149" s="35" t="inlineStr">
        <is>
          <t>Tanvi Reddy</t>
        </is>
      </c>
      <c r="C149" s="35" t="inlineStr">
        <is>
          <t>LKO-01</t>
        </is>
      </c>
      <c r="D149" s="36">
        <f>INDEX(Branches!$C$2:$C$15,MATCH(C149,Branches!$A$2:$A$15,0))</f>
        <v/>
      </c>
      <c r="E149" s="35" t="inlineStr">
        <is>
          <t>Home Loan</t>
        </is>
      </c>
      <c r="F149" s="37" t="n">
        <v>46135</v>
      </c>
      <c r="G149" s="38" t="n">
        <v>14223000</v>
      </c>
      <c r="H149" s="39" t="n">
        <v>0.0925</v>
      </c>
      <c r="I149" s="35" t="n">
        <v>120</v>
      </c>
      <c r="J149" s="35" t="n">
        <v>769</v>
      </c>
      <c r="K149" s="35" t="n">
        <v>0</v>
      </c>
      <c r="L149" s="40">
        <f>ROUND(PMT(H149/12,I149,-G149),0)</f>
        <v/>
      </c>
      <c r="M149" s="41">
        <f>MAX(0,(YEAR(AsOfDate)-YEAR(F149))*12+MONTH(AsOfDate)-MONTH(F149))</f>
        <v/>
      </c>
      <c r="N149" s="41">
        <f>MAX(0,MIN(I149,M149)-INT(K149/30))</f>
        <v/>
      </c>
      <c r="O149" s="40">
        <f>IF(N149&gt;=I149,0,ROUND(PV(H149/12,I149-N149,-L149),0))</f>
        <v/>
      </c>
      <c r="P149" s="40">
        <f>MIN(I149,M149)*L149-N149*L149</f>
        <v/>
      </c>
      <c r="Q149" s="41">
        <f>INDEX(DPD_Bucket,MATCH(K149,DPD_From,1))</f>
        <v/>
      </c>
      <c r="R149" s="41">
        <f>INDEX(DPD_Class,MATCH(K149,DPD_From,1))</f>
        <v/>
      </c>
      <c r="S149" s="41">
        <f>INDEX(DPD_NPA,MATCH(K149,DPD_From,1))</f>
        <v/>
      </c>
      <c r="T149" s="42">
        <f>INDEX(DPD_Prov,MATCH(K149,DPD_From,1))</f>
        <v/>
      </c>
      <c r="U149" s="40">
        <f>ROUND(O149*T149,0)</f>
        <v/>
      </c>
      <c r="V149" s="41">
        <f>INDEX(CIBIL_Grade,MATCH(J149,CIBIL_From,1))</f>
        <v/>
      </c>
      <c r="W149" s="41">
        <f>YEAR(F149)&amp;"-Q"&amp;ROUNDUP(MONTH(F149)/3,0)</f>
        <v/>
      </c>
      <c r="X149" s="41">
        <f>IF(AND(OR(Dashboard!$C$4="All",D149=Dashboard!$C$4),OR(Dashboard!$C$5="All",E149=Dashboard!$C$5)),1,0)</f>
        <v/>
      </c>
      <c r="Y149" s="43">
        <f>IF(AND(X149=1,S149="Yes"),O149+ROW()/1000000,0)</f>
        <v/>
      </c>
    </row>
    <row r="150">
      <c r="A150" s="35" t="inlineStr">
        <is>
          <t>LN100149</t>
        </is>
      </c>
      <c r="B150" s="35" t="inlineStr">
        <is>
          <t>Nikhil Sahoo</t>
        </is>
      </c>
      <c r="C150" s="35" t="inlineStr">
        <is>
          <t>DEL-01</t>
        </is>
      </c>
      <c r="D150" s="36">
        <f>INDEX(Branches!$C$2:$C$15,MATCH(C150,Branches!$A$2:$A$15,0))</f>
        <v/>
      </c>
      <c r="E150" s="35" t="inlineStr">
        <is>
          <t>Personal Loan</t>
        </is>
      </c>
      <c r="F150" s="37" t="n">
        <v>45687</v>
      </c>
      <c r="G150" s="38" t="n">
        <v>188000</v>
      </c>
      <c r="H150" s="39" t="n">
        <v>0.1678</v>
      </c>
      <c r="I150" s="35" t="n">
        <v>36</v>
      </c>
      <c r="J150" s="35" t="n">
        <v>729</v>
      </c>
      <c r="K150" s="35" t="n">
        <v>0</v>
      </c>
      <c r="L150" s="40">
        <f>ROUND(PMT(H150/12,I150,-G150),0)</f>
        <v/>
      </c>
      <c r="M150" s="41">
        <f>MAX(0,(YEAR(AsOfDate)-YEAR(F150))*12+MONTH(AsOfDate)-MONTH(F150))</f>
        <v/>
      </c>
      <c r="N150" s="41">
        <f>MAX(0,MIN(I150,M150)-INT(K150/30))</f>
        <v/>
      </c>
      <c r="O150" s="40">
        <f>IF(N150&gt;=I150,0,ROUND(PV(H150/12,I150-N150,-L150),0))</f>
        <v/>
      </c>
      <c r="P150" s="40">
        <f>MIN(I150,M150)*L150-N150*L150</f>
        <v/>
      </c>
      <c r="Q150" s="41">
        <f>INDEX(DPD_Bucket,MATCH(K150,DPD_From,1))</f>
        <v/>
      </c>
      <c r="R150" s="41">
        <f>INDEX(DPD_Class,MATCH(K150,DPD_From,1))</f>
        <v/>
      </c>
      <c r="S150" s="41">
        <f>INDEX(DPD_NPA,MATCH(K150,DPD_From,1))</f>
        <v/>
      </c>
      <c r="T150" s="42">
        <f>INDEX(DPD_Prov,MATCH(K150,DPD_From,1))</f>
        <v/>
      </c>
      <c r="U150" s="40">
        <f>ROUND(O150*T150,0)</f>
        <v/>
      </c>
      <c r="V150" s="41">
        <f>INDEX(CIBIL_Grade,MATCH(J150,CIBIL_From,1))</f>
        <v/>
      </c>
      <c r="W150" s="41">
        <f>YEAR(F150)&amp;"-Q"&amp;ROUNDUP(MONTH(F150)/3,0)</f>
        <v/>
      </c>
      <c r="X150" s="41">
        <f>IF(AND(OR(Dashboard!$C$4="All",D150=Dashboard!$C$4),OR(Dashboard!$C$5="All",E150=Dashboard!$C$5)),1,0)</f>
        <v/>
      </c>
      <c r="Y150" s="43">
        <f>IF(AND(X150=1,S150="Yes"),O150+ROW()/1000000,0)</f>
        <v/>
      </c>
    </row>
    <row r="151">
      <c r="A151" s="35" t="inlineStr">
        <is>
          <t>LN100150</t>
        </is>
      </c>
      <c r="B151" s="35" t="inlineStr">
        <is>
          <t>Karthik Mohanty</t>
        </is>
      </c>
      <c r="C151" s="35" t="inlineStr">
        <is>
          <t>BBS-01</t>
        </is>
      </c>
      <c r="D151" s="36">
        <f>INDEX(Branches!$C$2:$C$15,MATCH(C151,Branches!$A$2:$A$15,0))</f>
        <v/>
      </c>
      <c r="E151" s="35" t="inlineStr">
        <is>
          <t>Personal Loan</t>
        </is>
      </c>
      <c r="F151" s="37" t="n">
        <v>46140</v>
      </c>
      <c r="G151" s="38" t="n">
        <v>301000</v>
      </c>
      <c r="H151" s="39" t="n">
        <v>0.1372</v>
      </c>
      <c r="I151" s="35" t="n">
        <v>60</v>
      </c>
      <c r="J151" s="35" t="n">
        <v>751</v>
      </c>
      <c r="K151" s="35" t="n">
        <v>0</v>
      </c>
      <c r="L151" s="40">
        <f>ROUND(PMT(H151/12,I151,-G151),0)</f>
        <v/>
      </c>
      <c r="M151" s="41">
        <f>MAX(0,(YEAR(AsOfDate)-YEAR(F151))*12+MONTH(AsOfDate)-MONTH(F151))</f>
        <v/>
      </c>
      <c r="N151" s="41">
        <f>MAX(0,MIN(I151,M151)-INT(K151/30))</f>
        <v/>
      </c>
      <c r="O151" s="40">
        <f>IF(N151&gt;=I151,0,ROUND(PV(H151/12,I151-N151,-L151),0))</f>
        <v/>
      </c>
      <c r="P151" s="40">
        <f>MIN(I151,M151)*L151-N151*L151</f>
        <v/>
      </c>
      <c r="Q151" s="41">
        <f>INDEX(DPD_Bucket,MATCH(K151,DPD_From,1))</f>
        <v/>
      </c>
      <c r="R151" s="41">
        <f>INDEX(DPD_Class,MATCH(K151,DPD_From,1))</f>
        <v/>
      </c>
      <c r="S151" s="41">
        <f>INDEX(DPD_NPA,MATCH(K151,DPD_From,1))</f>
        <v/>
      </c>
      <c r="T151" s="42">
        <f>INDEX(DPD_Prov,MATCH(K151,DPD_From,1))</f>
        <v/>
      </c>
      <c r="U151" s="40">
        <f>ROUND(O151*T151,0)</f>
        <v/>
      </c>
      <c r="V151" s="41">
        <f>INDEX(CIBIL_Grade,MATCH(J151,CIBIL_From,1))</f>
        <v/>
      </c>
      <c r="W151" s="41">
        <f>YEAR(F151)&amp;"-Q"&amp;ROUNDUP(MONTH(F151)/3,0)</f>
        <v/>
      </c>
      <c r="X151" s="41">
        <f>IF(AND(OR(Dashboard!$C$4="All",D151=Dashboard!$C$4),OR(Dashboard!$C$5="All",E151=Dashboard!$C$5)),1,0)</f>
        <v/>
      </c>
      <c r="Y151" s="43">
        <f>IF(AND(X151=1,S151="Yes"),O151+ROW()/1000000,0)</f>
        <v/>
      </c>
    </row>
    <row r="152">
      <c r="A152" s="35" t="inlineStr">
        <is>
          <t>LN100151</t>
        </is>
      </c>
      <c r="B152" s="35" t="inlineStr">
        <is>
          <t>Sneha Iyer</t>
        </is>
      </c>
      <c r="C152" s="35" t="inlineStr">
        <is>
          <t>LKO-01</t>
        </is>
      </c>
      <c r="D152" s="36">
        <f>INDEX(Branches!$C$2:$C$15,MATCH(C152,Branches!$A$2:$A$15,0))</f>
        <v/>
      </c>
      <c r="E152" s="35" t="inlineStr">
        <is>
          <t>Personal Loan</t>
        </is>
      </c>
      <c r="F152" s="37" t="n">
        <v>45320</v>
      </c>
      <c r="G152" s="38" t="n">
        <v>862000</v>
      </c>
      <c r="H152" s="39" t="n">
        <v>0.164</v>
      </c>
      <c r="I152" s="35" t="n">
        <v>24</v>
      </c>
      <c r="J152" s="35" t="n">
        <v>766</v>
      </c>
      <c r="K152" s="35" t="n">
        <v>0</v>
      </c>
      <c r="L152" s="40">
        <f>ROUND(PMT(H152/12,I152,-G152),0)</f>
        <v/>
      </c>
      <c r="M152" s="41">
        <f>MAX(0,(YEAR(AsOfDate)-YEAR(F152))*12+MONTH(AsOfDate)-MONTH(F152))</f>
        <v/>
      </c>
      <c r="N152" s="41">
        <f>MAX(0,MIN(I152,M152)-INT(K152/30))</f>
        <v/>
      </c>
      <c r="O152" s="40">
        <f>IF(N152&gt;=I152,0,ROUND(PV(H152/12,I152-N152,-L152),0))</f>
        <v/>
      </c>
      <c r="P152" s="40">
        <f>MIN(I152,M152)*L152-N152*L152</f>
        <v/>
      </c>
      <c r="Q152" s="41">
        <f>INDEX(DPD_Bucket,MATCH(K152,DPD_From,1))</f>
        <v/>
      </c>
      <c r="R152" s="41">
        <f>INDEX(DPD_Class,MATCH(K152,DPD_From,1))</f>
        <v/>
      </c>
      <c r="S152" s="41">
        <f>INDEX(DPD_NPA,MATCH(K152,DPD_From,1))</f>
        <v/>
      </c>
      <c r="T152" s="42">
        <f>INDEX(DPD_Prov,MATCH(K152,DPD_From,1))</f>
        <v/>
      </c>
      <c r="U152" s="40">
        <f>ROUND(O152*T152,0)</f>
        <v/>
      </c>
      <c r="V152" s="41">
        <f>INDEX(CIBIL_Grade,MATCH(J152,CIBIL_From,1))</f>
        <v/>
      </c>
      <c r="W152" s="41">
        <f>YEAR(F152)&amp;"-Q"&amp;ROUNDUP(MONTH(F152)/3,0)</f>
        <v/>
      </c>
      <c r="X152" s="41">
        <f>IF(AND(OR(Dashboard!$C$4="All",D152=Dashboard!$C$4),OR(Dashboard!$C$5="All",E152=Dashboard!$C$5)),1,0)</f>
        <v/>
      </c>
      <c r="Y152" s="43">
        <f>IF(AND(X152=1,S152="Yes"),O152+ROW()/1000000,0)</f>
        <v/>
      </c>
    </row>
    <row r="153">
      <c r="A153" s="35" t="inlineStr">
        <is>
          <t>LN100152</t>
        </is>
      </c>
      <c r="B153" s="35" t="inlineStr">
        <is>
          <t>Vivaan Banerjee</t>
        </is>
      </c>
      <c r="C153" s="35" t="inlineStr">
        <is>
          <t>PUN-01</t>
        </is>
      </c>
      <c r="D153" s="36">
        <f>INDEX(Branches!$C$2:$C$15,MATCH(C153,Branches!$A$2:$A$15,0))</f>
        <v/>
      </c>
      <c r="E153" s="35" t="inlineStr">
        <is>
          <t>Personal Loan</t>
        </is>
      </c>
      <c r="F153" s="37" t="n">
        <v>45374</v>
      </c>
      <c r="G153" s="38" t="n">
        <v>455000</v>
      </c>
      <c r="H153" s="39" t="n">
        <v>0.1062</v>
      </c>
      <c r="I153" s="35" t="n">
        <v>12</v>
      </c>
      <c r="J153" s="35" t="n">
        <v>810</v>
      </c>
      <c r="K153" s="35" t="n">
        <v>0</v>
      </c>
      <c r="L153" s="40">
        <f>ROUND(PMT(H153/12,I153,-G153),0)</f>
        <v/>
      </c>
      <c r="M153" s="41">
        <f>MAX(0,(YEAR(AsOfDate)-YEAR(F153))*12+MONTH(AsOfDate)-MONTH(F153))</f>
        <v/>
      </c>
      <c r="N153" s="41">
        <f>MAX(0,MIN(I153,M153)-INT(K153/30))</f>
        <v/>
      </c>
      <c r="O153" s="40">
        <f>IF(N153&gt;=I153,0,ROUND(PV(H153/12,I153-N153,-L153),0))</f>
        <v/>
      </c>
      <c r="P153" s="40">
        <f>MIN(I153,M153)*L153-N153*L153</f>
        <v/>
      </c>
      <c r="Q153" s="41">
        <f>INDEX(DPD_Bucket,MATCH(K153,DPD_From,1))</f>
        <v/>
      </c>
      <c r="R153" s="41">
        <f>INDEX(DPD_Class,MATCH(K153,DPD_From,1))</f>
        <v/>
      </c>
      <c r="S153" s="41">
        <f>INDEX(DPD_NPA,MATCH(K153,DPD_From,1))</f>
        <v/>
      </c>
      <c r="T153" s="42">
        <f>INDEX(DPD_Prov,MATCH(K153,DPD_From,1))</f>
        <v/>
      </c>
      <c r="U153" s="40">
        <f>ROUND(O153*T153,0)</f>
        <v/>
      </c>
      <c r="V153" s="41">
        <f>INDEX(CIBIL_Grade,MATCH(J153,CIBIL_From,1))</f>
        <v/>
      </c>
      <c r="W153" s="41">
        <f>YEAR(F153)&amp;"-Q"&amp;ROUNDUP(MONTH(F153)/3,0)</f>
        <v/>
      </c>
      <c r="X153" s="41">
        <f>IF(AND(OR(Dashboard!$C$4="All",D153=Dashboard!$C$4),OR(Dashboard!$C$5="All",E153=Dashboard!$C$5)),1,0)</f>
        <v/>
      </c>
      <c r="Y153" s="43">
        <f>IF(AND(X153=1,S153="Yes"),O153+ROW()/1000000,0)</f>
        <v/>
      </c>
    </row>
    <row r="154">
      <c r="A154" s="35" t="inlineStr">
        <is>
          <t>LN100153</t>
        </is>
      </c>
      <c r="B154" s="35" t="inlineStr">
        <is>
          <t>Zoya Rao</t>
        </is>
      </c>
      <c r="C154" s="35" t="inlineStr">
        <is>
          <t>HYD-01</t>
        </is>
      </c>
      <c r="D154" s="36">
        <f>INDEX(Branches!$C$2:$C$15,MATCH(C154,Branches!$A$2:$A$15,0))</f>
        <v/>
      </c>
      <c r="E154" s="35" t="inlineStr">
        <is>
          <t>Business Loan</t>
        </is>
      </c>
      <c r="F154" s="37" t="n">
        <v>45680</v>
      </c>
      <c r="G154" s="38" t="n">
        <v>700000</v>
      </c>
      <c r="H154" s="39" t="n">
        <v>0.1682</v>
      </c>
      <c r="I154" s="35" t="n">
        <v>36</v>
      </c>
      <c r="J154" s="35" t="n">
        <v>726</v>
      </c>
      <c r="K154" s="35" t="n">
        <v>0</v>
      </c>
      <c r="L154" s="40">
        <f>ROUND(PMT(H154/12,I154,-G154),0)</f>
        <v/>
      </c>
      <c r="M154" s="41">
        <f>MAX(0,(YEAR(AsOfDate)-YEAR(F154))*12+MONTH(AsOfDate)-MONTH(F154))</f>
        <v/>
      </c>
      <c r="N154" s="41">
        <f>MAX(0,MIN(I154,M154)-INT(K154/30))</f>
        <v/>
      </c>
      <c r="O154" s="40">
        <f>IF(N154&gt;=I154,0,ROUND(PV(H154/12,I154-N154,-L154),0))</f>
        <v/>
      </c>
      <c r="P154" s="40">
        <f>MIN(I154,M154)*L154-N154*L154</f>
        <v/>
      </c>
      <c r="Q154" s="41">
        <f>INDEX(DPD_Bucket,MATCH(K154,DPD_From,1))</f>
        <v/>
      </c>
      <c r="R154" s="41">
        <f>INDEX(DPD_Class,MATCH(K154,DPD_From,1))</f>
        <v/>
      </c>
      <c r="S154" s="41">
        <f>INDEX(DPD_NPA,MATCH(K154,DPD_From,1))</f>
        <v/>
      </c>
      <c r="T154" s="42">
        <f>INDEX(DPD_Prov,MATCH(K154,DPD_From,1))</f>
        <v/>
      </c>
      <c r="U154" s="40">
        <f>ROUND(O154*T154,0)</f>
        <v/>
      </c>
      <c r="V154" s="41">
        <f>INDEX(CIBIL_Grade,MATCH(J154,CIBIL_From,1))</f>
        <v/>
      </c>
      <c r="W154" s="41">
        <f>YEAR(F154)&amp;"-Q"&amp;ROUNDUP(MONTH(F154)/3,0)</f>
        <v/>
      </c>
      <c r="X154" s="41">
        <f>IF(AND(OR(Dashboard!$C$4="All",D154=Dashboard!$C$4),OR(Dashboard!$C$5="All",E154=Dashboard!$C$5)),1,0)</f>
        <v/>
      </c>
      <c r="Y154" s="43">
        <f>IF(AND(X154=1,S154="Yes"),O154+ROW()/1000000,0)</f>
        <v/>
      </c>
    </row>
    <row r="155">
      <c r="A155" s="35" t="inlineStr">
        <is>
          <t>LN100154</t>
        </is>
      </c>
      <c r="B155" s="35" t="inlineStr">
        <is>
          <t>Pooja Patel</t>
        </is>
      </c>
      <c r="C155" s="35" t="inlineStr">
        <is>
          <t>PAT-01</t>
        </is>
      </c>
      <c r="D155" s="36">
        <f>INDEX(Branches!$C$2:$C$15,MATCH(C155,Branches!$A$2:$A$15,0))</f>
        <v/>
      </c>
      <c r="E155" s="35" t="inlineStr">
        <is>
          <t>Business Loan</t>
        </is>
      </c>
      <c r="F155" s="37" t="n">
        <v>45222</v>
      </c>
      <c r="G155" s="38" t="n">
        <v>1107000</v>
      </c>
      <c r="H155" s="39" t="n">
        <v>0.1801</v>
      </c>
      <c r="I155" s="35" t="n">
        <v>24</v>
      </c>
      <c r="J155" s="35" t="n">
        <v>658</v>
      </c>
      <c r="K155" s="35" t="n">
        <v>0</v>
      </c>
      <c r="L155" s="40">
        <f>ROUND(PMT(H155/12,I155,-G155),0)</f>
        <v/>
      </c>
      <c r="M155" s="41">
        <f>MAX(0,(YEAR(AsOfDate)-YEAR(F155))*12+MONTH(AsOfDate)-MONTH(F155))</f>
        <v/>
      </c>
      <c r="N155" s="41">
        <f>MAX(0,MIN(I155,M155)-INT(K155/30))</f>
        <v/>
      </c>
      <c r="O155" s="40">
        <f>IF(N155&gt;=I155,0,ROUND(PV(H155/12,I155-N155,-L155),0))</f>
        <v/>
      </c>
      <c r="P155" s="40">
        <f>MIN(I155,M155)*L155-N155*L155</f>
        <v/>
      </c>
      <c r="Q155" s="41">
        <f>INDEX(DPD_Bucket,MATCH(K155,DPD_From,1))</f>
        <v/>
      </c>
      <c r="R155" s="41">
        <f>INDEX(DPD_Class,MATCH(K155,DPD_From,1))</f>
        <v/>
      </c>
      <c r="S155" s="41">
        <f>INDEX(DPD_NPA,MATCH(K155,DPD_From,1))</f>
        <v/>
      </c>
      <c r="T155" s="42">
        <f>INDEX(DPD_Prov,MATCH(K155,DPD_From,1))</f>
        <v/>
      </c>
      <c r="U155" s="40">
        <f>ROUND(O155*T155,0)</f>
        <v/>
      </c>
      <c r="V155" s="41">
        <f>INDEX(CIBIL_Grade,MATCH(J155,CIBIL_From,1))</f>
        <v/>
      </c>
      <c r="W155" s="41">
        <f>YEAR(F155)&amp;"-Q"&amp;ROUNDUP(MONTH(F155)/3,0)</f>
        <v/>
      </c>
      <c r="X155" s="41">
        <f>IF(AND(OR(Dashboard!$C$4="All",D155=Dashboard!$C$4),OR(Dashboard!$C$5="All",E155=Dashboard!$C$5)),1,0)</f>
        <v/>
      </c>
      <c r="Y155" s="43">
        <f>IF(AND(X155=1,S155="Yes"),O155+ROW()/1000000,0)</f>
        <v/>
      </c>
    </row>
    <row r="156">
      <c r="A156" s="35" t="inlineStr">
        <is>
          <t>LN100155</t>
        </is>
      </c>
      <c r="B156" s="35" t="inlineStr">
        <is>
          <t>Priya Singh</t>
        </is>
      </c>
      <c r="C156" s="35" t="inlineStr">
        <is>
          <t>LKO-01</t>
        </is>
      </c>
      <c r="D156" s="36">
        <f>INDEX(Branches!$C$2:$C$15,MATCH(C156,Branches!$A$2:$A$15,0))</f>
        <v/>
      </c>
      <c r="E156" s="35" t="inlineStr">
        <is>
          <t>Gold Loan</t>
        </is>
      </c>
      <c r="F156" s="37" t="n">
        <v>45573</v>
      </c>
      <c r="G156" s="38" t="n">
        <v>229000</v>
      </c>
      <c r="H156" s="39" t="n">
        <v>0.1145</v>
      </c>
      <c r="I156" s="35" t="n">
        <v>6</v>
      </c>
      <c r="J156" s="35" t="n">
        <v>764</v>
      </c>
      <c r="K156" s="35" t="n">
        <v>0</v>
      </c>
      <c r="L156" s="40">
        <f>ROUND(PMT(H156/12,I156,-G156),0)</f>
        <v/>
      </c>
      <c r="M156" s="41">
        <f>MAX(0,(YEAR(AsOfDate)-YEAR(F156))*12+MONTH(AsOfDate)-MONTH(F156))</f>
        <v/>
      </c>
      <c r="N156" s="41">
        <f>MAX(0,MIN(I156,M156)-INT(K156/30))</f>
        <v/>
      </c>
      <c r="O156" s="40">
        <f>IF(N156&gt;=I156,0,ROUND(PV(H156/12,I156-N156,-L156),0))</f>
        <v/>
      </c>
      <c r="P156" s="40">
        <f>MIN(I156,M156)*L156-N156*L156</f>
        <v/>
      </c>
      <c r="Q156" s="41">
        <f>INDEX(DPD_Bucket,MATCH(K156,DPD_From,1))</f>
        <v/>
      </c>
      <c r="R156" s="41">
        <f>INDEX(DPD_Class,MATCH(K156,DPD_From,1))</f>
        <v/>
      </c>
      <c r="S156" s="41">
        <f>INDEX(DPD_NPA,MATCH(K156,DPD_From,1))</f>
        <v/>
      </c>
      <c r="T156" s="42">
        <f>INDEX(DPD_Prov,MATCH(K156,DPD_From,1))</f>
        <v/>
      </c>
      <c r="U156" s="40">
        <f>ROUND(O156*T156,0)</f>
        <v/>
      </c>
      <c r="V156" s="41">
        <f>INDEX(CIBIL_Grade,MATCH(J156,CIBIL_From,1))</f>
        <v/>
      </c>
      <c r="W156" s="41">
        <f>YEAR(F156)&amp;"-Q"&amp;ROUNDUP(MONTH(F156)/3,0)</f>
        <v/>
      </c>
      <c r="X156" s="41">
        <f>IF(AND(OR(Dashboard!$C$4="All",D156=Dashboard!$C$4),OR(Dashboard!$C$5="All",E156=Dashboard!$C$5)),1,0)</f>
        <v/>
      </c>
      <c r="Y156" s="43">
        <f>IF(AND(X156=1,S156="Yes"),O156+ROW()/1000000,0)</f>
        <v/>
      </c>
    </row>
    <row r="157">
      <c r="A157" s="35" t="inlineStr">
        <is>
          <t>LN100156</t>
        </is>
      </c>
      <c r="B157" s="35" t="inlineStr">
        <is>
          <t>Gaurav Verma</t>
        </is>
      </c>
      <c r="C157" s="35" t="inlineStr">
        <is>
          <t>GUW-01</t>
        </is>
      </c>
      <c r="D157" s="36">
        <f>INDEX(Branches!$C$2:$C$15,MATCH(C157,Branches!$A$2:$A$15,0))</f>
        <v/>
      </c>
      <c r="E157" s="35" t="inlineStr">
        <is>
          <t>Personal Loan</t>
        </is>
      </c>
      <c r="F157" s="37" t="n">
        <v>45782</v>
      </c>
      <c r="G157" s="38" t="n">
        <v>1018000</v>
      </c>
      <c r="H157" s="39" t="n">
        <v>0.1255</v>
      </c>
      <c r="I157" s="35" t="n">
        <v>12</v>
      </c>
      <c r="J157" s="35" t="n">
        <v>827</v>
      </c>
      <c r="K157" s="35" t="n">
        <v>0</v>
      </c>
      <c r="L157" s="40">
        <f>ROUND(PMT(H157/12,I157,-G157),0)</f>
        <v/>
      </c>
      <c r="M157" s="41">
        <f>MAX(0,(YEAR(AsOfDate)-YEAR(F157))*12+MONTH(AsOfDate)-MONTH(F157))</f>
        <v/>
      </c>
      <c r="N157" s="41">
        <f>MAX(0,MIN(I157,M157)-INT(K157/30))</f>
        <v/>
      </c>
      <c r="O157" s="40">
        <f>IF(N157&gt;=I157,0,ROUND(PV(H157/12,I157-N157,-L157),0))</f>
        <v/>
      </c>
      <c r="P157" s="40">
        <f>MIN(I157,M157)*L157-N157*L157</f>
        <v/>
      </c>
      <c r="Q157" s="41">
        <f>INDEX(DPD_Bucket,MATCH(K157,DPD_From,1))</f>
        <v/>
      </c>
      <c r="R157" s="41">
        <f>INDEX(DPD_Class,MATCH(K157,DPD_From,1))</f>
        <v/>
      </c>
      <c r="S157" s="41">
        <f>INDEX(DPD_NPA,MATCH(K157,DPD_From,1))</f>
        <v/>
      </c>
      <c r="T157" s="42">
        <f>INDEX(DPD_Prov,MATCH(K157,DPD_From,1))</f>
        <v/>
      </c>
      <c r="U157" s="40">
        <f>ROUND(O157*T157,0)</f>
        <v/>
      </c>
      <c r="V157" s="41">
        <f>INDEX(CIBIL_Grade,MATCH(J157,CIBIL_From,1))</f>
        <v/>
      </c>
      <c r="W157" s="41">
        <f>YEAR(F157)&amp;"-Q"&amp;ROUNDUP(MONTH(F157)/3,0)</f>
        <v/>
      </c>
      <c r="X157" s="41">
        <f>IF(AND(OR(Dashboard!$C$4="All",D157=Dashboard!$C$4),OR(Dashboard!$C$5="All",E157=Dashboard!$C$5)),1,0)</f>
        <v/>
      </c>
      <c r="Y157" s="43">
        <f>IF(AND(X157=1,S157="Yes"),O157+ROW()/1000000,0)</f>
        <v/>
      </c>
    </row>
    <row r="158">
      <c r="A158" s="35" t="inlineStr">
        <is>
          <t>LN100157</t>
        </is>
      </c>
      <c r="B158" s="35" t="inlineStr">
        <is>
          <t>Reyansh Pillai</t>
        </is>
      </c>
      <c r="C158" s="35" t="inlineStr">
        <is>
          <t>BBS-01</t>
        </is>
      </c>
      <c r="D158" s="36">
        <f>INDEX(Branches!$C$2:$C$15,MATCH(C158,Branches!$A$2:$A$15,0))</f>
        <v/>
      </c>
      <c r="E158" s="35" t="inlineStr">
        <is>
          <t>Business Loan</t>
        </is>
      </c>
      <c r="F158" s="37" t="n">
        <v>45354</v>
      </c>
      <c r="G158" s="38" t="n">
        <v>2739000</v>
      </c>
      <c r="H158" s="39" t="n">
        <v>0.1947</v>
      </c>
      <c r="I158" s="35" t="n">
        <v>60</v>
      </c>
      <c r="J158" s="35" t="n">
        <v>730</v>
      </c>
      <c r="K158" s="35" t="n">
        <v>0</v>
      </c>
      <c r="L158" s="40">
        <f>ROUND(PMT(H158/12,I158,-G158),0)</f>
        <v/>
      </c>
      <c r="M158" s="41">
        <f>MAX(0,(YEAR(AsOfDate)-YEAR(F158))*12+MONTH(AsOfDate)-MONTH(F158))</f>
        <v/>
      </c>
      <c r="N158" s="41">
        <f>MAX(0,MIN(I158,M158)-INT(K158/30))</f>
        <v/>
      </c>
      <c r="O158" s="40">
        <f>IF(N158&gt;=I158,0,ROUND(PV(H158/12,I158-N158,-L158),0))</f>
        <v/>
      </c>
      <c r="P158" s="40">
        <f>MIN(I158,M158)*L158-N158*L158</f>
        <v/>
      </c>
      <c r="Q158" s="41">
        <f>INDEX(DPD_Bucket,MATCH(K158,DPD_From,1))</f>
        <v/>
      </c>
      <c r="R158" s="41">
        <f>INDEX(DPD_Class,MATCH(K158,DPD_From,1))</f>
        <v/>
      </c>
      <c r="S158" s="41">
        <f>INDEX(DPD_NPA,MATCH(K158,DPD_From,1))</f>
        <v/>
      </c>
      <c r="T158" s="42">
        <f>INDEX(DPD_Prov,MATCH(K158,DPD_From,1))</f>
        <v/>
      </c>
      <c r="U158" s="40">
        <f>ROUND(O158*T158,0)</f>
        <v/>
      </c>
      <c r="V158" s="41">
        <f>INDEX(CIBIL_Grade,MATCH(J158,CIBIL_From,1))</f>
        <v/>
      </c>
      <c r="W158" s="41">
        <f>YEAR(F158)&amp;"-Q"&amp;ROUNDUP(MONTH(F158)/3,0)</f>
        <v/>
      </c>
      <c r="X158" s="41">
        <f>IF(AND(OR(Dashboard!$C$4="All",D158=Dashboard!$C$4),OR(Dashboard!$C$5="All",E158=Dashboard!$C$5)),1,0)</f>
        <v/>
      </c>
      <c r="Y158" s="43">
        <f>IF(AND(X158=1,S158="Yes"),O158+ROW()/1000000,0)</f>
        <v/>
      </c>
    </row>
    <row r="159">
      <c r="A159" s="35" t="inlineStr">
        <is>
          <t>LN100158</t>
        </is>
      </c>
      <c r="B159" s="35" t="inlineStr">
        <is>
          <t>Deepa Singh</t>
        </is>
      </c>
      <c r="C159" s="35" t="inlineStr">
        <is>
          <t>MUM-01</t>
        </is>
      </c>
      <c r="D159" s="36">
        <f>INDEX(Branches!$C$2:$C$15,MATCH(C159,Branches!$A$2:$A$15,0))</f>
        <v/>
      </c>
      <c r="E159" s="35" t="inlineStr">
        <is>
          <t>Personal Loan</t>
        </is>
      </c>
      <c r="F159" s="37" t="n">
        <v>45304</v>
      </c>
      <c r="G159" s="38" t="n">
        <v>724000</v>
      </c>
      <c r="H159" s="39" t="n">
        <v>0.1588</v>
      </c>
      <c r="I159" s="35" t="n">
        <v>12</v>
      </c>
      <c r="J159" s="35" t="n">
        <v>618</v>
      </c>
      <c r="K159" s="35" t="n">
        <v>0</v>
      </c>
      <c r="L159" s="40">
        <f>ROUND(PMT(H159/12,I159,-G159),0)</f>
        <v/>
      </c>
      <c r="M159" s="41">
        <f>MAX(0,(YEAR(AsOfDate)-YEAR(F159))*12+MONTH(AsOfDate)-MONTH(F159))</f>
        <v/>
      </c>
      <c r="N159" s="41">
        <f>MAX(0,MIN(I159,M159)-INT(K159/30))</f>
        <v/>
      </c>
      <c r="O159" s="40">
        <f>IF(N159&gt;=I159,0,ROUND(PV(H159/12,I159-N159,-L159),0))</f>
        <v/>
      </c>
      <c r="P159" s="40">
        <f>MIN(I159,M159)*L159-N159*L159</f>
        <v/>
      </c>
      <c r="Q159" s="41">
        <f>INDEX(DPD_Bucket,MATCH(K159,DPD_From,1))</f>
        <v/>
      </c>
      <c r="R159" s="41">
        <f>INDEX(DPD_Class,MATCH(K159,DPD_From,1))</f>
        <v/>
      </c>
      <c r="S159" s="41">
        <f>INDEX(DPD_NPA,MATCH(K159,DPD_From,1))</f>
        <v/>
      </c>
      <c r="T159" s="42">
        <f>INDEX(DPD_Prov,MATCH(K159,DPD_From,1))</f>
        <v/>
      </c>
      <c r="U159" s="40">
        <f>ROUND(O159*T159,0)</f>
        <v/>
      </c>
      <c r="V159" s="41">
        <f>INDEX(CIBIL_Grade,MATCH(J159,CIBIL_From,1))</f>
        <v/>
      </c>
      <c r="W159" s="41">
        <f>YEAR(F159)&amp;"-Q"&amp;ROUNDUP(MONTH(F159)/3,0)</f>
        <v/>
      </c>
      <c r="X159" s="41">
        <f>IF(AND(OR(Dashboard!$C$4="All",D159=Dashboard!$C$4),OR(Dashboard!$C$5="All",E159=Dashboard!$C$5)),1,0)</f>
        <v/>
      </c>
      <c r="Y159" s="43">
        <f>IF(AND(X159=1,S159="Yes"),O159+ROW()/1000000,0)</f>
        <v/>
      </c>
    </row>
    <row r="160">
      <c r="A160" s="35" t="inlineStr">
        <is>
          <t>LN100159</t>
        </is>
      </c>
      <c r="B160" s="35" t="inlineStr">
        <is>
          <t>Suresh Khan</t>
        </is>
      </c>
      <c r="C160" s="35" t="inlineStr">
        <is>
          <t>MUM-01</t>
        </is>
      </c>
      <c r="D160" s="36">
        <f>INDEX(Branches!$C$2:$C$15,MATCH(C160,Branches!$A$2:$A$15,0))</f>
        <v/>
      </c>
      <c r="E160" s="35" t="inlineStr">
        <is>
          <t>Home Loan</t>
        </is>
      </c>
      <c r="F160" s="37" t="n">
        <v>45454</v>
      </c>
      <c r="G160" s="38" t="n">
        <v>10313000</v>
      </c>
      <c r="H160" s="39" t="n">
        <v>0.0951</v>
      </c>
      <c r="I160" s="35" t="n">
        <v>180</v>
      </c>
      <c r="J160" s="35" t="n">
        <v>651</v>
      </c>
      <c r="K160" s="35" t="n">
        <v>0</v>
      </c>
      <c r="L160" s="40">
        <f>ROUND(PMT(H160/12,I160,-G160),0)</f>
        <v/>
      </c>
      <c r="M160" s="41">
        <f>MAX(0,(YEAR(AsOfDate)-YEAR(F160))*12+MONTH(AsOfDate)-MONTH(F160))</f>
        <v/>
      </c>
      <c r="N160" s="41">
        <f>MAX(0,MIN(I160,M160)-INT(K160/30))</f>
        <v/>
      </c>
      <c r="O160" s="40">
        <f>IF(N160&gt;=I160,0,ROUND(PV(H160/12,I160-N160,-L160),0))</f>
        <v/>
      </c>
      <c r="P160" s="40">
        <f>MIN(I160,M160)*L160-N160*L160</f>
        <v/>
      </c>
      <c r="Q160" s="41">
        <f>INDEX(DPD_Bucket,MATCH(K160,DPD_From,1))</f>
        <v/>
      </c>
      <c r="R160" s="41">
        <f>INDEX(DPD_Class,MATCH(K160,DPD_From,1))</f>
        <v/>
      </c>
      <c r="S160" s="41">
        <f>INDEX(DPD_NPA,MATCH(K160,DPD_From,1))</f>
        <v/>
      </c>
      <c r="T160" s="42">
        <f>INDEX(DPD_Prov,MATCH(K160,DPD_From,1))</f>
        <v/>
      </c>
      <c r="U160" s="40">
        <f>ROUND(O160*T160,0)</f>
        <v/>
      </c>
      <c r="V160" s="41">
        <f>INDEX(CIBIL_Grade,MATCH(J160,CIBIL_From,1))</f>
        <v/>
      </c>
      <c r="W160" s="41">
        <f>YEAR(F160)&amp;"-Q"&amp;ROUNDUP(MONTH(F160)/3,0)</f>
        <v/>
      </c>
      <c r="X160" s="41">
        <f>IF(AND(OR(Dashboard!$C$4="All",D160=Dashboard!$C$4),OR(Dashboard!$C$5="All",E160=Dashboard!$C$5)),1,0)</f>
        <v/>
      </c>
      <c r="Y160" s="43">
        <f>IF(AND(X160=1,S160="Yes"),O160+ROW()/1000000,0)</f>
        <v/>
      </c>
    </row>
    <row r="161">
      <c r="A161" s="35" t="inlineStr">
        <is>
          <t>LN100160</t>
        </is>
      </c>
      <c r="B161" s="35" t="inlineStr">
        <is>
          <t>Nikhil Patel</t>
        </is>
      </c>
      <c r="C161" s="35" t="inlineStr">
        <is>
          <t>BLR-01</t>
        </is>
      </c>
      <c r="D161" s="36">
        <f>INDEX(Branches!$C$2:$C$15,MATCH(C161,Branches!$A$2:$A$15,0))</f>
        <v/>
      </c>
      <c r="E161" s="35" t="inlineStr">
        <is>
          <t>Home Loan</t>
        </is>
      </c>
      <c r="F161" s="37" t="n">
        <v>45342</v>
      </c>
      <c r="G161" s="38" t="n">
        <v>3856000</v>
      </c>
      <c r="H161" s="39" t="n">
        <v>0.0925</v>
      </c>
      <c r="I161" s="35" t="n">
        <v>240</v>
      </c>
      <c r="J161" s="35" t="n">
        <v>763</v>
      </c>
      <c r="K161" s="35" t="n">
        <v>0</v>
      </c>
      <c r="L161" s="40">
        <f>ROUND(PMT(H161/12,I161,-G161),0)</f>
        <v/>
      </c>
      <c r="M161" s="41">
        <f>MAX(0,(YEAR(AsOfDate)-YEAR(F161))*12+MONTH(AsOfDate)-MONTH(F161))</f>
        <v/>
      </c>
      <c r="N161" s="41">
        <f>MAX(0,MIN(I161,M161)-INT(K161/30))</f>
        <v/>
      </c>
      <c r="O161" s="40">
        <f>IF(N161&gt;=I161,0,ROUND(PV(H161/12,I161-N161,-L161),0))</f>
        <v/>
      </c>
      <c r="P161" s="40">
        <f>MIN(I161,M161)*L161-N161*L161</f>
        <v/>
      </c>
      <c r="Q161" s="41">
        <f>INDEX(DPD_Bucket,MATCH(K161,DPD_From,1))</f>
        <v/>
      </c>
      <c r="R161" s="41">
        <f>INDEX(DPD_Class,MATCH(K161,DPD_From,1))</f>
        <v/>
      </c>
      <c r="S161" s="41">
        <f>INDEX(DPD_NPA,MATCH(K161,DPD_From,1))</f>
        <v/>
      </c>
      <c r="T161" s="42">
        <f>INDEX(DPD_Prov,MATCH(K161,DPD_From,1))</f>
        <v/>
      </c>
      <c r="U161" s="40">
        <f>ROUND(O161*T161,0)</f>
        <v/>
      </c>
      <c r="V161" s="41">
        <f>INDEX(CIBIL_Grade,MATCH(J161,CIBIL_From,1))</f>
        <v/>
      </c>
      <c r="W161" s="41">
        <f>YEAR(F161)&amp;"-Q"&amp;ROUNDUP(MONTH(F161)/3,0)</f>
        <v/>
      </c>
      <c r="X161" s="41">
        <f>IF(AND(OR(Dashboard!$C$4="All",D161=Dashboard!$C$4),OR(Dashboard!$C$5="All",E161=Dashboard!$C$5)),1,0)</f>
        <v/>
      </c>
      <c r="Y161" s="43">
        <f>IF(AND(X161=1,S161="Yes"),O161+ROW()/1000000,0)</f>
        <v/>
      </c>
    </row>
    <row r="162">
      <c r="A162" s="35" t="inlineStr">
        <is>
          <t>LN100161</t>
        </is>
      </c>
      <c r="B162" s="35" t="inlineStr">
        <is>
          <t>Kavya Mishra</t>
        </is>
      </c>
      <c r="C162" s="35" t="inlineStr">
        <is>
          <t>BLR-01</t>
        </is>
      </c>
      <c r="D162" s="36">
        <f>INDEX(Branches!$C$2:$C$15,MATCH(C162,Branches!$A$2:$A$15,0))</f>
        <v/>
      </c>
      <c r="E162" s="35" t="inlineStr">
        <is>
          <t>Business Loan</t>
        </is>
      </c>
      <c r="F162" s="37" t="n">
        <v>45915</v>
      </c>
      <c r="G162" s="38" t="n">
        <v>3223000</v>
      </c>
      <c r="H162" s="39" t="n">
        <v>0.1775</v>
      </c>
      <c r="I162" s="35" t="n">
        <v>12</v>
      </c>
      <c r="J162" s="35" t="n">
        <v>822</v>
      </c>
      <c r="K162" s="35" t="n">
        <v>0</v>
      </c>
      <c r="L162" s="40">
        <f>ROUND(PMT(H162/12,I162,-G162),0)</f>
        <v/>
      </c>
      <c r="M162" s="41">
        <f>MAX(0,(YEAR(AsOfDate)-YEAR(F162))*12+MONTH(AsOfDate)-MONTH(F162))</f>
        <v/>
      </c>
      <c r="N162" s="41">
        <f>MAX(0,MIN(I162,M162)-INT(K162/30))</f>
        <v/>
      </c>
      <c r="O162" s="40">
        <f>IF(N162&gt;=I162,0,ROUND(PV(H162/12,I162-N162,-L162),0))</f>
        <v/>
      </c>
      <c r="P162" s="40">
        <f>MIN(I162,M162)*L162-N162*L162</f>
        <v/>
      </c>
      <c r="Q162" s="41">
        <f>INDEX(DPD_Bucket,MATCH(K162,DPD_From,1))</f>
        <v/>
      </c>
      <c r="R162" s="41">
        <f>INDEX(DPD_Class,MATCH(K162,DPD_From,1))</f>
        <v/>
      </c>
      <c r="S162" s="41">
        <f>INDEX(DPD_NPA,MATCH(K162,DPD_From,1))</f>
        <v/>
      </c>
      <c r="T162" s="42">
        <f>INDEX(DPD_Prov,MATCH(K162,DPD_From,1))</f>
        <v/>
      </c>
      <c r="U162" s="40">
        <f>ROUND(O162*T162,0)</f>
        <v/>
      </c>
      <c r="V162" s="41">
        <f>INDEX(CIBIL_Grade,MATCH(J162,CIBIL_From,1))</f>
        <v/>
      </c>
      <c r="W162" s="41">
        <f>YEAR(F162)&amp;"-Q"&amp;ROUNDUP(MONTH(F162)/3,0)</f>
        <v/>
      </c>
      <c r="X162" s="41">
        <f>IF(AND(OR(Dashboard!$C$4="All",D162=Dashboard!$C$4),OR(Dashboard!$C$5="All",E162=Dashboard!$C$5)),1,0)</f>
        <v/>
      </c>
      <c r="Y162" s="43">
        <f>IF(AND(X162=1,S162="Yes"),O162+ROW()/1000000,0)</f>
        <v/>
      </c>
    </row>
    <row r="163">
      <c r="A163" s="35" t="inlineStr">
        <is>
          <t>LN100162</t>
        </is>
      </c>
      <c r="B163" s="35" t="inlineStr">
        <is>
          <t>Karthik Reddy</t>
        </is>
      </c>
      <c r="C163" s="35" t="inlineStr">
        <is>
          <t>LKO-01</t>
        </is>
      </c>
      <c r="D163" s="36">
        <f>INDEX(Branches!$C$2:$C$15,MATCH(C163,Branches!$A$2:$A$15,0))</f>
        <v/>
      </c>
      <c r="E163" s="35" t="inlineStr">
        <is>
          <t>Gold Loan</t>
        </is>
      </c>
      <c r="F163" s="37" t="n">
        <v>45264</v>
      </c>
      <c r="G163" s="38" t="n">
        <v>215000</v>
      </c>
      <c r="H163" s="39" t="n">
        <v>0.0994</v>
      </c>
      <c r="I163" s="35" t="n">
        <v>12</v>
      </c>
      <c r="J163" s="35" t="n">
        <v>774</v>
      </c>
      <c r="K163" s="35" t="n">
        <v>0</v>
      </c>
      <c r="L163" s="40">
        <f>ROUND(PMT(H163/12,I163,-G163),0)</f>
        <v/>
      </c>
      <c r="M163" s="41">
        <f>MAX(0,(YEAR(AsOfDate)-YEAR(F163))*12+MONTH(AsOfDate)-MONTH(F163))</f>
        <v/>
      </c>
      <c r="N163" s="41">
        <f>MAX(0,MIN(I163,M163)-INT(K163/30))</f>
        <v/>
      </c>
      <c r="O163" s="40">
        <f>IF(N163&gt;=I163,0,ROUND(PV(H163/12,I163-N163,-L163),0))</f>
        <v/>
      </c>
      <c r="P163" s="40">
        <f>MIN(I163,M163)*L163-N163*L163</f>
        <v/>
      </c>
      <c r="Q163" s="41">
        <f>INDEX(DPD_Bucket,MATCH(K163,DPD_From,1))</f>
        <v/>
      </c>
      <c r="R163" s="41">
        <f>INDEX(DPD_Class,MATCH(K163,DPD_From,1))</f>
        <v/>
      </c>
      <c r="S163" s="41">
        <f>INDEX(DPD_NPA,MATCH(K163,DPD_From,1))</f>
        <v/>
      </c>
      <c r="T163" s="42">
        <f>INDEX(DPD_Prov,MATCH(K163,DPD_From,1))</f>
        <v/>
      </c>
      <c r="U163" s="40">
        <f>ROUND(O163*T163,0)</f>
        <v/>
      </c>
      <c r="V163" s="41">
        <f>INDEX(CIBIL_Grade,MATCH(J163,CIBIL_From,1))</f>
        <v/>
      </c>
      <c r="W163" s="41">
        <f>YEAR(F163)&amp;"-Q"&amp;ROUNDUP(MONTH(F163)/3,0)</f>
        <v/>
      </c>
      <c r="X163" s="41">
        <f>IF(AND(OR(Dashboard!$C$4="All",D163=Dashboard!$C$4),OR(Dashboard!$C$5="All",E163=Dashboard!$C$5)),1,0)</f>
        <v/>
      </c>
      <c r="Y163" s="43">
        <f>IF(AND(X163=1,S163="Yes"),O163+ROW()/1000000,0)</f>
        <v/>
      </c>
    </row>
    <row r="164">
      <c r="A164" s="35" t="inlineStr">
        <is>
          <t>LN100163</t>
        </is>
      </c>
      <c r="B164" s="35" t="inlineStr">
        <is>
          <t>Rohan Nair</t>
        </is>
      </c>
      <c r="C164" s="35" t="inlineStr">
        <is>
          <t>MUM-01</t>
        </is>
      </c>
      <c r="D164" s="36">
        <f>INDEX(Branches!$C$2:$C$15,MATCH(C164,Branches!$A$2:$A$15,0))</f>
        <v/>
      </c>
      <c r="E164" s="35" t="inlineStr">
        <is>
          <t>Auto Loan</t>
        </is>
      </c>
      <c r="F164" s="37" t="n">
        <v>46120</v>
      </c>
      <c r="G164" s="38" t="n">
        <v>1640000</v>
      </c>
      <c r="H164" s="39" t="n">
        <v>0.1108</v>
      </c>
      <c r="I164" s="35" t="n">
        <v>36</v>
      </c>
      <c r="J164" s="35" t="n">
        <v>729</v>
      </c>
      <c r="K164" s="35" t="n">
        <v>0</v>
      </c>
      <c r="L164" s="40">
        <f>ROUND(PMT(H164/12,I164,-G164),0)</f>
        <v/>
      </c>
      <c r="M164" s="41">
        <f>MAX(0,(YEAR(AsOfDate)-YEAR(F164))*12+MONTH(AsOfDate)-MONTH(F164))</f>
        <v/>
      </c>
      <c r="N164" s="41">
        <f>MAX(0,MIN(I164,M164)-INT(K164/30))</f>
        <v/>
      </c>
      <c r="O164" s="40">
        <f>IF(N164&gt;=I164,0,ROUND(PV(H164/12,I164-N164,-L164),0))</f>
        <v/>
      </c>
      <c r="P164" s="40">
        <f>MIN(I164,M164)*L164-N164*L164</f>
        <v/>
      </c>
      <c r="Q164" s="41">
        <f>INDEX(DPD_Bucket,MATCH(K164,DPD_From,1))</f>
        <v/>
      </c>
      <c r="R164" s="41">
        <f>INDEX(DPD_Class,MATCH(K164,DPD_From,1))</f>
        <v/>
      </c>
      <c r="S164" s="41">
        <f>INDEX(DPD_NPA,MATCH(K164,DPD_From,1))</f>
        <v/>
      </c>
      <c r="T164" s="42">
        <f>INDEX(DPD_Prov,MATCH(K164,DPD_From,1))</f>
        <v/>
      </c>
      <c r="U164" s="40">
        <f>ROUND(O164*T164,0)</f>
        <v/>
      </c>
      <c r="V164" s="41">
        <f>INDEX(CIBIL_Grade,MATCH(J164,CIBIL_From,1))</f>
        <v/>
      </c>
      <c r="W164" s="41">
        <f>YEAR(F164)&amp;"-Q"&amp;ROUNDUP(MONTH(F164)/3,0)</f>
        <v/>
      </c>
      <c r="X164" s="41">
        <f>IF(AND(OR(Dashboard!$C$4="All",D164=Dashboard!$C$4),OR(Dashboard!$C$5="All",E164=Dashboard!$C$5)),1,0)</f>
        <v/>
      </c>
      <c r="Y164" s="43">
        <f>IF(AND(X164=1,S164="Yes"),O164+ROW()/1000000,0)</f>
        <v/>
      </c>
    </row>
    <row r="165">
      <c r="A165" s="35" t="inlineStr">
        <is>
          <t>LN100164</t>
        </is>
      </c>
      <c r="B165" s="35" t="inlineStr">
        <is>
          <t>Pooja Das</t>
        </is>
      </c>
      <c r="C165" s="35" t="inlineStr">
        <is>
          <t>CHN-01</t>
        </is>
      </c>
      <c r="D165" s="36">
        <f>INDEX(Branches!$C$2:$C$15,MATCH(C165,Branches!$A$2:$A$15,0))</f>
        <v/>
      </c>
      <c r="E165" s="35" t="inlineStr">
        <is>
          <t>Home Loan</t>
        </is>
      </c>
      <c r="F165" s="37" t="n">
        <v>45589</v>
      </c>
      <c r="G165" s="38" t="n">
        <v>3764000</v>
      </c>
      <c r="H165" s="39" t="n">
        <v>0.08500000000000001</v>
      </c>
      <c r="I165" s="35" t="n">
        <v>240</v>
      </c>
      <c r="J165" s="35" t="n">
        <v>670</v>
      </c>
      <c r="K165" s="35" t="n">
        <v>0</v>
      </c>
      <c r="L165" s="40">
        <f>ROUND(PMT(H165/12,I165,-G165),0)</f>
        <v/>
      </c>
      <c r="M165" s="41">
        <f>MAX(0,(YEAR(AsOfDate)-YEAR(F165))*12+MONTH(AsOfDate)-MONTH(F165))</f>
        <v/>
      </c>
      <c r="N165" s="41">
        <f>MAX(0,MIN(I165,M165)-INT(K165/30))</f>
        <v/>
      </c>
      <c r="O165" s="40">
        <f>IF(N165&gt;=I165,0,ROUND(PV(H165/12,I165-N165,-L165),0))</f>
        <v/>
      </c>
      <c r="P165" s="40">
        <f>MIN(I165,M165)*L165-N165*L165</f>
        <v/>
      </c>
      <c r="Q165" s="41">
        <f>INDEX(DPD_Bucket,MATCH(K165,DPD_From,1))</f>
        <v/>
      </c>
      <c r="R165" s="41">
        <f>INDEX(DPD_Class,MATCH(K165,DPD_From,1))</f>
        <v/>
      </c>
      <c r="S165" s="41">
        <f>INDEX(DPD_NPA,MATCH(K165,DPD_From,1))</f>
        <v/>
      </c>
      <c r="T165" s="42">
        <f>INDEX(DPD_Prov,MATCH(K165,DPD_From,1))</f>
        <v/>
      </c>
      <c r="U165" s="40">
        <f>ROUND(O165*T165,0)</f>
        <v/>
      </c>
      <c r="V165" s="41">
        <f>INDEX(CIBIL_Grade,MATCH(J165,CIBIL_From,1))</f>
        <v/>
      </c>
      <c r="W165" s="41">
        <f>YEAR(F165)&amp;"-Q"&amp;ROUNDUP(MONTH(F165)/3,0)</f>
        <v/>
      </c>
      <c r="X165" s="41">
        <f>IF(AND(OR(Dashboard!$C$4="All",D165=Dashboard!$C$4),OR(Dashboard!$C$5="All",E165=Dashboard!$C$5)),1,0)</f>
        <v/>
      </c>
      <c r="Y165" s="43">
        <f>IF(AND(X165=1,S165="Yes"),O165+ROW()/1000000,0)</f>
        <v/>
      </c>
    </row>
    <row r="166">
      <c r="A166" s="35" t="inlineStr">
        <is>
          <t>LN100165</t>
        </is>
      </c>
      <c r="B166" s="35" t="inlineStr">
        <is>
          <t>Priya Menon</t>
        </is>
      </c>
      <c r="C166" s="35" t="inlineStr">
        <is>
          <t>BBS-01</t>
        </is>
      </c>
      <c r="D166" s="36">
        <f>INDEX(Branches!$C$2:$C$15,MATCH(C166,Branches!$A$2:$A$15,0))</f>
        <v/>
      </c>
      <c r="E166" s="35" t="inlineStr">
        <is>
          <t>Home Loan</t>
        </is>
      </c>
      <c r="F166" s="37" t="n">
        <v>45262</v>
      </c>
      <c r="G166" s="38" t="n">
        <v>2844000</v>
      </c>
      <c r="H166" s="39" t="n">
        <v>0.0916</v>
      </c>
      <c r="I166" s="35" t="n">
        <v>240</v>
      </c>
      <c r="J166" s="35" t="n">
        <v>835</v>
      </c>
      <c r="K166" s="35" t="n">
        <v>0</v>
      </c>
      <c r="L166" s="40">
        <f>ROUND(PMT(H166/12,I166,-G166),0)</f>
        <v/>
      </c>
      <c r="M166" s="41">
        <f>MAX(0,(YEAR(AsOfDate)-YEAR(F166))*12+MONTH(AsOfDate)-MONTH(F166))</f>
        <v/>
      </c>
      <c r="N166" s="41">
        <f>MAX(0,MIN(I166,M166)-INT(K166/30))</f>
        <v/>
      </c>
      <c r="O166" s="40">
        <f>IF(N166&gt;=I166,0,ROUND(PV(H166/12,I166-N166,-L166),0))</f>
        <v/>
      </c>
      <c r="P166" s="40">
        <f>MIN(I166,M166)*L166-N166*L166</f>
        <v/>
      </c>
      <c r="Q166" s="41">
        <f>INDEX(DPD_Bucket,MATCH(K166,DPD_From,1))</f>
        <v/>
      </c>
      <c r="R166" s="41">
        <f>INDEX(DPD_Class,MATCH(K166,DPD_From,1))</f>
        <v/>
      </c>
      <c r="S166" s="41">
        <f>INDEX(DPD_NPA,MATCH(K166,DPD_From,1))</f>
        <v/>
      </c>
      <c r="T166" s="42">
        <f>INDEX(DPD_Prov,MATCH(K166,DPD_From,1))</f>
        <v/>
      </c>
      <c r="U166" s="40">
        <f>ROUND(O166*T166,0)</f>
        <v/>
      </c>
      <c r="V166" s="41">
        <f>INDEX(CIBIL_Grade,MATCH(J166,CIBIL_From,1))</f>
        <v/>
      </c>
      <c r="W166" s="41">
        <f>YEAR(F166)&amp;"-Q"&amp;ROUNDUP(MONTH(F166)/3,0)</f>
        <v/>
      </c>
      <c r="X166" s="41">
        <f>IF(AND(OR(Dashboard!$C$4="All",D166=Dashboard!$C$4),OR(Dashboard!$C$5="All",E166=Dashboard!$C$5)),1,0)</f>
        <v/>
      </c>
      <c r="Y166" s="43">
        <f>IF(AND(X166=1,S166="Yes"),O166+ROW()/1000000,0)</f>
        <v/>
      </c>
    </row>
    <row r="167">
      <c r="A167" s="35" t="inlineStr">
        <is>
          <t>LN100166</t>
        </is>
      </c>
      <c r="B167" s="35" t="inlineStr">
        <is>
          <t>Rahul Mohanty</t>
        </is>
      </c>
      <c r="C167" s="35" t="inlineStr">
        <is>
          <t>CHN-01</t>
        </is>
      </c>
      <c r="D167" s="36">
        <f>INDEX(Branches!$C$2:$C$15,MATCH(C167,Branches!$A$2:$A$15,0))</f>
        <v/>
      </c>
      <c r="E167" s="35" t="inlineStr">
        <is>
          <t>Gold Loan</t>
        </is>
      </c>
      <c r="F167" s="37" t="n">
        <v>45817</v>
      </c>
      <c r="G167" s="38" t="n">
        <v>493000</v>
      </c>
      <c r="H167" s="39" t="n">
        <v>0.1138</v>
      </c>
      <c r="I167" s="35" t="n">
        <v>6</v>
      </c>
      <c r="J167" s="35" t="n">
        <v>733</v>
      </c>
      <c r="K167" s="35" t="n">
        <v>0</v>
      </c>
      <c r="L167" s="40">
        <f>ROUND(PMT(H167/12,I167,-G167),0)</f>
        <v/>
      </c>
      <c r="M167" s="41">
        <f>MAX(0,(YEAR(AsOfDate)-YEAR(F167))*12+MONTH(AsOfDate)-MONTH(F167))</f>
        <v/>
      </c>
      <c r="N167" s="41">
        <f>MAX(0,MIN(I167,M167)-INT(K167/30))</f>
        <v/>
      </c>
      <c r="O167" s="40">
        <f>IF(N167&gt;=I167,0,ROUND(PV(H167/12,I167-N167,-L167),0))</f>
        <v/>
      </c>
      <c r="P167" s="40">
        <f>MIN(I167,M167)*L167-N167*L167</f>
        <v/>
      </c>
      <c r="Q167" s="41">
        <f>INDEX(DPD_Bucket,MATCH(K167,DPD_From,1))</f>
        <v/>
      </c>
      <c r="R167" s="41">
        <f>INDEX(DPD_Class,MATCH(K167,DPD_From,1))</f>
        <v/>
      </c>
      <c r="S167" s="41">
        <f>INDEX(DPD_NPA,MATCH(K167,DPD_From,1))</f>
        <v/>
      </c>
      <c r="T167" s="42">
        <f>INDEX(DPD_Prov,MATCH(K167,DPD_From,1))</f>
        <v/>
      </c>
      <c r="U167" s="40">
        <f>ROUND(O167*T167,0)</f>
        <v/>
      </c>
      <c r="V167" s="41">
        <f>INDEX(CIBIL_Grade,MATCH(J167,CIBIL_From,1))</f>
        <v/>
      </c>
      <c r="W167" s="41">
        <f>YEAR(F167)&amp;"-Q"&amp;ROUNDUP(MONTH(F167)/3,0)</f>
        <v/>
      </c>
      <c r="X167" s="41">
        <f>IF(AND(OR(Dashboard!$C$4="All",D167=Dashboard!$C$4),OR(Dashboard!$C$5="All",E167=Dashboard!$C$5)),1,0)</f>
        <v/>
      </c>
      <c r="Y167" s="43">
        <f>IF(AND(X167=1,S167="Yes"),O167+ROW()/1000000,0)</f>
        <v/>
      </c>
    </row>
    <row r="168">
      <c r="A168" s="35" t="inlineStr">
        <is>
          <t>LN100167</t>
        </is>
      </c>
      <c r="B168" s="35" t="inlineStr">
        <is>
          <t>Rohan Reddy</t>
        </is>
      </c>
      <c r="C168" s="35" t="inlineStr">
        <is>
          <t>JAI-01</t>
        </is>
      </c>
      <c r="D168" s="36">
        <f>INDEX(Branches!$C$2:$C$15,MATCH(C168,Branches!$A$2:$A$15,0))</f>
        <v/>
      </c>
      <c r="E168" s="35" t="inlineStr">
        <is>
          <t>Auto Loan</t>
        </is>
      </c>
      <c r="F168" s="37" t="n">
        <v>46120</v>
      </c>
      <c r="G168" s="38" t="n">
        <v>1815000</v>
      </c>
      <c r="H168" s="39" t="n">
        <v>0.091</v>
      </c>
      <c r="I168" s="35" t="n">
        <v>84</v>
      </c>
      <c r="J168" s="35" t="n">
        <v>688</v>
      </c>
      <c r="K168" s="35" t="n">
        <v>0</v>
      </c>
      <c r="L168" s="40">
        <f>ROUND(PMT(H168/12,I168,-G168),0)</f>
        <v/>
      </c>
      <c r="M168" s="41">
        <f>MAX(0,(YEAR(AsOfDate)-YEAR(F168))*12+MONTH(AsOfDate)-MONTH(F168))</f>
        <v/>
      </c>
      <c r="N168" s="41">
        <f>MAX(0,MIN(I168,M168)-INT(K168/30))</f>
        <v/>
      </c>
      <c r="O168" s="40">
        <f>IF(N168&gt;=I168,0,ROUND(PV(H168/12,I168-N168,-L168),0))</f>
        <v/>
      </c>
      <c r="P168" s="40">
        <f>MIN(I168,M168)*L168-N168*L168</f>
        <v/>
      </c>
      <c r="Q168" s="41">
        <f>INDEX(DPD_Bucket,MATCH(K168,DPD_From,1))</f>
        <v/>
      </c>
      <c r="R168" s="41">
        <f>INDEX(DPD_Class,MATCH(K168,DPD_From,1))</f>
        <v/>
      </c>
      <c r="S168" s="41">
        <f>INDEX(DPD_NPA,MATCH(K168,DPD_From,1))</f>
        <v/>
      </c>
      <c r="T168" s="42">
        <f>INDEX(DPD_Prov,MATCH(K168,DPD_From,1))</f>
        <v/>
      </c>
      <c r="U168" s="40">
        <f>ROUND(O168*T168,0)</f>
        <v/>
      </c>
      <c r="V168" s="41">
        <f>INDEX(CIBIL_Grade,MATCH(J168,CIBIL_From,1))</f>
        <v/>
      </c>
      <c r="W168" s="41">
        <f>YEAR(F168)&amp;"-Q"&amp;ROUNDUP(MONTH(F168)/3,0)</f>
        <v/>
      </c>
      <c r="X168" s="41">
        <f>IF(AND(OR(Dashboard!$C$4="All",D168=Dashboard!$C$4),OR(Dashboard!$C$5="All",E168=Dashboard!$C$5)),1,0)</f>
        <v/>
      </c>
      <c r="Y168" s="43">
        <f>IF(AND(X168=1,S168="Yes"),O168+ROW()/1000000,0)</f>
        <v/>
      </c>
    </row>
    <row r="169">
      <c r="A169" s="35" t="inlineStr">
        <is>
          <t>LN100168</t>
        </is>
      </c>
      <c r="B169" s="35" t="inlineStr">
        <is>
          <t>Tanvi Mishra</t>
        </is>
      </c>
      <c r="C169" s="35" t="inlineStr">
        <is>
          <t>CHN-01</t>
        </is>
      </c>
      <c r="D169" s="36">
        <f>INDEX(Branches!$C$2:$C$15,MATCH(C169,Branches!$A$2:$A$15,0))</f>
        <v/>
      </c>
      <c r="E169" s="35" t="inlineStr">
        <is>
          <t>Auto Loan</t>
        </is>
      </c>
      <c r="F169" s="37" t="n">
        <v>45332</v>
      </c>
      <c r="G169" s="38" t="n">
        <v>601000</v>
      </c>
      <c r="H169" s="39" t="n">
        <v>0.0988</v>
      </c>
      <c r="I169" s="35" t="n">
        <v>84</v>
      </c>
      <c r="J169" s="35" t="n">
        <v>789</v>
      </c>
      <c r="K169" s="35" t="n">
        <v>0</v>
      </c>
      <c r="L169" s="40">
        <f>ROUND(PMT(H169/12,I169,-G169),0)</f>
        <v/>
      </c>
      <c r="M169" s="41">
        <f>MAX(0,(YEAR(AsOfDate)-YEAR(F169))*12+MONTH(AsOfDate)-MONTH(F169))</f>
        <v/>
      </c>
      <c r="N169" s="41">
        <f>MAX(0,MIN(I169,M169)-INT(K169/30))</f>
        <v/>
      </c>
      <c r="O169" s="40">
        <f>IF(N169&gt;=I169,0,ROUND(PV(H169/12,I169-N169,-L169),0))</f>
        <v/>
      </c>
      <c r="P169" s="40">
        <f>MIN(I169,M169)*L169-N169*L169</f>
        <v/>
      </c>
      <c r="Q169" s="41">
        <f>INDEX(DPD_Bucket,MATCH(K169,DPD_From,1))</f>
        <v/>
      </c>
      <c r="R169" s="41">
        <f>INDEX(DPD_Class,MATCH(K169,DPD_From,1))</f>
        <v/>
      </c>
      <c r="S169" s="41">
        <f>INDEX(DPD_NPA,MATCH(K169,DPD_From,1))</f>
        <v/>
      </c>
      <c r="T169" s="42">
        <f>INDEX(DPD_Prov,MATCH(K169,DPD_From,1))</f>
        <v/>
      </c>
      <c r="U169" s="40">
        <f>ROUND(O169*T169,0)</f>
        <v/>
      </c>
      <c r="V169" s="41">
        <f>INDEX(CIBIL_Grade,MATCH(J169,CIBIL_From,1))</f>
        <v/>
      </c>
      <c r="W169" s="41">
        <f>YEAR(F169)&amp;"-Q"&amp;ROUNDUP(MONTH(F169)/3,0)</f>
        <v/>
      </c>
      <c r="X169" s="41">
        <f>IF(AND(OR(Dashboard!$C$4="All",D169=Dashboard!$C$4),OR(Dashboard!$C$5="All",E169=Dashboard!$C$5)),1,0)</f>
        <v/>
      </c>
      <c r="Y169" s="43">
        <f>IF(AND(X169=1,S169="Yes"),O169+ROW()/1000000,0)</f>
        <v/>
      </c>
    </row>
    <row r="170">
      <c r="A170" s="35" t="inlineStr">
        <is>
          <t>LN100169</t>
        </is>
      </c>
      <c r="B170" s="35" t="inlineStr">
        <is>
          <t>Lakshmi Mishra</t>
        </is>
      </c>
      <c r="C170" s="35" t="inlineStr">
        <is>
          <t>HYD-01</t>
        </is>
      </c>
      <c r="D170" s="36">
        <f>INDEX(Branches!$C$2:$C$15,MATCH(C170,Branches!$A$2:$A$15,0))</f>
        <v/>
      </c>
      <c r="E170" s="35" t="inlineStr">
        <is>
          <t>Home Loan</t>
        </is>
      </c>
      <c r="F170" s="37" t="n">
        <v>45114</v>
      </c>
      <c r="G170" s="38" t="n">
        <v>11981000</v>
      </c>
      <c r="H170" s="39" t="n">
        <v>0.0858</v>
      </c>
      <c r="I170" s="35" t="n">
        <v>180</v>
      </c>
      <c r="J170" s="35" t="n">
        <v>671</v>
      </c>
      <c r="K170" s="35" t="n">
        <v>0</v>
      </c>
      <c r="L170" s="40">
        <f>ROUND(PMT(H170/12,I170,-G170),0)</f>
        <v/>
      </c>
      <c r="M170" s="41">
        <f>MAX(0,(YEAR(AsOfDate)-YEAR(F170))*12+MONTH(AsOfDate)-MONTH(F170))</f>
        <v/>
      </c>
      <c r="N170" s="41">
        <f>MAX(0,MIN(I170,M170)-INT(K170/30))</f>
        <v/>
      </c>
      <c r="O170" s="40">
        <f>IF(N170&gt;=I170,0,ROUND(PV(H170/12,I170-N170,-L170),0))</f>
        <v/>
      </c>
      <c r="P170" s="40">
        <f>MIN(I170,M170)*L170-N170*L170</f>
        <v/>
      </c>
      <c r="Q170" s="41">
        <f>INDEX(DPD_Bucket,MATCH(K170,DPD_From,1))</f>
        <v/>
      </c>
      <c r="R170" s="41">
        <f>INDEX(DPD_Class,MATCH(K170,DPD_From,1))</f>
        <v/>
      </c>
      <c r="S170" s="41">
        <f>INDEX(DPD_NPA,MATCH(K170,DPD_From,1))</f>
        <v/>
      </c>
      <c r="T170" s="42">
        <f>INDEX(DPD_Prov,MATCH(K170,DPD_From,1))</f>
        <v/>
      </c>
      <c r="U170" s="40">
        <f>ROUND(O170*T170,0)</f>
        <v/>
      </c>
      <c r="V170" s="41">
        <f>INDEX(CIBIL_Grade,MATCH(J170,CIBIL_From,1))</f>
        <v/>
      </c>
      <c r="W170" s="41">
        <f>YEAR(F170)&amp;"-Q"&amp;ROUNDUP(MONTH(F170)/3,0)</f>
        <v/>
      </c>
      <c r="X170" s="41">
        <f>IF(AND(OR(Dashboard!$C$4="All",D170=Dashboard!$C$4),OR(Dashboard!$C$5="All",E170=Dashboard!$C$5)),1,0)</f>
        <v/>
      </c>
      <c r="Y170" s="43">
        <f>IF(AND(X170=1,S170="Yes"),O170+ROW()/1000000,0)</f>
        <v/>
      </c>
    </row>
    <row r="171">
      <c r="A171" s="35" t="inlineStr">
        <is>
          <t>LN100170</t>
        </is>
      </c>
      <c r="B171" s="35" t="inlineStr">
        <is>
          <t>Diya Patel</t>
        </is>
      </c>
      <c r="C171" s="35" t="inlineStr">
        <is>
          <t>HYD-01</t>
        </is>
      </c>
      <c r="D171" s="36">
        <f>INDEX(Branches!$C$2:$C$15,MATCH(C171,Branches!$A$2:$A$15,0))</f>
        <v/>
      </c>
      <c r="E171" s="35" t="inlineStr">
        <is>
          <t>Personal Loan</t>
        </is>
      </c>
      <c r="F171" s="37" t="n">
        <v>45919</v>
      </c>
      <c r="G171" s="38" t="n">
        <v>552000</v>
      </c>
      <c r="H171" s="39" t="n">
        <v>0.1582</v>
      </c>
      <c r="I171" s="35" t="n">
        <v>12</v>
      </c>
      <c r="J171" s="35" t="n">
        <v>828</v>
      </c>
      <c r="K171" s="35" t="n">
        <v>0</v>
      </c>
      <c r="L171" s="40">
        <f>ROUND(PMT(H171/12,I171,-G171),0)</f>
        <v/>
      </c>
      <c r="M171" s="41">
        <f>MAX(0,(YEAR(AsOfDate)-YEAR(F171))*12+MONTH(AsOfDate)-MONTH(F171))</f>
        <v/>
      </c>
      <c r="N171" s="41">
        <f>MAX(0,MIN(I171,M171)-INT(K171/30))</f>
        <v/>
      </c>
      <c r="O171" s="40">
        <f>IF(N171&gt;=I171,0,ROUND(PV(H171/12,I171-N171,-L171),0))</f>
        <v/>
      </c>
      <c r="P171" s="40">
        <f>MIN(I171,M171)*L171-N171*L171</f>
        <v/>
      </c>
      <c r="Q171" s="41">
        <f>INDEX(DPD_Bucket,MATCH(K171,DPD_From,1))</f>
        <v/>
      </c>
      <c r="R171" s="41">
        <f>INDEX(DPD_Class,MATCH(K171,DPD_From,1))</f>
        <v/>
      </c>
      <c r="S171" s="41">
        <f>INDEX(DPD_NPA,MATCH(K171,DPD_From,1))</f>
        <v/>
      </c>
      <c r="T171" s="42">
        <f>INDEX(DPD_Prov,MATCH(K171,DPD_From,1))</f>
        <v/>
      </c>
      <c r="U171" s="40">
        <f>ROUND(O171*T171,0)</f>
        <v/>
      </c>
      <c r="V171" s="41">
        <f>INDEX(CIBIL_Grade,MATCH(J171,CIBIL_From,1))</f>
        <v/>
      </c>
      <c r="W171" s="41">
        <f>YEAR(F171)&amp;"-Q"&amp;ROUNDUP(MONTH(F171)/3,0)</f>
        <v/>
      </c>
      <c r="X171" s="41">
        <f>IF(AND(OR(Dashboard!$C$4="All",D171=Dashboard!$C$4),OR(Dashboard!$C$5="All",E171=Dashboard!$C$5)),1,0)</f>
        <v/>
      </c>
      <c r="Y171" s="43">
        <f>IF(AND(X171=1,S171="Yes"),O171+ROW()/1000000,0)</f>
        <v/>
      </c>
    </row>
    <row r="172">
      <c r="A172" s="35" t="inlineStr">
        <is>
          <t>LN100171</t>
        </is>
      </c>
      <c r="B172" s="35" t="inlineStr">
        <is>
          <t>Sai Singh</t>
        </is>
      </c>
      <c r="C172" s="35" t="inlineStr">
        <is>
          <t>JAI-01</t>
        </is>
      </c>
      <c r="D172" s="36">
        <f>INDEX(Branches!$C$2:$C$15,MATCH(C172,Branches!$A$2:$A$15,0))</f>
        <v/>
      </c>
      <c r="E172" s="35" t="inlineStr">
        <is>
          <t>Auto Loan</t>
        </is>
      </c>
      <c r="F172" s="37" t="n">
        <v>46012</v>
      </c>
      <c r="G172" s="38" t="n">
        <v>1254000</v>
      </c>
      <c r="H172" s="39" t="n">
        <v>0.1046</v>
      </c>
      <c r="I172" s="35" t="n">
        <v>60</v>
      </c>
      <c r="J172" s="35" t="n">
        <v>734</v>
      </c>
      <c r="K172" s="35" t="n">
        <v>0</v>
      </c>
      <c r="L172" s="40">
        <f>ROUND(PMT(H172/12,I172,-G172),0)</f>
        <v/>
      </c>
      <c r="M172" s="41">
        <f>MAX(0,(YEAR(AsOfDate)-YEAR(F172))*12+MONTH(AsOfDate)-MONTH(F172))</f>
        <v/>
      </c>
      <c r="N172" s="41">
        <f>MAX(0,MIN(I172,M172)-INT(K172/30))</f>
        <v/>
      </c>
      <c r="O172" s="40">
        <f>IF(N172&gt;=I172,0,ROUND(PV(H172/12,I172-N172,-L172),0))</f>
        <v/>
      </c>
      <c r="P172" s="40">
        <f>MIN(I172,M172)*L172-N172*L172</f>
        <v/>
      </c>
      <c r="Q172" s="41">
        <f>INDEX(DPD_Bucket,MATCH(K172,DPD_From,1))</f>
        <v/>
      </c>
      <c r="R172" s="41">
        <f>INDEX(DPD_Class,MATCH(K172,DPD_From,1))</f>
        <v/>
      </c>
      <c r="S172" s="41">
        <f>INDEX(DPD_NPA,MATCH(K172,DPD_From,1))</f>
        <v/>
      </c>
      <c r="T172" s="42">
        <f>INDEX(DPD_Prov,MATCH(K172,DPD_From,1))</f>
        <v/>
      </c>
      <c r="U172" s="40">
        <f>ROUND(O172*T172,0)</f>
        <v/>
      </c>
      <c r="V172" s="41">
        <f>INDEX(CIBIL_Grade,MATCH(J172,CIBIL_From,1))</f>
        <v/>
      </c>
      <c r="W172" s="41">
        <f>YEAR(F172)&amp;"-Q"&amp;ROUNDUP(MONTH(F172)/3,0)</f>
        <v/>
      </c>
      <c r="X172" s="41">
        <f>IF(AND(OR(Dashboard!$C$4="All",D172=Dashboard!$C$4),OR(Dashboard!$C$5="All",E172=Dashboard!$C$5)),1,0)</f>
        <v/>
      </c>
      <c r="Y172" s="43">
        <f>IF(AND(X172=1,S172="Yes"),O172+ROW()/1000000,0)</f>
        <v/>
      </c>
    </row>
    <row r="173">
      <c r="A173" s="35" t="inlineStr">
        <is>
          <t>LN100172</t>
        </is>
      </c>
      <c r="B173" s="35" t="inlineStr">
        <is>
          <t>Suresh Sahoo</t>
        </is>
      </c>
      <c r="C173" s="35" t="inlineStr">
        <is>
          <t>PUN-01</t>
        </is>
      </c>
      <c r="D173" s="36">
        <f>INDEX(Branches!$C$2:$C$15,MATCH(C173,Branches!$A$2:$A$15,0))</f>
        <v/>
      </c>
      <c r="E173" s="35" t="inlineStr">
        <is>
          <t>Home Loan</t>
        </is>
      </c>
      <c r="F173" s="37" t="n">
        <v>45858</v>
      </c>
      <c r="G173" s="38" t="n">
        <v>12953000</v>
      </c>
      <c r="H173" s="39" t="n">
        <v>0.0919</v>
      </c>
      <c r="I173" s="35" t="n">
        <v>240</v>
      </c>
      <c r="J173" s="35" t="n">
        <v>813</v>
      </c>
      <c r="K173" s="35" t="n">
        <v>0</v>
      </c>
      <c r="L173" s="40">
        <f>ROUND(PMT(H173/12,I173,-G173),0)</f>
        <v/>
      </c>
      <c r="M173" s="41">
        <f>MAX(0,(YEAR(AsOfDate)-YEAR(F173))*12+MONTH(AsOfDate)-MONTH(F173))</f>
        <v/>
      </c>
      <c r="N173" s="41">
        <f>MAX(0,MIN(I173,M173)-INT(K173/30))</f>
        <v/>
      </c>
      <c r="O173" s="40">
        <f>IF(N173&gt;=I173,0,ROUND(PV(H173/12,I173-N173,-L173),0))</f>
        <v/>
      </c>
      <c r="P173" s="40">
        <f>MIN(I173,M173)*L173-N173*L173</f>
        <v/>
      </c>
      <c r="Q173" s="41">
        <f>INDEX(DPD_Bucket,MATCH(K173,DPD_From,1))</f>
        <v/>
      </c>
      <c r="R173" s="41">
        <f>INDEX(DPD_Class,MATCH(K173,DPD_From,1))</f>
        <v/>
      </c>
      <c r="S173" s="41">
        <f>INDEX(DPD_NPA,MATCH(K173,DPD_From,1))</f>
        <v/>
      </c>
      <c r="T173" s="42">
        <f>INDEX(DPD_Prov,MATCH(K173,DPD_From,1))</f>
        <v/>
      </c>
      <c r="U173" s="40">
        <f>ROUND(O173*T173,0)</f>
        <v/>
      </c>
      <c r="V173" s="41">
        <f>INDEX(CIBIL_Grade,MATCH(J173,CIBIL_From,1))</f>
        <v/>
      </c>
      <c r="W173" s="41">
        <f>YEAR(F173)&amp;"-Q"&amp;ROUNDUP(MONTH(F173)/3,0)</f>
        <v/>
      </c>
      <c r="X173" s="41">
        <f>IF(AND(OR(Dashboard!$C$4="All",D173=Dashboard!$C$4),OR(Dashboard!$C$5="All",E173=Dashboard!$C$5)),1,0)</f>
        <v/>
      </c>
      <c r="Y173" s="43">
        <f>IF(AND(X173=1,S173="Yes"),O173+ROW()/1000000,0)</f>
        <v/>
      </c>
    </row>
    <row r="174">
      <c r="A174" s="35" t="inlineStr">
        <is>
          <t>LN100173</t>
        </is>
      </c>
      <c r="B174" s="35" t="inlineStr">
        <is>
          <t>Lakshmi Das</t>
        </is>
      </c>
      <c r="C174" s="35" t="inlineStr">
        <is>
          <t>PAT-01</t>
        </is>
      </c>
      <c r="D174" s="36">
        <f>INDEX(Branches!$C$2:$C$15,MATCH(C174,Branches!$A$2:$A$15,0))</f>
        <v/>
      </c>
      <c r="E174" s="35" t="inlineStr">
        <is>
          <t>Business Loan</t>
        </is>
      </c>
      <c r="F174" s="37" t="n">
        <v>46007</v>
      </c>
      <c r="G174" s="38" t="n">
        <v>3075000</v>
      </c>
      <c r="H174" s="39" t="n">
        <v>0.1733</v>
      </c>
      <c r="I174" s="35" t="n">
        <v>12</v>
      </c>
      <c r="J174" s="35" t="n">
        <v>810</v>
      </c>
      <c r="K174" s="35" t="n">
        <v>0</v>
      </c>
      <c r="L174" s="40">
        <f>ROUND(PMT(H174/12,I174,-G174),0)</f>
        <v/>
      </c>
      <c r="M174" s="41">
        <f>MAX(0,(YEAR(AsOfDate)-YEAR(F174))*12+MONTH(AsOfDate)-MONTH(F174))</f>
        <v/>
      </c>
      <c r="N174" s="41">
        <f>MAX(0,MIN(I174,M174)-INT(K174/30))</f>
        <v/>
      </c>
      <c r="O174" s="40">
        <f>IF(N174&gt;=I174,0,ROUND(PV(H174/12,I174-N174,-L174),0))</f>
        <v/>
      </c>
      <c r="P174" s="40">
        <f>MIN(I174,M174)*L174-N174*L174</f>
        <v/>
      </c>
      <c r="Q174" s="41">
        <f>INDEX(DPD_Bucket,MATCH(K174,DPD_From,1))</f>
        <v/>
      </c>
      <c r="R174" s="41">
        <f>INDEX(DPD_Class,MATCH(K174,DPD_From,1))</f>
        <v/>
      </c>
      <c r="S174" s="41">
        <f>INDEX(DPD_NPA,MATCH(K174,DPD_From,1))</f>
        <v/>
      </c>
      <c r="T174" s="42">
        <f>INDEX(DPD_Prov,MATCH(K174,DPD_From,1))</f>
        <v/>
      </c>
      <c r="U174" s="40">
        <f>ROUND(O174*T174,0)</f>
        <v/>
      </c>
      <c r="V174" s="41">
        <f>INDEX(CIBIL_Grade,MATCH(J174,CIBIL_From,1))</f>
        <v/>
      </c>
      <c r="W174" s="41">
        <f>YEAR(F174)&amp;"-Q"&amp;ROUNDUP(MONTH(F174)/3,0)</f>
        <v/>
      </c>
      <c r="X174" s="41">
        <f>IF(AND(OR(Dashboard!$C$4="All",D174=Dashboard!$C$4),OR(Dashboard!$C$5="All",E174=Dashboard!$C$5)),1,0)</f>
        <v/>
      </c>
      <c r="Y174" s="43">
        <f>IF(AND(X174=1,S174="Yes"),O174+ROW()/1000000,0)</f>
        <v/>
      </c>
    </row>
    <row r="175">
      <c r="A175" s="35" t="inlineStr">
        <is>
          <t>LN100174</t>
        </is>
      </c>
      <c r="B175" s="35" t="inlineStr">
        <is>
          <t>Diya Pillai</t>
        </is>
      </c>
      <c r="C175" s="35" t="inlineStr">
        <is>
          <t>KOC-01</t>
        </is>
      </c>
      <c r="D175" s="36">
        <f>INDEX(Branches!$C$2:$C$15,MATCH(C175,Branches!$A$2:$A$15,0))</f>
        <v/>
      </c>
      <c r="E175" s="35" t="inlineStr">
        <is>
          <t>Home Loan</t>
        </is>
      </c>
      <c r="F175" s="37" t="n">
        <v>45580</v>
      </c>
      <c r="G175" s="38" t="n">
        <v>12461000</v>
      </c>
      <c r="H175" s="39" t="n">
        <v>0.0936</v>
      </c>
      <c r="I175" s="35" t="n">
        <v>240</v>
      </c>
      <c r="J175" s="35" t="n">
        <v>757</v>
      </c>
      <c r="K175" s="35" t="n">
        <v>0</v>
      </c>
      <c r="L175" s="40">
        <f>ROUND(PMT(H175/12,I175,-G175),0)</f>
        <v/>
      </c>
      <c r="M175" s="41">
        <f>MAX(0,(YEAR(AsOfDate)-YEAR(F175))*12+MONTH(AsOfDate)-MONTH(F175))</f>
        <v/>
      </c>
      <c r="N175" s="41">
        <f>MAX(0,MIN(I175,M175)-INT(K175/30))</f>
        <v/>
      </c>
      <c r="O175" s="40">
        <f>IF(N175&gt;=I175,0,ROUND(PV(H175/12,I175-N175,-L175),0))</f>
        <v/>
      </c>
      <c r="P175" s="40">
        <f>MIN(I175,M175)*L175-N175*L175</f>
        <v/>
      </c>
      <c r="Q175" s="41">
        <f>INDEX(DPD_Bucket,MATCH(K175,DPD_From,1))</f>
        <v/>
      </c>
      <c r="R175" s="41">
        <f>INDEX(DPD_Class,MATCH(K175,DPD_From,1))</f>
        <v/>
      </c>
      <c r="S175" s="41">
        <f>INDEX(DPD_NPA,MATCH(K175,DPD_From,1))</f>
        <v/>
      </c>
      <c r="T175" s="42">
        <f>INDEX(DPD_Prov,MATCH(K175,DPD_From,1))</f>
        <v/>
      </c>
      <c r="U175" s="40">
        <f>ROUND(O175*T175,0)</f>
        <v/>
      </c>
      <c r="V175" s="41">
        <f>INDEX(CIBIL_Grade,MATCH(J175,CIBIL_From,1))</f>
        <v/>
      </c>
      <c r="W175" s="41">
        <f>YEAR(F175)&amp;"-Q"&amp;ROUNDUP(MONTH(F175)/3,0)</f>
        <v/>
      </c>
      <c r="X175" s="41">
        <f>IF(AND(OR(Dashboard!$C$4="All",D175=Dashboard!$C$4),OR(Dashboard!$C$5="All",E175=Dashboard!$C$5)),1,0)</f>
        <v/>
      </c>
      <c r="Y175" s="43">
        <f>IF(AND(X175=1,S175="Yes"),O175+ROW()/1000000,0)</f>
        <v/>
      </c>
    </row>
    <row r="176">
      <c r="A176" s="35" t="inlineStr">
        <is>
          <t>LN100175</t>
        </is>
      </c>
      <c r="B176" s="35" t="inlineStr">
        <is>
          <t>Priya Sahoo</t>
        </is>
      </c>
      <c r="C176" s="35" t="inlineStr">
        <is>
          <t>HYD-01</t>
        </is>
      </c>
      <c r="D176" s="36">
        <f>INDEX(Branches!$C$2:$C$15,MATCH(C176,Branches!$A$2:$A$15,0))</f>
        <v/>
      </c>
      <c r="E176" s="35" t="inlineStr">
        <is>
          <t>Auto Loan</t>
        </is>
      </c>
      <c r="F176" s="37" t="n">
        <v>46051</v>
      </c>
      <c r="G176" s="38" t="n">
        <v>900000</v>
      </c>
      <c r="H176" s="39" t="n">
        <v>0.1113</v>
      </c>
      <c r="I176" s="35" t="n">
        <v>36</v>
      </c>
      <c r="J176" s="35" t="n">
        <v>766</v>
      </c>
      <c r="K176" s="35" t="n">
        <v>0</v>
      </c>
      <c r="L176" s="40">
        <f>ROUND(PMT(H176/12,I176,-G176),0)</f>
        <v/>
      </c>
      <c r="M176" s="41">
        <f>MAX(0,(YEAR(AsOfDate)-YEAR(F176))*12+MONTH(AsOfDate)-MONTH(F176))</f>
        <v/>
      </c>
      <c r="N176" s="41">
        <f>MAX(0,MIN(I176,M176)-INT(K176/30))</f>
        <v/>
      </c>
      <c r="O176" s="40">
        <f>IF(N176&gt;=I176,0,ROUND(PV(H176/12,I176-N176,-L176),0))</f>
        <v/>
      </c>
      <c r="P176" s="40">
        <f>MIN(I176,M176)*L176-N176*L176</f>
        <v/>
      </c>
      <c r="Q176" s="41">
        <f>INDEX(DPD_Bucket,MATCH(K176,DPD_From,1))</f>
        <v/>
      </c>
      <c r="R176" s="41">
        <f>INDEX(DPD_Class,MATCH(K176,DPD_From,1))</f>
        <v/>
      </c>
      <c r="S176" s="41">
        <f>INDEX(DPD_NPA,MATCH(K176,DPD_From,1))</f>
        <v/>
      </c>
      <c r="T176" s="42">
        <f>INDEX(DPD_Prov,MATCH(K176,DPD_From,1))</f>
        <v/>
      </c>
      <c r="U176" s="40">
        <f>ROUND(O176*T176,0)</f>
        <v/>
      </c>
      <c r="V176" s="41">
        <f>INDEX(CIBIL_Grade,MATCH(J176,CIBIL_From,1))</f>
        <v/>
      </c>
      <c r="W176" s="41">
        <f>YEAR(F176)&amp;"-Q"&amp;ROUNDUP(MONTH(F176)/3,0)</f>
        <v/>
      </c>
      <c r="X176" s="41">
        <f>IF(AND(OR(Dashboard!$C$4="All",D176=Dashboard!$C$4),OR(Dashboard!$C$5="All",E176=Dashboard!$C$5)),1,0)</f>
        <v/>
      </c>
      <c r="Y176" s="43">
        <f>IF(AND(X176=1,S176="Yes"),O176+ROW()/1000000,0)</f>
        <v/>
      </c>
    </row>
    <row r="177">
      <c r="A177" s="35" t="inlineStr">
        <is>
          <t>LN100176</t>
        </is>
      </c>
      <c r="B177" s="35" t="inlineStr">
        <is>
          <t>Ananya Joshi</t>
        </is>
      </c>
      <c r="C177" s="35" t="inlineStr">
        <is>
          <t>KOC-01</t>
        </is>
      </c>
      <c r="D177" s="36">
        <f>INDEX(Branches!$C$2:$C$15,MATCH(C177,Branches!$A$2:$A$15,0))</f>
        <v/>
      </c>
      <c r="E177" s="35" t="inlineStr">
        <is>
          <t>Business Loan</t>
        </is>
      </c>
      <c r="F177" s="37" t="n">
        <v>45357</v>
      </c>
      <c r="G177" s="38" t="n">
        <v>1134000</v>
      </c>
      <c r="H177" s="39" t="n">
        <v>0.1335</v>
      </c>
      <c r="I177" s="35" t="n">
        <v>36</v>
      </c>
      <c r="J177" s="35" t="n">
        <v>782</v>
      </c>
      <c r="K177" s="35" t="n">
        <v>12</v>
      </c>
      <c r="L177" s="40">
        <f>ROUND(PMT(H177/12,I177,-G177),0)</f>
        <v/>
      </c>
      <c r="M177" s="41">
        <f>MAX(0,(YEAR(AsOfDate)-YEAR(F177))*12+MONTH(AsOfDate)-MONTH(F177))</f>
        <v/>
      </c>
      <c r="N177" s="41">
        <f>MAX(0,MIN(I177,M177)-INT(K177/30))</f>
        <v/>
      </c>
      <c r="O177" s="40">
        <f>IF(N177&gt;=I177,0,ROUND(PV(H177/12,I177-N177,-L177),0))</f>
        <v/>
      </c>
      <c r="P177" s="40">
        <f>MIN(I177,M177)*L177-N177*L177</f>
        <v/>
      </c>
      <c r="Q177" s="41">
        <f>INDEX(DPD_Bucket,MATCH(K177,DPD_From,1))</f>
        <v/>
      </c>
      <c r="R177" s="41">
        <f>INDEX(DPD_Class,MATCH(K177,DPD_From,1))</f>
        <v/>
      </c>
      <c r="S177" s="41">
        <f>INDEX(DPD_NPA,MATCH(K177,DPD_From,1))</f>
        <v/>
      </c>
      <c r="T177" s="42">
        <f>INDEX(DPD_Prov,MATCH(K177,DPD_From,1))</f>
        <v/>
      </c>
      <c r="U177" s="40">
        <f>ROUND(O177*T177,0)</f>
        <v/>
      </c>
      <c r="V177" s="41">
        <f>INDEX(CIBIL_Grade,MATCH(J177,CIBIL_From,1))</f>
        <v/>
      </c>
      <c r="W177" s="41">
        <f>YEAR(F177)&amp;"-Q"&amp;ROUNDUP(MONTH(F177)/3,0)</f>
        <v/>
      </c>
      <c r="X177" s="41">
        <f>IF(AND(OR(Dashboard!$C$4="All",D177=Dashboard!$C$4),OR(Dashboard!$C$5="All",E177=Dashboard!$C$5)),1,0)</f>
        <v/>
      </c>
      <c r="Y177" s="43">
        <f>IF(AND(X177=1,S177="Yes"),O177+ROW()/1000000,0)</f>
        <v/>
      </c>
    </row>
    <row r="178">
      <c r="A178" s="35" t="inlineStr">
        <is>
          <t>LN100177</t>
        </is>
      </c>
      <c r="B178" s="35" t="inlineStr">
        <is>
          <t>Harsh Mishra</t>
        </is>
      </c>
      <c r="C178" s="35" t="inlineStr">
        <is>
          <t>BBS-01</t>
        </is>
      </c>
      <c r="D178" s="36">
        <f>INDEX(Branches!$C$2:$C$15,MATCH(C178,Branches!$A$2:$A$15,0))</f>
        <v/>
      </c>
      <c r="E178" s="35" t="inlineStr">
        <is>
          <t>Gold Loan</t>
        </is>
      </c>
      <c r="F178" s="37" t="n">
        <v>45665</v>
      </c>
      <c r="G178" s="38" t="n">
        <v>191000</v>
      </c>
      <c r="H178" s="39" t="n">
        <v>0.1129</v>
      </c>
      <c r="I178" s="35" t="n">
        <v>12</v>
      </c>
      <c r="J178" s="35" t="n">
        <v>850</v>
      </c>
      <c r="K178" s="35" t="n">
        <v>0</v>
      </c>
      <c r="L178" s="40">
        <f>ROUND(PMT(H178/12,I178,-G178),0)</f>
        <v/>
      </c>
      <c r="M178" s="41">
        <f>MAX(0,(YEAR(AsOfDate)-YEAR(F178))*12+MONTH(AsOfDate)-MONTH(F178))</f>
        <v/>
      </c>
      <c r="N178" s="41">
        <f>MAX(0,MIN(I178,M178)-INT(K178/30))</f>
        <v/>
      </c>
      <c r="O178" s="40">
        <f>IF(N178&gt;=I178,0,ROUND(PV(H178/12,I178-N178,-L178),0))</f>
        <v/>
      </c>
      <c r="P178" s="40">
        <f>MIN(I178,M178)*L178-N178*L178</f>
        <v/>
      </c>
      <c r="Q178" s="41">
        <f>INDEX(DPD_Bucket,MATCH(K178,DPD_From,1))</f>
        <v/>
      </c>
      <c r="R178" s="41">
        <f>INDEX(DPD_Class,MATCH(K178,DPD_From,1))</f>
        <v/>
      </c>
      <c r="S178" s="41">
        <f>INDEX(DPD_NPA,MATCH(K178,DPD_From,1))</f>
        <v/>
      </c>
      <c r="T178" s="42">
        <f>INDEX(DPD_Prov,MATCH(K178,DPD_From,1))</f>
        <v/>
      </c>
      <c r="U178" s="40">
        <f>ROUND(O178*T178,0)</f>
        <v/>
      </c>
      <c r="V178" s="41">
        <f>INDEX(CIBIL_Grade,MATCH(J178,CIBIL_From,1))</f>
        <v/>
      </c>
      <c r="W178" s="41">
        <f>YEAR(F178)&amp;"-Q"&amp;ROUNDUP(MONTH(F178)/3,0)</f>
        <v/>
      </c>
      <c r="X178" s="41">
        <f>IF(AND(OR(Dashboard!$C$4="All",D178=Dashboard!$C$4),OR(Dashboard!$C$5="All",E178=Dashboard!$C$5)),1,0)</f>
        <v/>
      </c>
      <c r="Y178" s="43">
        <f>IF(AND(X178=1,S178="Yes"),O178+ROW()/1000000,0)</f>
        <v/>
      </c>
    </row>
    <row r="179">
      <c r="A179" s="35" t="inlineStr">
        <is>
          <t>LN100178</t>
        </is>
      </c>
      <c r="B179" s="35" t="inlineStr">
        <is>
          <t>Diya Pillai</t>
        </is>
      </c>
      <c r="C179" s="35" t="inlineStr">
        <is>
          <t>BLR-01</t>
        </is>
      </c>
      <c r="D179" s="36">
        <f>INDEX(Branches!$C$2:$C$15,MATCH(C179,Branches!$A$2:$A$15,0))</f>
        <v/>
      </c>
      <c r="E179" s="35" t="inlineStr">
        <is>
          <t>Personal Loan</t>
        </is>
      </c>
      <c r="F179" s="37" t="n">
        <v>45217</v>
      </c>
      <c r="G179" s="38" t="n">
        <v>226000</v>
      </c>
      <c r="H179" s="39" t="n">
        <v>0.1345</v>
      </c>
      <c r="I179" s="35" t="n">
        <v>60</v>
      </c>
      <c r="J179" s="35" t="n">
        <v>707</v>
      </c>
      <c r="K179" s="35" t="n">
        <v>0</v>
      </c>
      <c r="L179" s="40">
        <f>ROUND(PMT(H179/12,I179,-G179),0)</f>
        <v/>
      </c>
      <c r="M179" s="41">
        <f>MAX(0,(YEAR(AsOfDate)-YEAR(F179))*12+MONTH(AsOfDate)-MONTH(F179))</f>
        <v/>
      </c>
      <c r="N179" s="41">
        <f>MAX(0,MIN(I179,M179)-INT(K179/30))</f>
        <v/>
      </c>
      <c r="O179" s="40">
        <f>IF(N179&gt;=I179,0,ROUND(PV(H179/12,I179-N179,-L179),0))</f>
        <v/>
      </c>
      <c r="P179" s="40">
        <f>MIN(I179,M179)*L179-N179*L179</f>
        <v/>
      </c>
      <c r="Q179" s="41">
        <f>INDEX(DPD_Bucket,MATCH(K179,DPD_From,1))</f>
        <v/>
      </c>
      <c r="R179" s="41">
        <f>INDEX(DPD_Class,MATCH(K179,DPD_From,1))</f>
        <v/>
      </c>
      <c r="S179" s="41">
        <f>INDEX(DPD_NPA,MATCH(K179,DPD_From,1))</f>
        <v/>
      </c>
      <c r="T179" s="42">
        <f>INDEX(DPD_Prov,MATCH(K179,DPD_From,1))</f>
        <v/>
      </c>
      <c r="U179" s="40">
        <f>ROUND(O179*T179,0)</f>
        <v/>
      </c>
      <c r="V179" s="41">
        <f>INDEX(CIBIL_Grade,MATCH(J179,CIBIL_From,1))</f>
        <v/>
      </c>
      <c r="W179" s="41">
        <f>YEAR(F179)&amp;"-Q"&amp;ROUNDUP(MONTH(F179)/3,0)</f>
        <v/>
      </c>
      <c r="X179" s="41">
        <f>IF(AND(OR(Dashboard!$C$4="All",D179=Dashboard!$C$4),OR(Dashboard!$C$5="All",E179=Dashboard!$C$5)),1,0)</f>
        <v/>
      </c>
      <c r="Y179" s="43">
        <f>IF(AND(X179=1,S179="Yes"),O179+ROW()/1000000,0)</f>
        <v/>
      </c>
    </row>
    <row r="180">
      <c r="A180" s="35" t="inlineStr">
        <is>
          <t>LN100179</t>
        </is>
      </c>
      <c r="B180" s="35" t="inlineStr">
        <is>
          <t>Suresh Pillai</t>
        </is>
      </c>
      <c r="C180" s="35" t="inlineStr">
        <is>
          <t>MUM-01</t>
        </is>
      </c>
      <c r="D180" s="36">
        <f>INDEX(Branches!$C$2:$C$15,MATCH(C180,Branches!$A$2:$A$15,0))</f>
        <v/>
      </c>
      <c r="E180" s="35" t="inlineStr">
        <is>
          <t>Personal Loan</t>
        </is>
      </c>
      <c r="F180" s="37" t="n">
        <v>45733</v>
      </c>
      <c r="G180" s="38" t="n">
        <v>851000</v>
      </c>
      <c r="H180" s="39" t="n">
        <v>0.1685</v>
      </c>
      <c r="I180" s="35" t="n">
        <v>24</v>
      </c>
      <c r="J180" s="35" t="n">
        <v>719</v>
      </c>
      <c r="K180" s="35" t="n">
        <v>0</v>
      </c>
      <c r="L180" s="40">
        <f>ROUND(PMT(H180/12,I180,-G180),0)</f>
        <v/>
      </c>
      <c r="M180" s="41">
        <f>MAX(0,(YEAR(AsOfDate)-YEAR(F180))*12+MONTH(AsOfDate)-MONTH(F180))</f>
        <v/>
      </c>
      <c r="N180" s="41">
        <f>MAX(0,MIN(I180,M180)-INT(K180/30))</f>
        <v/>
      </c>
      <c r="O180" s="40">
        <f>IF(N180&gt;=I180,0,ROUND(PV(H180/12,I180-N180,-L180),0))</f>
        <v/>
      </c>
      <c r="P180" s="40">
        <f>MIN(I180,M180)*L180-N180*L180</f>
        <v/>
      </c>
      <c r="Q180" s="41">
        <f>INDEX(DPD_Bucket,MATCH(K180,DPD_From,1))</f>
        <v/>
      </c>
      <c r="R180" s="41">
        <f>INDEX(DPD_Class,MATCH(K180,DPD_From,1))</f>
        <v/>
      </c>
      <c r="S180" s="41">
        <f>INDEX(DPD_NPA,MATCH(K180,DPD_From,1))</f>
        <v/>
      </c>
      <c r="T180" s="42">
        <f>INDEX(DPD_Prov,MATCH(K180,DPD_From,1))</f>
        <v/>
      </c>
      <c r="U180" s="40">
        <f>ROUND(O180*T180,0)</f>
        <v/>
      </c>
      <c r="V180" s="41">
        <f>INDEX(CIBIL_Grade,MATCH(J180,CIBIL_From,1))</f>
        <v/>
      </c>
      <c r="W180" s="41">
        <f>YEAR(F180)&amp;"-Q"&amp;ROUNDUP(MONTH(F180)/3,0)</f>
        <v/>
      </c>
      <c r="X180" s="41">
        <f>IF(AND(OR(Dashboard!$C$4="All",D180=Dashboard!$C$4),OR(Dashboard!$C$5="All",E180=Dashboard!$C$5)),1,0)</f>
        <v/>
      </c>
      <c r="Y180" s="43">
        <f>IF(AND(X180=1,S180="Yes"),O180+ROW()/1000000,0)</f>
        <v/>
      </c>
    </row>
    <row r="181">
      <c r="A181" s="35" t="inlineStr">
        <is>
          <t>LN100180</t>
        </is>
      </c>
      <c r="B181" s="35" t="inlineStr">
        <is>
          <t>Sneha Verma</t>
        </is>
      </c>
      <c r="C181" s="35" t="inlineStr">
        <is>
          <t>AMD-01</t>
        </is>
      </c>
      <c r="D181" s="36">
        <f>INDEX(Branches!$C$2:$C$15,MATCH(C181,Branches!$A$2:$A$15,0))</f>
        <v/>
      </c>
      <c r="E181" s="35" t="inlineStr">
        <is>
          <t>Personal Loan</t>
        </is>
      </c>
      <c r="F181" s="37" t="n">
        <v>45424</v>
      </c>
      <c r="G181" s="38" t="n">
        <v>172000</v>
      </c>
      <c r="H181" s="39" t="n">
        <v>0.1471</v>
      </c>
      <c r="I181" s="35" t="n">
        <v>36</v>
      </c>
      <c r="J181" s="35" t="n">
        <v>726</v>
      </c>
      <c r="K181" s="35" t="n">
        <v>0</v>
      </c>
      <c r="L181" s="40">
        <f>ROUND(PMT(H181/12,I181,-G181),0)</f>
        <v/>
      </c>
      <c r="M181" s="41">
        <f>MAX(0,(YEAR(AsOfDate)-YEAR(F181))*12+MONTH(AsOfDate)-MONTH(F181))</f>
        <v/>
      </c>
      <c r="N181" s="41">
        <f>MAX(0,MIN(I181,M181)-INT(K181/30))</f>
        <v/>
      </c>
      <c r="O181" s="40">
        <f>IF(N181&gt;=I181,0,ROUND(PV(H181/12,I181-N181,-L181),0))</f>
        <v/>
      </c>
      <c r="P181" s="40">
        <f>MIN(I181,M181)*L181-N181*L181</f>
        <v/>
      </c>
      <c r="Q181" s="41">
        <f>INDEX(DPD_Bucket,MATCH(K181,DPD_From,1))</f>
        <v/>
      </c>
      <c r="R181" s="41">
        <f>INDEX(DPD_Class,MATCH(K181,DPD_From,1))</f>
        <v/>
      </c>
      <c r="S181" s="41">
        <f>INDEX(DPD_NPA,MATCH(K181,DPD_From,1))</f>
        <v/>
      </c>
      <c r="T181" s="42">
        <f>INDEX(DPD_Prov,MATCH(K181,DPD_From,1))</f>
        <v/>
      </c>
      <c r="U181" s="40">
        <f>ROUND(O181*T181,0)</f>
        <v/>
      </c>
      <c r="V181" s="41">
        <f>INDEX(CIBIL_Grade,MATCH(J181,CIBIL_From,1))</f>
        <v/>
      </c>
      <c r="W181" s="41">
        <f>YEAR(F181)&amp;"-Q"&amp;ROUNDUP(MONTH(F181)/3,0)</f>
        <v/>
      </c>
      <c r="X181" s="41">
        <f>IF(AND(OR(Dashboard!$C$4="All",D181=Dashboard!$C$4),OR(Dashboard!$C$5="All",E181=Dashboard!$C$5)),1,0)</f>
        <v/>
      </c>
      <c r="Y181" s="43">
        <f>IF(AND(X181=1,S181="Yes"),O181+ROW()/1000000,0)</f>
        <v/>
      </c>
    </row>
    <row r="182">
      <c r="A182" s="35" t="inlineStr">
        <is>
          <t>LN100181</t>
        </is>
      </c>
      <c r="B182" s="35" t="inlineStr">
        <is>
          <t>Tanvi Sahoo</t>
        </is>
      </c>
      <c r="C182" s="35" t="inlineStr">
        <is>
          <t>KOL-01</t>
        </is>
      </c>
      <c r="D182" s="36">
        <f>INDEX(Branches!$C$2:$C$15,MATCH(C182,Branches!$A$2:$A$15,0))</f>
        <v/>
      </c>
      <c r="E182" s="35" t="inlineStr">
        <is>
          <t>Auto Loan</t>
        </is>
      </c>
      <c r="F182" s="37" t="n">
        <v>46023</v>
      </c>
      <c r="G182" s="38" t="n">
        <v>1378000</v>
      </c>
      <c r="H182" s="39" t="n">
        <v>0.093</v>
      </c>
      <c r="I182" s="35" t="n">
        <v>60</v>
      </c>
      <c r="J182" s="35" t="n">
        <v>689</v>
      </c>
      <c r="K182" s="35" t="n">
        <v>0</v>
      </c>
      <c r="L182" s="40">
        <f>ROUND(PMT(H182/12,I182,-G182),0)</f>
        <v/>
      </c>
      <c r="M182" s="41">
        <f>MAX(0,(YEAR(AsOfDate)-YEAR(F182))*12+MONTH(AsOfDate)-MONTH(F182))</f>
        <v/>
      </c>
      <c r="N182" s="41">
        <f>MAX(0,MIN(I182,M182)-INT(K182/30))</f>
        <v/>
      </c>
      <c r="O182" s="40">
        <f>IF(N182&gt;=I182,0,ROUND(PV(H182/12,I182-N182,-L182),0))</f>
        <v/>
      </c>
      <c r="P182" s="40">
        <f>MIN(I182,M182)*L182-N182*L182</f>
        <v/>
      </c>
      <c r="Q182" s="41">
        <f>INDEX(DPD_Bucket,MATCH(K182,DPD_From,1))</f>
        <v/>
      </c>
      <c r="R182" s="41">
        <f>INDEX(DPD_Class,MATCH(K182,DPD_From,1))</f>
        <v/>
      </c>
      <c r="S182" s="41">
        <f>INDEX(DPD_NPA,MATCH(K182,DPD_From,1))</f>
        <v/>
      </c>
      <c r="T182" s="42">
        <f>INDEX(DPD_Prov,MATCH(K182,DPD_From,1))</f>
        <v/>
      </c>
      <c r="U182" s="40">
        <f>ROUND(O182*T182,0)</f>
        <v/>
      </c>
      <c r="V182" s="41">
        <f>INDEX(CIBIL_Grade,MATCH(J182,CIBIL_From,1))</f>
        <v/>
      </c>
      <c r="W182" s="41">
        <f>YEAR(F182)&amp;"-Q"&amp;ROUNDUP(MONTH(F182)/3,0)</f>
        <v/>
      </c>
      <c r="X182" s="41">
        <f>IF(AND(OR(Dashboard!$C$4="All",D182=Dashboard!$C$4),OR(Dashboard!$C$5="All",E182=Dashboard!$C$5)),1,0)</f>
        <v/>
      </c>
      <c r="Y182" s="43">
        <f>IF(AND(X182=1,S182="Yes"),O182+ROW()/1000000,0)</f>
        <v/>
      </c>
    </row>
    <row r="183">
      <c r="A183" s="35" t="inlineStr">
        <is>
          <t>LN100182</t>
        </is>
      </c>
      <c r="B183" s="35" t="inlineStr">
        <is>
          <t>Sneha Reddy</t>
        </is>
      </c>
      <c r="C183" s="35" t="inlineStr">
        <is>
          <t>KOC-01</t>
        </is>
      </c>
      <c r="D183" s="36">
        <f>INDEX(Branches!$C$2:$C$15,MATCH(C183,Branches!$A$2:$A$15,0))</f>
        <v/>
      </c>
      <c r="E183" s="35" t="inlineStr">
        <is>
          <t>Home Loan</t>
        </is>
      </c>
      <c r="F183" s="37" t="n">
        <v>45479</v>
      </c>
      <c r="G183" s="38" t="n">
        <v>9832000</v>
      </c>
      <c r="H183" s="39" t="n">
        <v>0.0896</v>
      </c>
      <c r="I183" s="35" t="n">
        <v>180</v>
      </c>
      <c r="J183" s="35" t="n">
        <v>774</v>
      </c>
      <c r="K183" s="35" t="n">
        <v>0</v>
      </c>
      <c r="L183" s="40">
        <f>ROUND(PMT(H183/12,I183,-G183),0)</f>
        <v/>
      </c>
      <c r="M183" s="41">
        <f>MAX(0,(YEAR(AsOfDate)-YEAR(F183))*12+MONTH(AsOfDate)-MONTH(F183))</f>
        <v/>
      </c>
      <c r="N183" s="41">
        <f>MAX(0,MIN(I183,M183)-INT(K183/30))</f>
        <v/>
      </c>
      <c r="O183" s="40">
        <f>IF(N183&gt;=I183,0,ROUND(PV(H183/12,I183-N183,-L183),0))</f>
        <v/>
      </c>
      <c r="P183" s="40">
        <f>MIN(I183,M183)*L183-N183*L183</f>
        <v/>
      </c>
      <c r="Q183" s="41">
        <f>INDEX(DPD_Bucket,MATCH(K183,DPD_From,1))</f>
        <v/>
      </c>
      <c r="R183" s="41">
        <f>INDEX(DPD_Class,MATCH(K183,DPD_From,1))</f>
        <v/>
      </c>
      <c r="S183" s="41">
        <f>INDEX(DPD_NPA,MATCH(K183,DPD_From,1))</f>
        <v/>
      </c>
      <c r="T183" s="42">
        <f>INDEX(DPD_Prov,MATCH(K183,DPD_From,1))</f>
        <v/>
      </c>
      <c r="U183" s="40">
        <f>ROUND(O183*T183,0)</f>
        <v/>
      </c>
      <c r="V183" s="41">
        <f>INDEX(CIBIL_Grade,MATCH(J183,CIBIL_From,1))</f>
        <v/>
      </c>
      <c r="W183" s="41">
        <f>YEAR(F183)&amp;"-Q"&amp;ROUNDUP(MONTH(F183)/3,0)</f>
        <v/>
      </c>
      <c r="X183" s="41">
        <f>IF(AND(OR(Dashboard!$C$4="All",D183=Dashboard!$C$4),OR(Dashboard!$C$5="All",E183=Dashboard!$C$5)),1,0)</f>
        <v/>
      </c>
      <c r="Y183" s="43">
        <f>IF(AND(X183=1,S183="Yes"),O183+ROW()/1000000,0)</f>
        <v/>
      </c>
    </row>
    <row r="184">
      <c r="A184" s="35" t="inlineStr">
        <is>
          <t>LN100183</t>
        </is>
      </c>
      <c r="B184" s="35" t="inlineStr">
        <is>
          <t>Sai Sahoo</t>
        </is>
      </c>
      <c r="C184" s="35" t="inlineStr">
        <is>
          <t>LKO-01</t>
        </is>
      </c>
      <c r="D184" s="36">
        <f>INDEX(Branches!$C$2:$C$15,MATCH(C184,Branches!$A$2:$A$15,0))</f>
        <v/>
      </c>
      <c r="E184" s="35" t="inlineStr">
        <is>
          <t>Home Loan</t>
        </is>
      </c>
      <c r="F184" s="37" t="n">
        <v>45893</v>
      </c>
      <c r="G184" s="38" t="n">
        <v>3817000</v>
      </c>
      <c r="H184" s="39" t="n">
        <v>0.097</v>
      </c>
      <c r="I184" s="35" t="n">
        <v>120</v>
      </c>
      <c r="J184" s="35" t="n">
        <v>712</v>
      </c>
      <c r="K184" s="35" t="n">
        <v>0</v>
      </c>
      <c r="L184" s="40">
        <f>ROUND(PMT(H184/12,I184,-G184),0)</f>
        <v/>
      </c>
      <c r="M184" s="41">
        <f>MAX(0,(YEAR(AsOfDate)-YEAR(F184))*12+MONTH(AsOfDate)-MONTH(F184))</f>
        <v/>
      </c>
      <c r="N184" s="41">
        <f>MAX(0,MIN(I184,M184)-INT(K184/30))</f>
        <v/>
      </c>
      <c r="O184" s="40">
        <f>IF(N184&gt;=I184,0,ROUND(PV(H184/12,I184-N184,-L184),0))</f>
        <v/>
      </c>
      <c r="P184" s="40">
        <f>MIN(I184,M184)*L184-N184*L184</f>
        <v/>
      </c>
      <c r="Q184" s="41">
        <f>INDEX(DPD_Bucket,MATCH(K184,DPD_From,1))</f>
        <v/>
      </c>
      <c r="R184" s="41">
        <f>INDEX(DPD_Class,MATCH(K184,DPD_From,1))</f>
        <v/>
      </c>
      <c r="S184" s="41">
        <f>INDEX(DPD_NPA,MATCH(K184,DPD_From,1))</f>
        <v/>
      </c>
      <c r="T184" s="42">
        <f>INDEX(DPD_Prov,MATCH(K184,DPD_From,1))</f>
        <v/>
      </c>
      <c r="U184" s="40">
        <f>ROUND(O184*T184,0)</f>
        <v/>
      </c>
      <c r="V184" s="41">
        <f>INDEX(CIBIL_Grade,MATCH(J184,CIBIL_From,1))</f>
        <v/>
      </c>
      <c r="W184" s="41">
        <f>YEAR(F184)&amp;"-Q"&amp;ROUNDUP(MONTH(F184)/3,0)</f>
        <v/>
      </c>
      <c r="X184" s="41">
        <f>IF(AND(OR(Dashboard!$C$4="All",D184=Dashboard!$C$4),OR(Dashboard!$C$5="All",E184=Dashboard!$C$5)),1,0)</f>
        <v/>
      </c>
      <c r="Y184" s="43">
        <f>IF(AND(X184=1,S184="Yes"),O184+ROW()/1000000,0)</f>
        <v/>
      </c>
    </row>
    <row r="185">
      <c r="A185" s="35" t="inlineStr">
        <is>
          <t>LN100184</t>
        </is>
      </c>
      <c r="B185" s="35" t="inlineStr">
        <is>
          <t>Rahul Chatterjee</t>
        </is>
      </c>
      <c r="C185" s="35" t="inlineStr">
        <is>
          <t>LKO-01</t>
        </is>
      </c>
      <c r="D185" s="36">
        <f>INDEX(Branches!$C$2:$C$15,MATCH(C185,Branches!$A$2:$A$15,0))</f>
        <v/>
      </c>
      <c r="E185" s="35" t="inlineStr">
        <is>
          <t>Auto Loan</t>
        </is>
      </c>
      <c r="F185" s="37" t="n">
        <v>45561</v>
      </c>
      <c r="G185" s="38" t="n">
        <v>1184000</v>
      </c>
      <c r="H185" s="39" t="n">
        <v>0.1065</v>
      </c>
      <c r="I185" s="35" t="n">
        <v>84</v>
      </c>
      <c r="J185" s="35" t="n">
        <v>638</v>
      </c>
      <c r="K185" s="35" t="n">
        <v>0</v>
      </c>
      <c r="L185" s="40">
        <f>ROUND(PMT(H185/12,I185,-G185),0)</f>
        <v/>
      </c>
      <c r="M185" s="41">
        <f>MAX(0,(YEAR(AsOfDate)-YEAR(F185))*12+MONTH(AsOfDate)-MONTH(F185))</f>
        <v/>
      </c>
      <c r="N185" s="41">
        <f>MAX(0,MIN(I185,M185)-INT(K185/30))</f>
        <v/>
      </c>
      <c r="O185" s="40">
        <f>IF(N185&gt;=I185,0,ROUND(PV(H185/12,I185-N185,-L185),0))</f>
        <v/>
      </c>
      <c r="P185" s="40">
        <f>MIN(I185,M185)*L185-N185*L185</f>
        <v/>
      </c>
      <c r="Q185" s="41">
        <f>INDEX(DPD_Bucket,MATCH(K185,DPD_From,1))</f>
        <v/>
      </c>
      <c r="R185" s="41">
        <f>INDEX(DPD_Class,MATCH(K185,DPD_From,1))</f>
        <v/>
      </c>
      <c r="S185" s="41">
        <f>INDEX(DPD_NPA,MATCH(K185,DPD_From,1))</f>
        <v/>
      </c>
      <c r="T185" s="42">
        <f>INDEX(DPD_Prov,MATCH(K185,DPD_From,1))</f>
        <v/>
      </c>
      <c r="U185" s="40">
        <f>ROUND(O185*T185,0)</f>
        <v/>
      </c>
      <c r="V185" s="41">
        <f>INDEX(CIBIL_Grade,MATCH(J185,CIBIL_From,1))</f>
        <v/>
      </c>
      <c r="W185" s="41">
        <f>YEAR(F185)&amp;"-Q"&amp;ROUNDUP(MONTH(F185)/3,0)</f>
        <v/>
      </c>
      <c r="X185" s="41">
        <f>IF(AND(OR(Dashboard!$C$4="All",D185=Dashboard!$C$4),OR(Dashboard!$C$5="All",E185=Dashboard!$C$5)),1,0)</f>
        <v/>
      </c>
      <c r="Y185" s="43">
        <f>IF(AND(X185=1,S185="Yes"),O185+ROW()/1000000,0)</f>
        <v/>
      </c>
    </row>
    <row r="186">
      <c r="A186" s="35" t="inlineStr">
        <is>
          <t>LN100185</t>
        </is>
      </c>
      <c r="B186" s="35" t="inlineStr">
        <is>
          <t>Diya Sharma</t>
        </is>
      </c>
      <c r="C186" s="35" t="inlineStr">
        <is>
          <t>JAI-01</t>
        </is>
      </c>
      <c r="D186" s="36">
        <f>INDEX(Branches!$C$2:$C$15,MATCH(C186,Branches!$A$2:$A$15,0))</f>
        <v/>
      </c>
      <c r="E186" s="35" t="inlineStr">
        <is>
          <t>Personal Loan</t>
        </is>
      </c>
      <c r="F186" s="37" t="n">
        <v>45419</v>
      </c>
      <c r="G186" s="38" t="n">
        <v>764000</v>
      </c>
      <c r="H186" s="39" t="n">
        <v>0.1775</v>
      </c>
      <c r="I186" s="35" t="n">
        <v>12</v>
      </c>
      <c r="J186" s="35" t="n">
        <v>722</v>
      </c>
      <c r="K186" s="35" t="n">
        <v>0</v>
      </c>
      <c r="L186" s="40">
        <f>ROUND(PMT(H186/12,I186,-G186),0)</f>
        <v/>
      </c>
      <c r="M186" s="41">
        <f>MAX(0,(YEAR(AsOfDate)-YEAR(F186))*12+MONTH(AsOfDate)-MONTH(F186))</f>
        <v/>
      </c>
      <c r="N186" s="41">
        <f>MAX(0,MIN(I186,M186)-INT(K186/30))</f>
        <v/>
      </c>
      <c r="O186" s="40">
        <f>IF(N186&gt;=I186,0,ROUND(PV(H186/12,I186-N186,-L186),0))</f>
        <v/>
      </c>
      <c r="P186" s="40">
        <f>MIN(I186,M186)*L186-N186*L186</f>
        <v/>
      </c>
      <c r="Q186" s="41">
        <f>INDEX(DPD_Bucket,MATCH(K186,DPD_From,1))</f>
        <v/>
      </c>
      <c r="R186" s="41">
        <f>INDEX(DPD_Class,MATCH(K186,DPD_From,1))</f>
        <v/>
      </c>
      <c r="S186" s="41">
        <f>INDEX(DPD_NPA,MATCH(K186,DPD_From,1))</f>
        <v/>
      </c>
      <c r="T186" s="42">
        <f>INDEX(DPD_Prov,MATCH(K186,DPD_From,1))</f>
        <v/>
      </c>
      <c r="U186" s="40">
        <f>ROUND(O186*T186,0)</f>
        <v/>
      </c>
      <c r="V186" s="41">
        <f>INDEX(CIBIL_Grade,MATCH(J186,CIBIL_From,1))</f>
        <v/>
      </c>
      <c r="W186" s="41">
        <f>YEAR(F186)&amp;"-Q"&amp;ROUNDUP(MONTH(F186)/3,0)</f>
        <v/>
      </c>
      <c r="X186" s="41">
        <f>IF(AND(OR(Dashboard!$C$4="All",D186=Dashboard!$C$4),OR(Dashboard!$C$5="All",E186=Dashboard!$C$5)),1,0)</f>
        <v/>
      </c>
      <c r="Y186" s="43">
        <f>IF(AND(X186=1,S186="Yes"),O186+ROW()/1000000,0)</f>
        <v/>
      </c>
    </row>
    <row r="187">
      <c r="A187" s="35" t="inlineStr">
        <is>
          <t>LN100186</t>
        </is>
      </c>
      <c r="B187" s="35" t="inlineStr">
        <is>
          <t>Reyansh Chatterjee</t>
        </is>
      </c>
      <c r="C187" s="35" t="inlineStr">
        <is>
          <t>KOL-01</t>
        </is>
      </c>
      <c r="D187" s="36">
        <f>INDEX(Branches!$C$2:$C$15,MATCH(C187,Branches!$A$2:$A$15,0))</f>
        <v/>
      </c>
      <c r="E187" s="35" t="inlineStr">
        <is>
          <t>Business Loan</t>
        </is>
      </c>
      <c r="F187" s="37" t="n">
        <v>46068</v>
      </c>
      <c r="G187" s="38" t="n">
        <v>3745000</v>
      </c>
      <c r="H187" s="39" t="n">
        <v>0.1842</v>
      </c>
      <c r="I187" s="35" t="n">
        <v>24</v>
      </c>
      <c r="J187" s="35" t="n">
        <v>758</v>
      </c>
      <c r="K187" s="35" t="n">
        <v>0</v>
      </c>
      <c r="L187" s="40">
        <f>ROUND(PMT(H187/12,I187,-G187),0)</f>
        <v/>
      </c>
      <c r="M187" s="41">
        <f>MAX(0,(YEAR(AsOfDate)-YEAR(F187))*12+MONTH(AsOfDate)-MONTH(F187))</f>
        <v/>
      </c>
      <c r="N187" s="41">
        <f>MAX(0,MIN(I187,M187)-INT(K187/30))</f>
        <v/>
      </c>
      <c r="O187" s="40">
        <f>IF(N187&gt;=I187,0,ROUND(PV(H187/12,I187-N187,-L187),0))</f>
        <v/>
      </c>
      <c r="P187" s="40">
        <f>MIN(I187,M187)*L187-N187*L187</f>
        <v/>
      </c>
      <c r="Q187" s="41">
        <f>INDEX(DPD_Bucket,MATCH(K187,DPD_From,1))</f>
        <v/>
      </c>
      <c r="R187" s="41">
        <f>INDEX(DPD_Class,MATCH(K187,DPD_From,1))</f>
        <v/>
      </c>
      <c r="S187" s="41">
        <f>INDEX(DPD_NPA,MATCH(K187,DPD_From,1))</f>
        <v/>
      </c>
      <c r="T187" s="42">
        <f>INDEX(DPD_Prov,MATCH(K187,DPD_From,1))</f>
        <v/>
      </c>
      <c r="U187" s="40">
        <f>ROUND(O187*T187,0)</f>
        <v/>
      </c>
      <c r="V187" s="41">
        <f>INDEX(CIBIL_Grade,MATCH(J187,CIBIL_From,1))</f>
        <v/>
      </c>
      <c r="W187" s="41">
        <f>YEAR(F187)&amp;"-Q"&amp;ROUNDUP(MONTH(F187)/3,0)</f>
        <v/>
      </c>
      <c r="X187" s="41">
        <f>IF(AND(OR(Dashboard!$C$4="All",D187=Dashboard!$C$4),OR(Dashboard!$C$5="All",E187=Dashboard!$C$5)),1,0)</f>
        <v/>
      </c>
      <c r="Y187" s="43">
        <f>IF(AND(X187=1,S187="Yes"),O187+ROW()/1000000,0)</f>
        <v/>
      </c>
    </row>
    <row r="188">
      <c r="A188" s="35" t="inlineStr">
        <is>
          <t>LN100187</t>
        </is>
      </c>
      <c r="B188" s="35" t="inlineStr">
        <is>
          <t>Riya Rao</t>
        </is>
      </c>
      <c r="C188" s="35" t="inlineStr">
        <is>
          <t>AMD-01</t>
        </is>
      </c>
      <c r="D188" s="36">
        <f>INDEX(Branches!$C$2:$C$15,MATCH(C188,Branches!$A$2:$A$15,0))</f>
        <v/>
      </c>
      <c r="E188" s="35" t="inlineStr">
        <is>
          <t>Auto Loan</t>
        </is>
      </c>
      <c r="F188" s="37" t="n">
        <v>46109</v>
      </c>
      <c r="G188" s="38" t="n">
        <v>642000</v>
      </c>
      <c r="H188" s="39" t="n">
        <v>0.1104</v>
      </c>
      <c r="I188" s="35" t="n">
        <v>48</v>
      </c>
      <c r="J188" s="35" t="n">
        <v>658</v>
      </c>
      <c r="K188" s="35" t="n">
        <v>0</v>
      </c>
      <c r="L188" s="40">
        <f>ROUND(PMT(H188/12,I188,-G188),0)</f>
        <v/>
      </c>
      <c r="M188" s="41">
        <f>MAX(0,(YEAR(AsOfDate)-YEAR(F188))*12+MONTH(AsOfDate)-MONTH(F188))</f>
        <v/>
      </c>
      <c r="N188" s="41">
        <f>MAX(0,MIN(I188,M188)-INT(K188/30))</f>
        <v/>
      </c>
      <c r="O188" s="40">
        <f>IF(N188&gt;=I188,0,ROUND(PV(H188/12,I188-N188,-L188),0))</f>
        <v/>
      </c>
      <c r="P188" s="40">
        <f>MIN(I188,M188)*L188-N188*L188</f>
        <v/>
      </c>
      <c r="Q188" s="41">
        <f>INDEX(DPD_Bucket,MATCH(K188,DPD_From,1))</f>
        <v/>
      </c>
      <c r="R188" s="41">
        <f>INDEX(DPD_Class,MATCH(K188,DPD_From,1))</f>
        <v/>
      </c>
      <c r="S188" s="41">
        <f>INDEX(DPD_NPA,MATCH(K188,DPD_From,1))</f>
        <v/>
      </c>
      <c r="T188" s="42">
        <f>INDEX(DPD_Prov,MATCH(K188,DPD_From,1))</f>
        <v/>
      </c>
      <c r="U188" s="40">
        <f>ROUND(O188*T188,0)</f>
        <v/>
      </c>
      <c r="V188" s="41">
        <f>INDEX(CIBIL_Grade,MATCH(J188,CIBIL_From,1))</f>
        <v/>
      </c>
      <c r="W188" s="41">
        <f>YEAR(F188)&amp;"-Q"&amp;ROUNDUP(MONTH(F188)/3,0)</f>
        <v/>
      </c>
      <c r="X188" s="41">
        <f>IF(AND(OR(Dashboard!$C$4="All",D188=Dashboard!$C$4),OR(Dashboard!$C$5="All",E188=Dashboard!$C$5)),1,0)</f>
        <v/>
      </c>
      <c r="Y188" s="43">
        <f>IF(AND(X188=1,S188="Yes"),O188+ROW()/1000000,0)</f>
        <v/>
      </c>
    </row>
    <row r="189">
      <c r="A189" s="35" t="inlineStr">
        <is>
          <t>LN100188</t>
        </is>
      </c>
      <c r="B189" s="35" t="inlineStr">
        <is>
          <t>Rahul Das</t>
        </is>
      </c>
      <c r="C189" s="35" t="inlineStr">
        <is>
          <t>LKO-01</t>
        </is>
      </c>
      <c r="D189" s="36">
        <f>INDEX(Branches!$C$2:$C$15,MATCH(C189,Branches!$A$2:$A$15,0))</f>
        <v/>
      </c>
      <c r="E189" s="35" t="inlineStr">
        <is>
          <t>Auto Loan</t>
        </is>
      </c>
      <c r="F189" s="37" t="n">
        <v>46046</v>
      </c>
      <c r="G189" s="38" t="n">
        <v>920000</v>
      </c>
      <c r="H189" s="39" t="n">
        <v>0.1095</v>
      </c>
      <c r="I189" s="35" t="n">
        <v>84</v>
      </c>
      <c r="J189" s="35" t="n">
        <v>697</v>
      </c>
      <c r="K189" s="35" t="n">
        <v>0</v>
      </c>
      <c r="L189" s="40">
        <f>ROUND(PMT(H189/12,I189,-G189),0)</f>
        <v/>
      </c>
      <c r="M189" s="41">
        <f>MAX(0,(YEAR(AsOfDate)-YEAR(F189))*12+MONTH(AsOfDate)-MONTH(F189))</f>
        <v/>
      </c>
      <c r="N189" s="41">
        <f>MAX(0,MIN(I189,M189)-INT(K189/30))</f>
        <v/>
      </c>
      <c r="O189" s="40">
        <f>IF(N189&gt;=I189,0,ROUND(PV(H189/12,I189-N189,-L189),0))</f>
        <v/>
      </c>
      <c r="P189" s="40">
        <f>MIN(I189,M189)*L189-N189*L189</f>
        <v/>
      </c>
      <c r="Q189" s="41">
        <f>INDEX(DPD_Bucket,MATCH(K189,DPD_From,1))</f>
        <v/>
      </c>
      <c r="R189" s="41">
        <f>INDEX(DPD_Class,MATCH(K189,DPD_From,1))</f>
        <v/>
      </c>
      <c r="S189" s="41">
        <f>INDEX(DPD_NPA,MATCH(K189,DPD_From,1))</f>
        <v/>
      </c>
      <c r="T189" s="42">
        <f>INDEX(DPD_Prov,MATCH(K189,DPD_From,1))</f>
        <v/>
      </c>
      <c r="U189" s="40">
        <f>ROUND(O189*T189,0)</f>
        <v/>
      </c>
      <c r="V189" s="41">
        <f>INDEX(CIBIL_Grade,MATCH(J189,CIBIL_From,1))</f>
        <v/>
      </c>
      <c r="W189" s="41">
        <f>YEAR(F189)&amp;"-Q"&amp;ROUNDUP(MONTH(F189)/3,0)</f>
        <v/>
      </c>
      <c r="X189" s="41">
        <f>IF(AND(OR(Dashboard!$C$4="All",D189=Dashboard!$C$4),OR(Dashboard!$C$5="All",E189=Dashboard!$C$5)),1,0)</f>
        <v/>
      </c>
      <c r="Y189" s="43">
        <f>IF(AND(X189=1,S189="Yes"),O189+ROW()/1000000,0)</f>
        <v/>
      </c>
    </row>
    <row r="190">
      <c r="A190" s="35" t="inlineStr">
        <is>
          <t>LN100189</t>
        </is>
      </c>
      <c r="B190" s="35" t="inlineStr">
        <is>
          <t>Deepa Gupta</t>
        </is>
      </c>
      <c r="C190" s="35" t="inlineStr">
        <is>
          <t>JAI-01</t>
        </is>
      </c>
      <c r="D190" s="36">
        <f>INDEX(Branches!$C$2:$C$15,MATCH(C190,Branches!$A$2:$A$15,0))</f>
        <v/>
      </c>
      <c r="E190" s="35" t="inlineStr">
        <is>
          <t>Personal Loan</t>
        </is>
      </c>
      <c r="F190" s="37" t="n">
        <v>45819</v>
      </c>
      <c r="G190" s="38" t="n">
        <v>778000</v>
      </c>
      <c r="H190" s="39" t="n">
        <v>0.1768</v>
      </c>
      <c r="I190" s="35" t="n">
        <v>36</v>
      </c>
      <c r="J190" s="35" t="n">
        <v>669</v>
      </c>
      <c r="K190" s="35" t="n">
        <v>0</v>
      </c>
      <c r="L190" s="40">
        <f>ROUND(PMT(H190/12,I190,-G190),0)</f>
        <v/>
      </c>
      <c r="M190" s="41">
        <f>MAX(0,(YEAR(AsOfDate)-YEAR(F190))*12+MONTH(AsOfDate)-MONTH(F190))</f>
        <v/>
      </c>
      <c r="N190" s="41">
        <f>MAX(0,MIN(I190,M190)-INT(K190/30))</f>
        <v/>
      </c>
      <c r="O190" s="40">
        <f>IF(N190&gt;=I190,0,ROUND(PV(H190/12,I190-N190,-L190),0))</f>
        <v/>
      </c>
      <c r="P190" s="40">
        <f>MIN(I190,M190)*L190-N190*L190</f>
        <v/>
      </c>
      <c r="Q190" s="41">
        <f>INDEX(DPD_Bucket,MATCH(K190,DPD_From,1))</f>
        <v/>
      </c>
      <c r="R190" s="41">
        <f>INDEX(DPD_Class,MATCH(K190,DPD_From,1))</f>
        <v/>
      </c>
      <c r="S190" s="41">
        <f>INDEX(DPD_NPA,MATCH(K190,DPD_From,1))</f>
        <v/>
      </c>
      <c r="T190" s="42">
        <f>INDEX(DPD_Prov,MATCH(K190,DPD_From,1))</f>
        <v/>
      </c>
      <c r="U190" s="40">
        <f>ROUND(O190*T190,0)</f>
        <v/>
      </c>
      <c r="V190" s="41">
        <f>INDEX(CIBIL_Grade,MATCH(J190,CIBIL_From,1))</f>
        <v/>
      </c>
      <c r="W190" s="41">
        <f>YEAR(F190)&amp;"-Q"&amp;ROUNDUP(MONTH(F190)/3,0)</f>
        <v/>
      </c>
      <c r="X190" s="41">
        <f>IF(AND(OR(Dashboard!$C$4="All",D190=Dashboard!$C$4),OR(Dashboard!$C$5="All",E190=Dashboard!$C$5)),1,0)</f>
        <v/>
      </c>
      <c r="Y190" s="43">
        <f>IF(AND(X190=1,S190="Yes"),O190+ROW()/1000000,0)</f>
        <v/>
      </c>
    </row>
    <row r="191">
      <c r="A191" s="35" t="inlineStr">
        <is>
          <t>LN100190</t>
        </is>
      </c>
      <c r="B191" s="35" t="inlineStr">
        <is>
          <t>Diya Singh</t>
        </is>
      </c>
      <c r="C191" s="35" t="inlineStr">
        <is>
          <t>BBS-01</t>
        </is>
      </c>
      <c r="D191" s="36">
        <f>INDEX(Branches!$C$2:$C$15,MATCH(C191,Branches!$A$2:$A$15,0))</f>
        <v/>
      </c>
      <c r="E191" s="35" t="inlineStr">
        <is>
          <t>Auto Loan</t>
        </is>
      </c>
      <c r="F191" s="37" t="n">
        <v>45713</v>
      </c>
      <c r="G191" s="38" t="n">
        <v>732000</v>
      </c>
      <c r="H191" s="39" t="n">
        <v>0.1109</v>
      </c>
      <c r="I191" s="35" t="n">
        <v>60</v>
      </c>
      <c r="J191" s="35" t="n">
        <v>752</v>
      </c>
      <c r="K191" s="35" t="n">
        <v>0</v>
      </c>
      <c r="L191" s="40">
        <f>ROUND(PMT(H191/12,I191,-G191),0)</f>
        <v/>
      </c>
      <c r="M191" s="41">
        <f>MAX(0,(YEAR(AsOfDate)-YEAR(F191))*12+MONTH(AsOfDate)-MONTH(F191))</f>
        <v/>
      </c>
      <c r="N191" s="41">
        <f>MAX(0,MIN(I191,M191)-INT(K191/30))</f>
        <v/>
      </c>
      <c r="O191" s="40">
        <f>IF(N191&gt;=I191,0,ROUND(PV(H191/12,I191-N191,-L191),0))</f>
        <v/>
      </c>
      <c r="P191" s="40">
        <f>MIN(I191,M191)*L191-N191*L191</f>
        <v/>
      </c>
      <c r="Q191" s="41">
        <f>INDEX(DPD_Bucket,MATCH(K191,DPD_From,1))</f>
        <v/>
      </c>
      <c r="R191" s="41">
        <f>INDEX(DPD_Class,MATCH(K191,DPD_From,1))</f>
        <v/>
      </c>
      <c r="S191" s="41">
        <f>INDEX(DPD_NPA,MATCH(K191,DPD_From,1))</f>
        <v/>
      </c>
      <c r="T191" s="42">
        <f>INDEX(DPD_Prov,MATCH(K191,DPD_From,1))</f>
        <v/>
      </c>
      <c r="U191" s="40">
        <f>ROUND(O191*T191,0)</f>
        <v/>
      </c>
      <c r="V191" s="41">
        <f>INDEX(CIBIL_Grade,MATCH(J191,CIBIL_From,1))</f>
        <v/>
      </c>
      <c r="W191" s="41">
        <f>YEAR(F191)&amp;"-Q"&amp;ROUNDUP(MONTH(F191)/3,0)</f>
        <v/>
      </c>
      <c r="X191" s="41">
        <f>IF(AND(OR(Dashboard!$C$4="All",D191=Dashboard!$C$4),OR(Dashboard!$C$5="All",E191=Dashboard!$C$5)),1,0)</f>
        <v/>
      </c>
      <c r="Y191" s="43">
        <f>IF(AND(X191=1,S191="Yes"),O191+ROW()/1000000,0)</f>
        <v/>
      </c>
    </row>
    <row r="192">
      <c r="A192" s="35" t="inlineStr">
        <is>
          <t>LN100191</t>
        </is>
      </c>
      <c r="B192" s="35" t="inlineStr">
        <is>
          <t>Swati Banerjee</t>
        </is>
      </c>
      <c r="C192" s="35" t="inlineStr">
        <is>
          <t>GUW-01</t>
        </is>
      </c>
      <c r="D192" s="36">
        <f>INDEX(Branches!$C$2:$C$15,MATCH(C192,Branches!$A$2:$A$15,0))</f>
        <v/>
      </c>
      <c r="E192" s="35" t="inlineStr">
        <is>
          <t>Auto Loan</t>
        </is>
      </c>
      <c r="F192" s="37" t="n">
        <v>45613</v>
      </c>
      <c r="G192" s="38" t="n">
        <v>952000</v>
      </c>
      <c r="H192" s="39" t="n">
        <v>0.113</v>
      </c>
      <c r="I192" s="35" t="n">
        <v>60</v>
      </c>
      <c r="J192" s="35" t="n">
        <v>718</v>
      </c>
      <c r="K192" s="35" t="n">
        <v>0</v>
      </c>
      <c r="L192" s="40">
        <f>ROUND(PMT(H192/12,I192,-G192),0)</f>
        <v/>
      </c>
      <c r="M192" s="41">
        <f>MAX(0,(YEAR(AsOfDate)-YEAR(F192))*12+MONTH(AsOfDate)-MONTH(F192))</f>
        <v/>
      </c>
      <c r="N192" s="41">
        <f>MAX(0,MIN(I192,M192)-INT(K192/30))</f>
        <v/>
      </c>
      <c r="O192" s="40">
        <f>IF(N192&gt;=I192,0,ROUND(PV(H192/12,I192-N192,-L192),0))</f>
        <v/>
      </c>
      <c r="P192" s="40">
        <f>MIN(I192,M192)*L192-N192*L192</f>
        <v/>
      </c>
      <c r="Q192" s="41">
        <f>INDEX(DPD_Bucket,MATCH(K192,DPD_From,1))</f>
        <v/>
      </c>
      <c r="R192" s="41">
        <f>INDEX(DPD_Class,MATCH(K192,DPD_From,1))</f>
        <v/>
      </c>
      <c r="S192" s="41">
        <f>INDEX(DPD_NPA,MATCH(K192,DPD_From,1))</f>
        <v/>
      </c>
      <c r="T192" s="42">
        <f>INDEX(DPD_Prov,MATCH(K192,DPD_From,1))</f>
        <v/>
      </c>
      <c r="U192" s="40">
        <f>ROUND(O192*T192,0)</f>
        <v/>
      </c>
      <c r="V192" s="41">
        <f>INDEX(CIBIL_Grade,MATCH(J192,CIBIL_From,1))</f>
        <v/>
      </c>
      <c r="W192" s="41">
        <f>YEAR(F192)&amp;"-Q"&amp;ROUNDUP(MONTH(F192)/3,0)</f>
        <v/>
      </c>
      <c r="X192" s="41">
        <f>IF(AND(OR(Dashboard!$C$4="All",D192=Dashboard!$C$4),OR(Dashboard!$C$5="All",E192=Dashboard!$C$5)),1,0)</f>
        <v/>
      </c>
      <c r="Y192" s="43">
        <f>IF(AND(X192=1,S192="Yes"),O192+ROW()/1000000,0)</f>
        <v/>
      </c>
    </row>
    <row r="193">
      <c r="A193" s="35" t="inlineStr">
        <is>
          <t>LN100192</t>
        </is>
      </c>
      <c r="B193" s="35" t="inlineStr">
        <is>
          <t>Aditya Menon</t>
        </is>
      </c>
      <c r="C193" s="35" t="inlineStr">
        <is>
          <t>DEL-01</t>
        </is>
      </c>
      <c r="D193" s="36">
        <f>INDEX(Branches!$C$2:$C$15,MATCH(C193,Branches!$A$2:$A$15,0))</f>
        <v/>
      </c>
      <c r="E193" s="35" t="inlineStr">
        <is>
          <t>Home Loan</t>
        </is>
      </c>
      <c r="F193" s="37" t="n">
        <v>45584</v>
      </c>
      <c r="G193" s="38" t="n">
        <v>10528000</v>
      </c>
      <c r="H193" s="39" t="n">
        <v>0.0945</v>
      </c>
      <c r="I193" s="35" t="n">
        <v>120</v>
      </c>
      <c r="J193" s="35" t="n">
        <v>804</v>
      </c>
      <c r="K193" s="35" t="n">
        <v>0</v>
      </c>
      <c r="L193" s="40">
        <f>ROUND(PMT(H193/12,I193,-G193),0)</f>
        <v/>
      </c>
      <c r="M193" s="41">
        <f>MAX(0,(YEAR(AsOfDate)-YEAR(F193))*12+MONTH(AsOfDate)-MONTH(F193))</f>
        <v/>
      </c>
      <c r="N193" s="41">
        <f>MAX(0,MIN(I193,M193)-INT(K193/30))</f>
        <v/>
      </c>
      <c r="O193" s="40">
        <f>IF(N193&gt;=I193,0,ROUND(PV(H193/12,I193-N193,-L193),0))</f>
        <v/>
      </c>
      <c r="P193" s="40">
        <f>MIN(I193,M193)*L193-N193*L193</f>
        <v/>
      </c>
      <c r="Q193" s="41">
        <f>INDEX(DPD_Bucket,MATCH(K193,DPD_From,1))</f>
        <v/>
      </c>
      <c r="R193" s="41">
        <f>INDEX(DPD_Class,MATCH(K193,DPD_From,1))</f>
        <v/>
      </c>
      <c r="S193" s="41">
        <f>INDEX(DPD_NPA,MATCH(K193,DPD_From,1))</f>
        <v/>
      </c>
      <c r="T193" s="42">
        <f>INDEX(DPD_Prov,MATCH(K193,DPD_From,1))</f>
        <v/>
      </c>
      <c r="U193" s="40">
        <f>ROUND(O193*T193,0)</f>
        <v/>
      </c>
      <c r="V193" s="41">
        <f>INDEX(CIBIL_Grade,MATCH(J193,CIBIL_From,1))</f>
        <v/>
      </c>
      <c r="W193" s="41">
        <f>YEAR(F193)&amp;"-Q"&amp;ROUNDUP(MONTH(F193)/3,0)</f>
        <v/>
      </c>
      <c r="X193" s="41">
        <f>IF(AND(OR(Dashboard!$C$4="All",D193=Dashboard!$C$4),OR(Dashboard!$C$5="All",E193=Dashboard!$C$5)),1,0)</f>
        <v/>
      </c>
      <c r="Y193" s="43">
        <f>IF(AND(X193=1,S193="Yes"),O193+ROW()/1000000,0)</f>
        <v/>
      </c>
    </row>
    <row r="194">
      <c r="A194" s="35" t="inlineStr">
        <is>
          <t>LN100193</t>
        </is>
      </c>
      <c r="B194" s="35" t="inlineStr">
        <is>
          <t>Suresh Mishra</t>
        </is>
      </c>
      <c r="C194" s="35" t="inlineStr">
        <is>
          <t>KOC-01</t>
        </is>
      </c>
      <c r="D194" s="36">
        <f>INDEX(Branches!$C$2:$C$15,MATCH(C194,Branches!$A$2:$A$15,0))</f>
        <v/>
      </c>
      <c r="E194" s="35" t="inlineStr">
        <is>
          <t>Home Loan</t>
        </is>
      </c>
      <c r="F194" s="37" t="n">
        <v>45618</v>
      </c>
      <c r="G194" s="38" t="n">
        <v>5152000</v>
      </c>
      <c r="H194" s="39" t="n">
        <v>0.0934</v>
      </c>
      <c r="I194" s="35" t="n">
        <v>240</v>
      </c>
      <c r="J194" s="35" t="n">
        <v>812</v>
      </c>
      <c r="K194" s="35" t="n">
        <v>0</v>
      </c>
      <c r="L194" s="40">
        <f>ROUND(PMT(H194/12,I194,-G194),0)</f>
        <v/>
      </c>
      <c r="M194" s="41">
        <f>MAX(0,(YEAR(AsOfDate)-YEAR(F194))*12+MONTH(AsOfDate)-MONTH(F194))</f>
        <v/>
      </c>
      <c r="N194" s="41">
        <f>MAX(0,MIN(I194,M194)-INT(K194/30))</f>
        <v/>
      </c>
      <c r="O194" s="40">
        <f>IF(N194&gt;=I194,0,ROUND(PV(H194/12,I194-N194,-L194),0))</f>
        <v/>
      </c>
      <c r="P194" s="40">
        <f>MIN(I194,M194)*L194-N194*L194</f>
        <v/>
      </c>
      <c r="Q194" s="41">
        <f>INDEX(DPD_Bucket,MATCH(K194,DPD_From,1))</f>
        <v/>
      </c>
      <c r="R194" s="41">
        <f>INDEX(DPD_Class,MATCH(K194,DPD_From,1))</f>
        <v/>
      </c>
      <c r="S194" s="41">
        <f>INDEX(DPD_NPA,MATCH(K194,DPD_From,1))</f>
        <v/>
      </c>
      <c r="T194" s="42">
        <f>INDEX(DPD_Prov,MATCH(K194,DPD_From,1))</f>
        <v/>
      </c>
      <c r="U194" s="40">
        <f>ROUND(O194*T194,0)</f>
        <v/>
      </c>
      <c r="V194" s="41">
        <f>INDEX(CIBIL_Grade,MATCH(J194,CIBIL_From,1))</f>
        <v/>
      </c>
      <c r="W194" s="41">
        <f>YEAR(F194)&amp;"-Q"&amp;ROUNDUP(MONTH(F194)/3,0)</f>
        <v/>
      </c>
      <c r="X194" s="41">
        <f>IF(AND(OR(Dashboard!$C$4="All",D194=Dashboard!$C$4),OR(Dashboard!$C$5="All",E194=Dashboard!$C$5)),1,0)</f>
        <v/>
      </c>
      <c r="Y194" s="43">
        <f>IF(AND(X194=1,S194="Yes"),O194+ROW()/1000000,0)</f>
        <v/>
      </c>
    </row>
    <row r="195">
      <c r="A195" s="35" t="inlineStr">
        <is>
          <t>LN100194</t>
        </is>
      </c>
      <c r="B195" s="35" t="inlineStr">
        <is>
          <t>Meera Pillai</t>
        </is>
      </c>
      <c r="C195" s="35" t="inlineStr">
        <is>
          <t>DEL-01</t>
        </is>
      </c>
      <c r="D195" s="36">
        <f>INDEX(Branches!$C$2:$C$15,MATCH(C195,Branches!$A$2:$A$15,0))</f>
        <v/>
      </c>
      <c r="E195" s="35" t="inlineStr">
        <is>
          <t>Personal Loan</t>
        </is>
      </c>
      <c r="F195" s="37" t="n">
        <v>46066</v>
      </c>
      <c r="G195" s="38" t="n">
        <v>1011000</v>
      </c>
      <c r="H195" s="39" t="n">
        <v>0.1617</v>
      </c>
      <c r="I195" s="35" t="n">
        <v>24</v>
      </c>
      <c r="J195" s="35" t="n">
        <v>700</v>
      </c>
      <c r="K195" s="35" t="n">
        <v>53</v>
      </c>
      <c r="L195" s="40">
        <f>ROUND(PMT(H195/12,I195,-G195),0)</f>
        <v/>
      </c>
      <c r="M195" s="41">
        <f>MAX(0,(YEAR(AsOfDate)-YEAR(F195))*12+MONTH(AsOfDate)-MONTH(F195))</f>
        <v/>
      </c>
      <c r="N195" s="41">
        <f>MAX(0,MIN(I195,M195)-INT(K195/30))</f>
        <v/>
      </c>
      <c r="O195" s="40">
        <f>IF(N195&gt;=I195,0,ROUND(PV(H195/12,I195-N195,-L195),0))</f>
        <v/>
      </c>
      <c r="P195" s="40">
        <f>MIN(I195,M195)*L195-N195*L195</f>
        <v/>
      </c>
      <c r="Q195" s="41">
        <f>INDEX(DPD_Bucket,MATCH(K195,DPD_From,1))</f>
        <v/>
      </c>
      <c r="R195" s="41">
        <f>INDEX(DPD_Class,MATCH(K195,DPD_From,1))</f>
        <v/>
      </c>
      <c r="S195" s="41">
        <f>INDEX(DPD_NPA,MATCH(K195,DPD_From,1))</f>
        <v/>
      </c>
      <c r="T195" s="42">
        <f>INDEX(DPD_Prov,MATCH(K195,DPD_From,1))</f>
        <v/>
      </c>
      <c r="U195" s="40">
        <f>ROUND(O195*T195,0)</f>
        <v/>
      </c>
      <c r="V195" s="41">
        <f>INDEX(CIBIL_Grade,MATCH(J195,CIBIL_From,1))</f>
        <v/>
      </c>
      <c r="W195" s="41">
        <f>YEAR(F195)&amp;"-Q"&amp;ROUNDUP(MONTH(F195)/3,0)</f>
        <v/>
      </c>
      <c r="X195" s="41">
        <f>IF(AND(OR(Dashboard!$C$4="All",D195=Dashboard!$C$4),OR(Dashboard!$C$5="All",E195=Dashboard!$C$5)),1,0)</f>
        <v/>
      </c>
      <c r="Y195" s="43">
        <f>IF(AND(X195=1,S195="Yes"),O195+ROW()/1000000,0)</f>
        <v/>
      </c>
    </row>
    <row r="196">
      <c r="A196" s="35" t="inlineStr">
        <is>
          <t>LN100195</t>
        </is>
      </c>
      <c r="B196" s="35" t="inlineStr">
        <is>
          <t>Rohan Verma</t>
        </is>
      </c>
      <c r="C196" s="35" t="inlineStr">
        <is>
          <t>HYD-01</t>
        </is>
      </c>
      <c r="D196" s="36">
        <f>INDEX(Branches!$C$2:$C$15,MATCH(C196,Branches!$A$2:$A$15,0))</f>
        <v/>
      </c>
      <c r="E196" s="35" t="inlineStr">
        <is>
          <t>Auto Loan</t>
        </is>
      </c>
      <c r="F196" s="37" t="n">
        <v>46052</v>
      </c>
      <c r="G196" s="38" t="n">
        <v>1069000</v>
      </c>
      <c r="H196" s="39" t="n">
        <v>0.115</v>
      </c>
      <c r="I196" s="35" t="n">
        <v>60</v>
      </c>
      <c r="J196" s="35" t="n">
        <v>754</v>
      </c>
      <c r="K196" s="35" t="n">
        <v>0</v>
      </c>
      <c r="L196" s="40">
        <f>ROUND(PMT(H196/12,I196,-G196),0)</f>
        <v/>
      </c>
      <c r="M196" s="41">
        <f>MAX(0,(YEAR(AsOfDate)-YEAR(F196))*12+MONTH(AsOfDate)-MONTH(F196))</f>
        <v/>
      </c>
      <c r="N196" s="41">
        <f>MAX(0,MIN(I196,M196)-INT(K196/30))</f>
        <v/>
      </c>
      <c r="O196" s="40">
        <f>IF(N196&gt;=I196,0,ROUND(PV(H196/12,I196-N196,-L196),0))</f>
        <v/>
      </c>
      <c r="P196" s="40">
        <f>MIN(I196,M196)*L196-N196*L196</f>
        <v/>
      </c>
      <c r="Q196" s="41">
        <f>INDEX(DPD_Bucket,MATCH(K196,DPD_From,1))</f>
        <v/>
      </c>
      <c r="R196" s="41">
        <f>INDEX(DPD_Class,MATCH(K196,DPD_From,1))</f>
        <v/>
      </c>
      <c r="S196" s="41">
        <f>INDEX(DPD_NPA,MATCH(K196,DPD_From,1))</f>
        <v/>
      </c>
      <c r="T196" s="42">
        <f>INDEX(DPD_Prov,MATCH(K196,DPD_From,1))</f>
        <v/>
      </c>
      <c r="U196" s="40">
        <f>ROUND(O196*T196,0)</f>
        <v/>
      </c>
      <c r="V196" s="41">
        <f>INDEX(CIBIL_Grade,MATCH(J196,CIBIL_From,1))</f>
        <v/>
      </c>
      <c r="W196" s="41">
        <f>YEAR(F196)&amp;"-Q"&amp;ROUNDUP(MONTH(F196)/3,0)</f>
        <v/>
      </c>
      <c r="X196" s="41">
        <f>IF(AND(OR(Dashboard!$C$4="All",D196=Dashboard!$C$4),OR(Dashboard!$C$5="All",E196=Dashboard!$C$5)),1,0)</f>
        <v/>
      </c>
      <c r="Y196" s="43">
        <f>IF(AND(X196=1,S196="Yes"),O196+ROW()/1000000,0)</f>
        <v/>
      </c>
    </row>
    <row r="197">
      <c r="A197" s="35" t="inlineStr">
        <is>
          <t>LN100196</t>
        </is>
      </c>
      <c r="B197" s="35" t="inlineStr">
        <is>
          <t>Reyansh Singh</t>
        </is>
      </c>
      <c r="C197" s="35" t="inlineStr">
        <is>
          <t>BLR-01</t>
        </is>
      </c>
      <c r="D197" s="36">
        <f>INDEX(Branches!$C$2:$C$15,MATCH(C197,Branches!$A$2:$A$15,0))</f>
        <v/>
      </c>
      <c r="E197" s="35" t="inlineStr">
        <is>
          <t>Gold Loan</t>
        </is>
      </c>
      <c r="F197" s="37" t="n">
        <v>45360</v>
      </c>
      <c r="G197" s="38" t="n">
        <v>54000</v>
      </c>
      <c r="H197" s="39" t="n">
        <v>0.107</v>
      </c>
      <c r="I197" s="35" t="n">
        <v>6</v>
      </c>
      <c r="J197" s="35" t="n">
        <v>721</v>
      </c>
      <c r="K197" s="35" t="n">
        <v>0</v>
      </c>
      <c r="L197" s="40">
        <f>ROUND(PMT(H197/12,I197,-G197),0)</f>
        <v/>
      </c>
      <c r="M197" s="41">
        <f>MAX(0,(YEAR(AsOfDate)-YEAR(F197))*12+MONTH(AsOfDate)-MONTH(F197))</f>
        <v/>
      </c>
      <c r="N197" s="41">
        <f>MAX(0,MIN(I197,M197)-INT(K197/30))</f>
        <v/>
      </c>
      <c r="O197" s="40">
        <f>IF(N197&gt;=I197,0,ROUND(PV(H197/12,I197-N197,-L197),0))</f>
        <v/>
      </c>
      <c r="P197" s="40">
        <f>MIN(I197,M197)*L197-N197*L197</f>
        <v/>
      </c>
      <c r="Q197" s="41">
        <f>INDEX(DPD_Bucket,MATCH(K197,DPD_From,1))</f>
        <v/>
      </c>
      <c r="R197" s="41">
        <f>INDEX(DPD_Class,MATCH(K197,DPD_From,1))</f>
        <v/>
      </c>
      <c r="S197" s="41">
        <f>INDEX(DPD_NPA,MATCH(K197,DPD_From,1))</f>
        <v/>
      </c>
      <c r="T197" s="42">
        <f>INDEX(DPD_Prov,MATCH(K197,DPD_From,1))</f>
        <v/>
      </c>
      <c r="U197" s="40">
        <f>ROUND(O197*T197,0)</f>
        <v/>
      </c>
      <c r="V197" s="41">
        <f>INDEX(CIBIL_Grade,MATCH(J197,CIBIL_From,1))</f>
        <v/>
      </c>
      <c r="W197" s="41">
        <f>YEAR(F197)&amp;"-Q"&amp;ROUNDUP(MONTH(F197)/3,0)</f>
        <v/>
      </c>
      <c r="X197" s="41">
        <f>IF(AND(OR(Dashboard!$C$4="All",D197=Dashboard!$C$4),OR(Dashboard!$C$5="All",E197=Dashboard!$C$5)),1,0)</f>
        <v/>
      </c>
      <c r="Y197" s="43">
        <f>IF(AND(X197=1,S197="Yes"),O197+ROW()/1000000,0)</f>
        <v/>
      </c>
    </row>
    <row r="198">
      <c r="A198" s="35" t="inlineStr">
        <is>
          <t>LN100197</t>
        </is>
      </c>
      <c r="B198" s="35" t="inlineStr">
        <is>
          <t>Swati Reddy</t>
        </is>
      </c>
      <c r="C198" s="35" t="inlineStr">
        <is>
          <t>GUW-01</t>
        </is>
      </c>
      <c r="D198" s="36">
        <f>INDEX(Branches!$C$2:$C$15,MATCH(C198,Branches!$A$2:$A$15,0))</f>
        <v/>
      </c>
      <c r="E198" s="35" t="inlineStr">
        <is>
          <t>Home Loan</t>
        </is>
      </c>
      <c r="F198" s="37" t="n">
        <v>45591</v>
      </c>
      <c r="G198" s="38" t="n">
        <v>8555000</v>
      </c>
      <c r="H198" s="39" t="n">
        <v>0.0878</v>
      </c>
      <c r="I198" s="35" t="n">
        <v>180</v>
      </c>
      <c r="J198" s="35" t="n">
        <v>659</v>
      </c>
      <c r="K198" s="35" t="n">
        <v>0</v>
      </c>
      <c r="L198" s="40">
        <f>ROUND(PMT(H198/12,I198,-G198),0)</f>
        <v/>
      </c>
      <c r="M198" s="41">
        <f>MAX(0,(YEAR(AsOfDate)-YEAR(F198))*12+MONTH(AsOfDate)-MONTH(F198))</f>
        <v/>
      </c>
      <c r="N198" s="41">
        <f>MAX(0,MIN(I198,M198)-INT(K198/30))</f>
        <v/>
      </c>
      <c r="O198" s="40">
        <f>IF(N198&gt;=I198,0,ROUND(PV(H198/12,I198-N198,-L198),0))</f>
        <v/>
      </c>
      <c r="P198" s="40">
        <f>MIN(I198,M198)*L198-N198*L198</f>
        <v/>
      </c>
      <c r="Q198" s="41">
        <f>INDEX(DPD_Bucket,MATCH(K198,DPD_From,1))</f>
        <v/>
      </c>
      <c r="R198" s="41">
        <f>INDEX(DPD_Class,MATCH(K198,DPD_From,1))</f>
        <v/>
      </c>
      <c r="S198" s="41">
        <f>INDEX(DPD_NPA,MATCH(K198,DPD_From,1))</f>
        <v/>
      </c>
      <c r="T198" s="42">
        <f>INDEX(DPD_Prov,MATCH(K198,DPD_From,1))</f>
        <v/>
      </c>
      <c r="U198" s="40">
        <f>ROUND(O198*T198,0)</f>
        <v/>
      </c>
      <c r="V198" s="41">
        <f>INDEX(CIBIL_Grade,MATCH(J198,CIBIL_From,1))</f>
        <v/>
      </c>
      <c r="W198" s="41">
        <f>YEAR(F198)&amp;"-Q"&amp;ROUNDUP(MONTH(F198)/3,0)</f>
        <v/>
      </c>
      <c r="X198" s="41">
        <f>IF(AND(OR(Dashboard!$C$4="All",D198=Dashboard!$C$4),OR(Dashboard!$C$5="All",E198=Dashboard!$C$5)),1,0)</f>
        <v/>
      </c>
      <c r="Y198" s="43">
        <f>IF(AND(X198=1,S198="Yes"),O198+ROW()/1000000,0)</f>
        <v/>
      </c>
    </row>
    <row r="199">
      <c r="A199" s="35" t="inlineStr">
        <is>
          <t>LN100198</t>
        </is>
      </c>
      <c r="B199" s="35" t="inlineStr">
        <is>
          <t>Lakshmi Gupta</t>
        </is>
      </c>
      <c r="C199" s="35" t="inlineStr">
        <is>
          <t>BBS-01</t>
        </is>
      </c>
      <c r="D199" s="36">
        <f>INDEX(Branches!$C$2:$C$15,MATCH(C199,Branches!$A$2:$A$15,0))</f>
        <v/>
      </c>
      <c r="E199" s="35" t="inlineStr">
        <is>
          <t>Business Loan</t>
        </is>
      </c>
      <c r="F199" s="37" t="n">
        <v>45841</v>
      </c>
      <c r="G199" s="38" t="n">
        <v>1338000</v>
      </c>
      <c r="H199" s="39" t="n">
        <v>0.1816</v>
      </c>
      <c r="I199" s="35" t="n">
        <v>36</v>
      </c>
      <c r="J199" s="35" t="n">
        <v>757</v>
      </c>
      <c r="K199" s="35" t="n">
        <v>0</v>
      </c>
      <c r="L199" s="40">
        <f>ROUND(PMT(H199/12,I199,-G199),0)</f>
        <v/>
      </c>
      <c r="M199" s="41">
        <f>MAX(0,(YEAR(AsOfDate)-YEAR(F199))*12+MONTH(AsOfDate)-MONTH(F199))</f>
        <v/>
      </c>
      <c r="N199" s="41">
        <f>MAX(0,MIN(I199,M199)-INT(K199/30))</f>
        <v/>
      </c>
      <c r="O199" s="40">
        <f>IF(N199&gt;=I199,0,ROUND(PV(H199/12,I199-N199,-L199),0))</f>
        <v/>
      </c>
      <c r="P199" s="40">
        <f>MIN(I199,M199)*L199-N199*L199</f>
        <v/>
      </c>
      <c r="Q199" s="41">
        <f>INDEX(DPD_Bucket,MATCH(K199,DPD_From,1))</f>
        <v/>
      </c>
      <c r="R199" s="41">
        <f>INDEX(DPD_Class,MATCH(K199,DPD_From,1))</f>
        <v/>
      </c>
      <c r="S199" s="41">
        <f>INDEX(DPD_NPA,MATCH(K199,DPD_From,1))</f>
        <v/>
      </c>
      <c r="T199" s="42">
        <f>INDEX(DPD_Prov,MATCH(K199,DPD_From,1))</f>
        <v/>
      </c>
      <c r="U199" s="40">
        <f>ROUND(O199*T199,0)</f>
        <v/>
      </c>
      <c r="V199" s="41">
        <f>INDEX(CIBIL_Grade,MATCH(J199,CIBIL_From,1))</f>
        <v/>
      </c>
      <c r="W199" s="41">
        <f>YEAR(F199)&amp;"-Q"&amp;ROUNDUP(MONTH(F199)/3,0)</f>
        <v/>
      </c>
      <c r="X199" s="41">
        <f>IF(AND(OR(Dashboard!$C$4="All",D199=Dashboard!$C$4),OR(Dashboard!$C$5="All",E199=Dashboard!$C$5)),1,0)</f>
        <v/>
      </c>
      <c r="Y199" s="43">
        <f>IF(AND(X199=1,S199="Yes"),O199+ROW()/1000000,0)</f>
        <v/>
      </c>
    </row>
    <row r="200">
      <c r="A200" s="35" t="inlineStr">
        <is>
          <t>LN100199</t>
        </is>
      </c>
      <c r="B200" s="35" t="inlineStr">
        <is>
          <t>Meera Chatterjee</t>
        </is>
      </c>
      <c r="C200" s="35" t="inlineStr">
        <is>
          <t>PUN-01</t>
        </is>
      </c>
      <c r="D200" s="36">
        <f>INDEX(Branches!$C$2:$C$15,MATCH(C200,Branches!$A$2:$A$15,0))</f>
        <v/>
      </c>
      <c r="E200" s="35" t="inlineStr">
        <is>
          <t>Business Loan</t>
        </is>
      </c>
      <c r="F200" s="37" t="n">
        <v>45814</v>
      </c>
      <c r="G200" s="38" t="n">
        <v>890000</v>
      </c>
      <c r="H200" s="39" t="n">
        <v>0.1768</v>
      </c>
      <c r="I200" s="35" t="n">
        <v>24</v>
      </c>
      <c r="J200" s="35" t="n">
        <v>674</v>
      </c>
      <c r="K200" s="35" t="n">
        <v>0</v>
      </c>
      <c r="L200" s="40">
        <f>ROUND(PMT(H200/12,I200,-G200),0)</f>
        <v/>
      </c>
      <c r="M200" s="41">
        <f>MAX(0,(YEAR(AsOfDate)-YEAR(F200))*12+MONTH(AsOfDate)-MONTH(F200))</f>
        <v/>
      </c>
      <c r="N200" s="41">
        <f>MAX(0,MIN(I200,M200)-INT(K200/30))</f>
        <v/>
      </c>
      <c r="O200" s="40">
        <f>IF(N200&gt;=I200,0,ROUND(PV(H200/12,I200-N200,-L200),0))</f>
        <v/>
      </c>
      <c r="P200" s="40">
        <f>MIN(I200,M200)*L200-N200*L200</f>
        <v/>
      </c>
      <c r="Q200" s="41">
        <f>INDEX(DPD_Bucket,MATCH(K200,DPD_From,1))</f>
        <v/>
      </c>
      <c r="R200" s="41">
        <f>INDEX(DPD_Class,MATCH(K200,DPD_From,1))</f>
        <v/>
      </c>
      <c r="S200" s="41">
        <f>INDEX(DPD_NPA,MATCH(K200,DPD_From,1))</f>
        <v/>
      </c>
      <c r="T200" s="42">
        <f>INDEX(DPD_Prov,MATCH(K200,DPD_From,1))</f>
        <v/>
      </c>
      <c r="U200" s="40">
        <f>ROUND(O200*T200,0)</f>
        <v/>
      </c>
      <c r="V200" s="41">
        <f>INDEX(CIBIL_Grade,MATCH(J200,CIBIL_From,1))</f>
        <v/>
      </c>
      <c r="W200" s="41">
        <f>YEAR(F200)&amp;"-Q"&amp;ROUNDUP(MONTH(F200)/3,0)</f>
        <v/>
      </c>
      <c r="X200" s="41">
        <f>IF(AND(OR(Dashboard!$C$4="All",D200=Dashboard!$C$4),OR(Dashboard!$C$5="All",E200=Dashboard!$C$5)),1,0)</f>
        <v/>
      </c>
      <c r="Y200" s="43">
        <f>IF(AND(X200=1,S200="Yes"),O200+ROW()/1000000,0)</f>
        <v/>
      </c>
    </row>
    <row r="201">
      <c r="A201" s="35" t="inlineStr">
        <is>
          <t>LN100200</t>
        </is>
      </c>
      <c r="B201" s="35" t="inlineStr">
        <is>
          <t>Kabir Sharma</t>
        </is>
      </c>
      <c r="C201" s="35" t="inlineStr">
        <is>
          <t>MUM-01</t>
        </is>
      </c>
      <c r="D201" s="36">
        <f>INDEX(Branches!$C$2:$C$15,MATCH(C201,Branches!$A$2:$A$15,0))</f>
        <v/>
      </c>
      <c r="E201" s="35" t="inlineStr">
        <is>
          <t>Home Loan</t>
        </is>
      </c>
      <c r="F201" s="37" t="n">
        <v>45196</v>
      </c>
      <c r="G201" s="38" t="n">
        <v>6986000</v>
      </c>
      <c r="H201" s="39" t="n">
        <v>0.09030000000000001</v>
      </c>
      <c r="I201" s="35" t="n">
        <v>120</v>
      </c>
      <c r="J201" s="35" t="n">
        <v>684</v>
      </c>
      <c r="K201" s="35" t="n">
        <v>0</v>
      </c>
      <c r="L201" s="40">
        <f>ROUND(PMT(H201/12,I201,-G201),0)</f>
        <v/>
      </c>
      <c r="M201" s="41">
        <f>MAX(0,(YEAR(AsOfDate)-YEAR(F201))*12+MONTH(AsOfDate)-MONTH(F201))</f>
        <v/>
      </c>
      <c r="N201" s="41">
        <f>MAX(0,MIN(I201,M201)-INT(K201/30))</f>
        <v/>
      </c>
      <c r="O201" s="40">
        <f>IF(N201&gt;=I201,0,ROUND(PV(H201/12,I201-N201,-L201),0))</f>
        <v/>
      </c>
      <c r="P201" s="40">
        <f>MIN(I201,M201)*L201-N201*L201</f>
        <v/>
      </c>
      <c r="Q201" s="41">
        <f>INDEX(DPD_Bucket,MATCH(K201,DPD_From,1))</f>
        <v/>
      </c>
      <c r="R201" s="41">
        <f>INDEX(DPD_Class,MATCH(K201,DPD_From,1))</f>
        <v/>
      </c>
      <c r="S201" s="41">
        <f>INDEX(DPD_NPA,MATCH(K201,DPD_From,1))</f>
        <v/>
      </c>
      <c r="T201" s="42">
        <f>INDEX(DPD_Prov,MATCH(K201,DPD_From,1))</f>
        <v/>
      </c>
      <c r="U201" s="40">
        <f>ROUND(O201*T201,0)</f>
        <v/>
      </c>
      <c r="V201" s="41">
        <f>INDEX(CIBIL_Grade,MATCH(J201,CIBIL_From,1))</f>
        <v/>
      </c>
      <c r="W201" s="41">
        <f>YEAR(F201)&amp;"-Q"&amp;ROUNDUP(MONTH(F201)/3,0)</f>
        <v/>
      </c>
      <c r="X201" s="41">
        <f>IF(AND(OR(Dashboard!$C$4="All",D201=Dashboard!$C$4),OR(Dashboard!$C$5="All",E201=Dashboard!$C$5)),1,0)</f>
        <v/>
      </c>
      <c r="Y201" s="43">
        <f>IF(AND(X201=1,S201="Yes"),O201+ROW()/1000000,0)</f>
        <v/>
      </c>
    </row>
    <row r="202">
      <c r="A202" s="35" t="inlineStr">
        <is>
          <t>LN100201</t>
        </is>
      </c>
      <c r="B202" s="35" t="inlineStr">
        <is>
          <t>Sneha Mohanty</t>
        </is>
      </c>
      <c r="C202" s="35" t="inlineStr">
        <is>
          <t>BLR-01</t>
        </is>
      </c>
      <c r="D202" s="36">
        <f>INDEX(Branches!$C$2:$C$15,MATCH(C202,Branches!$A$2:$A$15,0))</f>
        <v/>
      </c>
      <c r="E202" s="35" t="inlineStr">
        <is>
          <t>Auto Loan</t>
        </is>
      </c>
      <c r="F202" s="37" t="n">
        <v>45555</v>
      </c>
      <c r="G202" s="38" t="n">
        <v>1468000</v>
      </c>
      <c r="H202" s="39" t="n">
        <v>0.1034</v>
      </c>
      <c r="I202" s="35" t="n">
        <v>60</v>
      </c>
      <c r="J202" s="35" t="n">
        <v>672</v>
      </c>
      <c r="K202" s="35" t="n">
        <v>0</v>
      </c>
      <c r="L202" s="40">
        <f>ROUND(PMT(H202/12,I202,-G202),0)</f>
        <v/>
      </c>
      <c r="M202" s="41">
        <f>MAX(0,(YEAR(AsOfDate)-YEAR(F202))*12+MONTH(AsOfDate)-MONTH(F202))</f>
        <v/>
      </c>
      <c r="N202" s="41">
        <f>MAX(0,MIN(I202,M202)-INT(K202/30))</f>
        <v/>
      </c>
      <c r="O202" s="40">
        <f>IF(N202&gt;=I202,0,ROUND(PV(H202/12,I202-N202,-L202),0))</f>
        <v/>
      </c>
      <c r="P202" s="40">
        <f>MIN(I202,M202)*L202-N202*L202</f>
        <v/>
      </c>
      <c r="Q202" s="41">
        <f>INDEX(DPD_Bucket,MATCH(K202,DPD_From,1))</f>
        <v/>
      </c>
      <c r="R202" s="41">
        <f>INDEX(DPD_Class,MATCH(K202,DPD_From,1))</f>
        <v/>
      </c>
      <c r="S202" s="41">
        <f>INDEX(DPD_NPA,MATCH(K202,DPD_From,1))</f>
        <v/>
      </c>
      <c r="T202" s="42">
        <f>INDEX(DPD_Prov,MATCH(K202,DPD_From,1))</f>
        <v/>
      </c>
      <c r="U202" s="40">
        <f>ROUND(O202*T202,0)</f>
        <v/>
      </c>
      <c r="V202" s="41">
        <f>INDEX(CIBIL_Grade,MATCH(J202,CIBIL_From,1))</f>
        <v/>
      </c>
      <c r="W202" s="41">
        <f>YEAR(F202)&amp;"-Q"&amp;ROUNDUP(MONTH(F202)/3,0)</f>
        <v/>
      </c>
      <c r="X202" s="41">
        <f>IF(AND(OR(Dashboard!$C$4="All",D202=Dashboard!$C$4),OR(Dashboard!$C$5="All",E202=Dashboard!$C$5)),1,0)</f>
        <v/>
      </c>
      <c r="Y202" s="43">
        <f>IF(AND(X202=1,S202="Yes"),O202+ROW()/1000000,0)</f>
        <v/>
      </c>
    </row>
    <row r="203">
      <c r="A203" s="35" t="inlineStr">
        <is>
          <t>LN100202</t>
        </is>
      </c>
      <c r="B203" s="35" t="inlineStr">
        <is>
          <t>Swati Singh</t>
        </is>
      </c>
      <c r="C203" s="35" t="inlineStr">
        <is>
          <t>BBS-01</t>
        </is>
      </c>
      <c r="D203" s="36">
        <f>INDEX(Branches!$C$2:$C$15,MATCH(C203,Branches!$A$2:$A$15,0))</f>
        <v/>
      </c>
      <c r="E203" s="35" t="inlineStr">
        <is>
          <t>Home Loan</t>
        </is>
      </c>
      <c r="F203" s="37" t="n">
        <v>45144</v>
      </c>
      <c r="G203" s="38" t="n">
        <v>3526000</v>
      </c>
      <c r="H203" s="39" t="n">
        <v>0.0968</v>
      </c>
      <c r="I203" s="35" t="n">
        <v>240</v>
      </c>
      <c r="J203" s="35" t="n">
        <v>699</v>
      </c>
      <c r="K203" s="35" t="n">
        <v>0</v>
      </c>
      <c r="L203" s="40">
        <f>ROUND(PMT(H203/12,I203,-G203),0)</f>
        <v/>
      </c>
      <c r="M203" s="41">
        <f>MAX(0,(YEAR(AsOfDate)-YEAR(F203))*12+MONTH(AsOfDate)-MONTH(F203))</f>
        <v/>
      </c>
      <c r="N203" s="41">
        <f>MAX(0,MIN(I203,M203)-INT(K203/30))</f>
        <v/>
      </c>
      <c r="O203" s="40">
        <f>IF(N203&gt;=I203,0,ROUND(PV(H203/12,I203-N203,-L203),0))</f>
        <v/>
      </c>
      <c r="P203" s="40">
        <f>MIN(I203,M203)*L203-N203*L203</f>
        <v/>
      </c>
      <c r="Q203" s="41">
        <f>INDEX(DPD_Bucket,MATCH(K203,DPD_From,1))</f>
        <v/>
      </c>
      <c r="R203" s="41">
        <f>INDEX(DPD_Class,MATCH(K203,DPD_From,1))</f>
        <v/>
      </c>
      <c r="S203" s="41">
        <f>INDEX(DPD_NPA,MATCH(K203,DPD_From,1))</f>
        <v/>
      </c>
      <c r="T203" s="42">
        <f>INDEX(DPD_Prov,MATCH(K203,DPD_From,1))</f>
        <v/>
      </c>
      <c r="U203" s="40">
        <f>ROUND(O203*T203,0)</f>
        <v/>
      </c>
      <c r="V203" s="41">
        <f>INDEX(CIBIL_Grade,MATCH(J203,CIBIL_From,1))</f>
        <v/>
      </c>
      <c r="W203" s="41">
        <f>YEAR(F203)&amp;"-Q"&amp;ROUNDUP(MONTH(F203)/3,0)</f>
        <v/>
      </c>
      <c r="X203" s="41">
        <f>IF(AND(OR(Dashboard!$C$4="All",D203=Dashboard!$C$4),OR(Dashboard!$C$5="All",E203=Dashboard!$C$5)),1,0)</f>
        <v/>
      </c>
      <c r="Y203" s="43">
        <f>IF(AND(X203=1,S203="Yes"),O203+ROW()/1000000,0)</f>
        <v/>
      </c>
    </row>
    <row r="204">
      <c r="A204" s="35" t="inlineStr">
        <is>
          <t>LN100203</t>
        </is>
      </c>
      <c r="B204" s="35" t="inlineStr">
        <is>
          <t>Suresh Menon</t>
        </is>
      </c>
      <c r="C204" s="35" t="inlineStr">
        <is>
          <t>AMD-01</t>
        </is>
      </c>
      <c r="D204" s="36">
        <f>INDEX(Branches!$C$2:$C$15,MATCH(C204,Branches!$A$2:$A$15,0))</f>
        <v/>
      </c>
      <c r="E204" s="35" t="inlineStr">
        <is>
          <t>Auto Loan</t>
        </is>
      </c>
      <c r="F204" s="37" t="n">
        <v>45725</v>
      </c>
      <c r="G204" s="38" t="n">
        <v>1523000</v>
      </c>
      <c r="H204" s="39" t="n">
        <v>0.1173</v>
      </c>
      <c r="I204" s="35" t="n">
        <v>48</v>
      </c>
      <c r="J204" s="35" t="n">
        <v>795</v>
      </c>
      <c r="K204" s="35" t="n">
        <v>0</v>
      </c>
      <c r="L204" s="40">
        <f>ROUND(PMT(H204/12,I204,-G204),0)</f>
        <v/>
      </c>
      <c r="M204" s="41">
        <f>MAX(0,(YEAR(AsOfDate)-YEAR(F204))*12+MONTH(AsOfDate)-MONTH(F204))</f>
        <v/>
      </c>
      <c r="N204" s="41">
        <f>MAX(0,MIN(I204,M204)-INT(K204/30))</f>
        <v/>
      </c>
      <c r="O204" s="40">
        <f>IF(N204&gt;=I204,0,ROUND(PV(H204/12,I204-N204,-L204),0))</f>
        <v/>
      </c>
      <c r="P204" s="40">
        <f>MIN(I204,M204)*L204-N204*L204</f>
        <v/>
      </c>
      <c r="Q204" s="41">
        <f>INDEX(DPD_Bucket,MATCH(K204,DPD_From,1))</f>
        <v/>
      </c>
      <c r="R204" s="41">
        <f>INDEX(DPD_Class,MATCH(K204,DPD_From,1))</f>
        <v/>
      </c>
      <c r="S204" s="41">
        <f>INDEX(DPD_NPA,MATCH(K204,DPD_From,1))</f>
        <v/>
      </c>
      <c r="T204" s="42">
        <f>INDEX(DPD_Prov,MATCH(K204,DPD_From,1))</f>
        <v/>
      </c>
      <c r="U204" s="40">
        <f>ROUND(O204*T204,0)</f>
        <v/>
      </c>
      <c r="V204" s="41">
        <f>INDEX(CIBIL_Grade,MATCH(J204,CIBIL_From,1))</f>
        <v/>
      </c>
      <c r="W204" s="41">
        <f>YEAR(F204)&amp;"-Q"&amp;ROUNDUP(MONTH(F204)/3,0)</f>
        <v/>
      </c>
      <c r="X204" s="41">
        <f>IF(AND(OR(Dashboard!$C$4="All",D204=Dashboard!$C$4),OR(Dashboard!$C$5="All",E204=Dashboard!$C$5)),1,0)</f>
        <v/>
      </c>
      <c r="Y204" s="43">
        <f>IF(AND(X204=1,S204="Yes"),O204+ROW()/1000000,0)</f>
        <v/>
      </c>
    </row>
    <row r="205">
      <c r="A205" s="35" t="inlineStr">
        <is>
          <t>LN100204</t>
        </is>
      </c>
      <c r="B205" s="35" t="inlineStr">
        <is>
          <t>Suresh Iyer</t>
        </is>
      </c>
      <c r="C205" s="35" t="inlineStr">
        <is>
          <t>LKO-01</t>
        </is>
      </c>
      <c r="D205" s="36">
        <f>INDEX(Branches!$C$2:$C$15,MATCH(C205,Branches!$A$2:$A$15,0))</f>
        <v/>
      </c>
      <c r="E205" s="35" t="inlineStr">
        <is>
          <t>Business Loan</t>
        </is>
      </c>
      <c r="F205" s="37" t="n">
        <v>45667</v>
      </c>
      <c r="G205" s="38" t="n">
        <v>2510000</v>
      </c>
      <c r="H205" s="39" t="n">
        <v>0.1793</v>
      </c>
      <c r="I205" s="35" t="n">
        <v>24</v>
      </c>
      <c r="J205" s="35" t="n">
        <v>718</v>
      </c>
      <c r="K205" s="35" t="n">
        <v>0</v>
      </c>
      <c r="L205" s="40">
        <f>ROUND(PMT(H205/12,I205,-G205),0)</f>
        <v/>
      </c>
      <c r="M205" s="41">
        <f>MAX(0,(YEAR(AsOfDate)-YEAR(F205))*12+MONTH(AsOfDate)-MONTH(F205))</f>
        <v/>
      </c>
      <c r="N205" s="41">
        <f>MAX(0,MIN(I205,M205)-INT(K205/30))</f>
        <v/>
      </c>
      <c r="O205" s="40">
        <f>IF(N205&gt;=I205,0,ROUND(PV(H205/12,I205-N205,-L205),0))</f>
        <v/>
      </c>
      <c r="P205" s="40">
        <f>MIN(I205,M205)*L205-N205*L205</f>
        <v/>
      </c>
      <c r="Q205" s="41">
        <f>INDEX(DPD_Bucket,MATCH(K205,DPD_From,1))</f>
        <v/>
      </c>
      <c r="R205" s="41">
        <f>INDEX(DPD_Class,MATCH(K205,DPD_From,1))</f>
        <v/>
      </c>
      <c r="S205" s="41">
        <f>INDEX(DPD_NPA,MATCH(K205,DPD_From,1))</f>
        <v/>
      </c>
      <c r="T205" s="42">
        <f>INDEX(DPD_Prov,MATCH(K205,DPD_From,1))</f>
        <v/>
      </c>
      <c r="U205" s="40">
        <f>ROUND(O205*T205,0)</f>
        <v/>
      </c>
      <c r="V205" s="41">
        <f>INDEX(CIBIL_Grade,MATCH(J205,CIBIL_From,1))</f>
        <v/>
      </c>
      <c r="W205" s="41">
        <f>YEAR(F205)&amp;"-Q"&amp;ROUNDUP(MONTH(F205)/3,0)</f>
        <v/>
      </c>
      <c r="X205" s="41">
        <f>IF(AND(OR(Dashboard!$C$4="All",D205=Dashboard!$C$4),OR(Dashboard!$C$5="All",E205=Dashboard!$C$5)),1,0)</f>
        <v/>
      </c>
      <c r="Y205" s="43">
        <f>IF(AND(X205=1,S205="Yes"),O205+ROW()/1000000,0)</f>
        <v/>
      </c>
    </row>
    <row r="206">
      <c r="A206" s="35" t="inlineStr">
        <is>
          <t>LN100205</t>
        </is>
      </c>
      <c r="B206" s="35" t="inlineStr">
        <is>
          <t>Karthik Kulkarni</t>
        </is>
      </c>
      <c r="C206" s="35" t="inlineStr">
        <is>
          <t>HYD-01</t>
        </is>
      </c>
      <c r="D206" s="36">
        <f>INDEX(Branches!$C$2:$C$15,MATCH(C206,Branches!$A$2:$A$15,0))</f>
        <v/>
      </c>
      <c r="E206" s="35" t="inlineStr">
        <is>
          <t>Home Loan</t>
        </is>
      </c>
      <c r="F206" s="37" t="n">
        <v>45944</v>
      </c>
      <c r="G206" s="38" t="n">
        <v>4139000</v>
      </c>
      <c r="H206" s="39" t="n">
        <v>0.096</v>
      </c>
      <c r="I206" s="35" t="n">
        <v>240</v>
      </c>
      <c r="J206" s="35" t="n">
        <v>799</v>
      </c>
      <c r="K206" s="35" t="n">
        <v>0</v>
      </c>
      <c r="L206" s="40">
        <f>ROUND(PMT(H206/12,I206,-G206),0)</f>
        <v/>
      </c>
      <c r="M206" s="41">
        <f>MAX(0,(YEAR(AsOfDate)-YEAR(F206))*12+MONTH(AsOfDate)-MONTH(F206))</f>
        <v/>
      </c>
      <c r="N206" s="41">
        <f>MAX(0,MIN(I206,M206)-INT(K206/30))</f>
        <v/>
      </c>
      <c r="O206" s="40">
        <f>IF(N206&gt;=I206,0,ROUND(PV(H206/12,I206-N206,-L206),0))</f>
        <v/>
      </c>
      <c r="P206" s="40">
        <f>MIN(I206,M206)*L206-N206*L206</f>
        <v/>
      </c>
      <c r="Q206" s="41">
        <f>INDEX(DPD_Bucket,MATCH(K206,DPD_From,1))</f>
        <v/>
      </c>
      <c r="R206" s="41">
        <f>INDEX(DPD_Class,MATCH(K206,DPD_From,1))</f>
        <v/>
      </c>
      <c r="S206" s="41">
        <f>INDEX(DPD_NPA,MATCH(K206,DPD_From,1))</f>
        <v/>
      </c>
      <c r="T206" s="42">
        <f>INDEX(DPD_Prov,MATCH(K206,DPD_From,1))</f>
        <v/>
      </c>
      <c r="U206" s="40">
        <f>ROUND(O206*T206,0)</f>
        <v/>
      </c>
      <c r="V206" s="41">
        <f>INDEX(CIBIL_Grade,MATCH(J206,CIBIL_From,1))</f>
        <v/>
      </c>
      <c r="W206" s="41">
        <f>YEAR(F206)&amp;"-Q"&amp;ROUNDUP(MONTH(F206)/3,0)</f>
        <v/>
      </c>
      <c r="X206" s="41">
        <f>IF(AND(OR(Dashboard!$C$4="All",D206=Dashboard!$C$4),OR(Dashboard!$C$5="All",E206=Dashboard!$C$5)),1,0)</f>
        <v/>
      </c>
      <c r="Y206" s="43">
        <f>IF(AND(X206=1,S206="Yes"),O206+ROW()/1000000,0)</f>
        <v/>
      </c>
    </row>
    <row r="207">
      <c r="A207" s="35" t="inlineStr">
        <is>
          <t>LN100206</t>
        </is>
      </c>
      <c r="B207" s="35" t="inlineStr">
        <is>
          <t>Riya Mishra</t>
        </is>
      </c>
      <c r="C207" s="35" t="inlineStr">
        <is>
          <t>BLR-01</t>
        </is>
      </c>
      <c r="D207" s="36">
        <f>INDEX(Branches!$C$2:$C$15,MATCH(C207,Branches!$A$2:$A$15,0))</f>
        <v/>
      </c>
      <c r="E207" s="35" t="inlineStr">
        <is>
          <t>Personal Loan</t>
        </is>
      </c>
      <c r="F207" s="37" t="n">
        <v>45172</v>
      </c>
      <c r="G207" s="38" t="n">
        <v>882000</v>
      </c>
      <c r="H207" s="39" t="n">
        <v>0.1555</v>
      </c>
      <c r="I207" s="35" t="n">
        <v>24</v>
      </c>
      <c r="J207" s="35" t="n">
        <v>761</v>
      </c>
      <c r="K207" s="35" t="n">
        <v>0</v>
      </c>
      <c r="L207" s="40">
        <f>ROUND(PMT(H207/12,I207,-G207),0)</f>
        <v/>
      </c>
      <c r="M207" s="41">
        <f>MAX(0,(YEAR(AsOfDate)-YEAR(F207))*12+MONTH(AsOfDate)-MONTH(F207))</f>
        <v/>
      </c>
      <c r="N207" s="41">
        <f>MAX(0,MIN(I207,M207)-INT(K207/30))</f>
        <v/>
      </c>
      <c r="O207" s="40">
        <f>IF(N207&gt;=I207,0,ROUND(PV(H207/12,I207-N207,-L207),0))</f>
        <v/>
      </c>
      <c r="P207" s="40">
        <f>MIN(I207,M207)*L207-N207*L207</f>
        <v/>
      </c>
      <c r="Q207" s="41">
        <f>INDEX(DPD_Bucket,MATCH(K207,DPD_From,1))</f>
        <v/>
      </c>
      <c r="R207" s="41">
        <f>INDEX(DPD_Class,MATCH(K207,DPD_From,1))</f>
        <v/>
      </c>
      <c r="S207" s="41">
        <f>INDEX(DPD_NPA,MATCH(K207,DPD_From,1))</f>
        <v/>
      </c>
      <c r="T207" s="42">
        <f>INDEX(DPD_Prov,MATCH(K207,DPD_From,1))</f>
        <v/>
      </c>
      <c r="U207" s="40">
        <f>ROUND(O207*T207,0)</f>
        <v/>
      </c>
      <c r="V207" s="41">
        <f>INDEX(CIBIL_Grade,MATCH(J207,CIBIL_From,1))</f>
        <v/>
      </c>
      <c r="W207" s="41">
        <f>YEAR(F207)&amp;"-Q"&amp;ROUNDUP(MONTH(F207)/3,0)</f>
        <v/>
      </c>
      <c r="X207" s="41">
        <f>IF(AND(OR(Dashboard!$C$4="All",D207=Dashboard!$C$4),OR(Dashboard!$C$5="All",E207=Dashboard!$C$5)),1,0)</f>
        <v/>
      </c>
      <c r="Y207" s="43">
        <f>IF(AND(X207=1,S207="Yes"),O207+ROW()/1000000,0)</f>
        <v/>
      </c>
    </row>
    <row r="208">
      <c r="A208" s="35" t="inlineStr">
        <is>
          <t>LN100207</t>
        </is>
      </c>
      <c r="B208" s="35" t="inlineStr">
        <is>
          <t>Aditya Verma</t>
        </is>
      </c>
      <c r="C208" s="35" t="inlineStr">
        <is>
          <t>AMD-01</t>
        </is>
      </c>
      <c r="D208" s="36">
        <f>INDEX(Branches!$C$2:$C$15,MATCH(C208,Branches!$A$2:$A$15,0))</f>
        <v/>
      </c>
      <c r="E208" s="35" t="inlineStr">
        <is>
          <t>Auto Loan</t>
        </is>
      </c>
      <c r="F208" s="37" t="n">
        <v>45363</v>
      </c>
      <c r="G208" s="38" t="n">
        <v>951000</v>
      </c>
      <c r="H208" s="39" t="n">
        <v>0.091</v>
      </c>
      <c r="I208" s="35" t="n">
        <v>36</v>
      </c>
      <c r="J208" s="35" t="n">
        <v>734</v>
      </c>
      <c r="K208" s="35" t="n">
        <v>0</v>
      </c>
      <c r="L208" s="40">
        <f>ROUND(PMT(H208/12,I208,-G208),0)</f>
        <v/>
      </c>
      <c r="M208" s="41">
        <f>MAX(0,(YEAR(AsOfDate)-YEAR(F208))*12+MONTH(AsOfDate)-MONTH(F208))</f>
        <v/>
      </c>
      <c r="N208" s="41">
        <f>MAX(0,MIN(I208,M208)-INT(K208/30))</f>
        <v/>
      </c>
      <c r="O208" s="40">
        <f>IF(N208&gt;=I208,0,ROUND(PV(H208/12,I208-N208,-L208),0))</f>
        <v/>
      </c>
      <c r="P208" s="40">
        <f>MIN(I208,M208)*L208-N208*L208</f>
        <v/>
      </c>
      <c r="Q208" s="41">
        <f>INDEX(DPD_Bucket,MATCH(K208,DPD_From,1))</f>
        <v/>
      </c>
      <c r="R208" s="41">
        <f>INDEX(DPD_Class,MATCH(K208,DPD_From,1))</f>
        <v/>
      </c>
      <c r="S208" s="41">
        <f>INDEX(DPD_NPA,MATCH(K208,DPD_From,1))</f>
        <v/>
      </c>
      <c r="T208" s="42">
        <f>INDEX(DPD_Prov,MATCH(K208,DPD_From,1))</f>
        <v/>
      </c>
      <c r="U208" s="40">
        <f>ROUND(O208*T208,0)</f>
        <v/>
      </c>
      <c r="V208" s="41">
        <f>INDEX(CIBIL_Grade,MATCH(J208,CIBIL_From,1))</f>
        <v/>
      </c>
      <c r="W208" s="41">
        <f>YEAR(F208)&amp;"-Q"&amp;ROUNDUP(MONTH(F208)/3,0)</f>
        <v/>
      </c>
      <c r="X208" s="41">
        <f>IF(AND(OR(Dashboard!$C$4="All",D208=Dashboard!$C$4),OR(Dashboard!$C$5="All",E208=Dashboard!$C$5)),1,0)</f>
        <v/>
      </c>
      <c r="Y208" s="43">
        <f>IF(AND(X208=1,S208="Yes"),O208+ROW()/1000000,0)</f>
        <v/>
      </c>
    </row>
    <row r="209">
      <c r="A209" s="35" t="inlineStr">
        <is>
          <t>LN100208</t>
        </is>
      </c>
      <c r="B209" s="35" t="inlineStr">
        <is>
          <t>Gaurav Banerjee</t>
        </is>
      </c>
      <c r="C209" s="35" t="inlineStr">
        <is>
          <t>AMD-01</t>
        </is>
      </c>
      <c r="D209" s="36">
        <f>INDEX(Branches!$C$2:$C$15,MATCH(C209,Branches!$A$2:$A$15,0))</f>
        <v/>
      </c>
      <c r="E209" s="35" t="inlineStr">
        <is>
          <t>Gold Loan</t>
        </is>
      </c>
      <c r="F209" s="37" t="n">
        <v>45207</v>
      </c>
      <c r="G209" s="38" t="n">
        <v>86000</v>
      </c>
      <c r="H209" s="39" t="n">
        <v>0.1189</v>
      </c>
      <c r="I209" s="35" t="n">
        <v>6</v>
      </c>
      <c r="J209" s="35" t="n">
        <v>739</v>
      </c>
      <c r="K209" s="35" t="n">
        <v>0</v>
      </c>
      <c r="L209" s="40">
        <f>ROUND(PMT(H209/12,I209,-G209),0)</f>
        <v/>
      </c>
      <c r="M209" s="41">
        <f>MAX(0,(YEAR(AsOfDate)-YEAR(F209))*12+MONTH(AsOfDate)-MONTH(F209))</f>
        <v/>
      </c>
      <c r="N209" s="41">
        <f>MAX(0,MIN(I209,M209)-INT(K209/30))</f>
        <v/>
      </c>
      <c r="O209" s="40">
        <f>IF(N209&gt;=I209,0,ROUND(PV(H209/12,I209-N209,-L209),0))</f>
        <v/>
      </c>
      <c r="P209" s="40">
        <f>MIN(I209,M209)*L209-N209*L209</f>
        <v/>
      </c>
      <c r="Q209" s="41">
        <f>INDEX(DPD_Bucket,MATCH(K209,DPD_From,1))</f>
        <v/>
      </c>
      <c r="R209" s="41">
        <f>INDEX(DPD_Class,MATCH(K209,DPD_From,1))</f>
        <v/>
      </c>
      <c r="S209" s="41">
        <f>INDEX(DPD_NPA,MATCH(K209,DPD_From,1))</f>
        <v/>
      </c>
      <c r="T209" s="42">
        <f>INDEX(DPD_Prov,MATCH(K209,DPD_From,1))</f>
        <v/>
      </c>
      <c r="U209" s="40">
        <f>ROUND(O209*T209,0)</f>
        <v/>
      </c>
      <c r="V209" s="41">
        <f>INDEX(CIBIL_Grade,MATCH(J209,CIBIL_From,1))</f>
        <v/>
      </c>
      <c r="W209" s="41">
        <f>YEAR(F209)&amp;"-Q"&amp;ROUNDUP(MONTH(F209)/3,0)</f>
        <v/>
      </c>
      <c r="X209" s="41">
        <f>IF(AND(OR(Dashboard!$C$4="All",D209=Dashboard!$C$4),OR(Dashboard!$C$5="All",E209=Dashboard!$C$5)),1,0)</f>
        <v/>
      </c>
      <c r="Y209" s="43">
        <f>IF(AND(X209=1,S209="Yes"),O209+ROW()/1000000,0)</f>
        <v/>
      </c>
    </row>
    <row r="210">
      <c r="A210" s="35" t="inlineStr">
        <is>
          <t>LN100209</t>
        </is>
      </c>
      <c r="B210" s="35" t="inlineStr">
        <is>
          <t>Sai Mohanty</t>
        </is>
      </c>
      <c r="C210" s="35" t="inlineStr">
        <is>
          <t>GUW-01</t>
        </is>
      </c>
      <c r="D210" s="36">
        <f>INDEX(Branches!$C$2:$C$15,MATCH(C210,Branches!$A$2:$A$15,0))</f>
        <v/>
      </c>
      <c r="E210" s="35" t="inlineStr">
        <is>
          <t>Business Loan</t>
        </is>
      </c>
      <c r="F210" s="37" t="n">
        <v>45461</v>
      </c>
      <c r="G210" s="38" t="n">
        <v>516000</v>
      </c>
      <c r="H210" s="39" t="n">
        <v>0.1316</v>
      </c>
      <c r="I210" s="35" t="n">
        <v>24</v>
      </c>
      <c r="J210" s="35" t="n">
        <v>862</v>
      </c>
      <c r="K210" s="35" t="n">
        <v>0</v>
      </c>
      <c r="L210" s="40">
        <f>ROUND(PMT(H210/12,I210,-G210),0)</f>
        <v/>
      </c>
      <c r="M210" s="41">
        <f>MAX(0,(YEAR(AsOfDate)-YEAR(F210))*12+MONTH(AsOfDate)-MONTH(F210))</f>
        <v/>
      </c>
      <c r="N210" s="41">
        <f>MAX(0,MIN(I210,M210)-INT(K210/30))</f>
        <v/>
      </c>
      <c r="O210" s="40">
        <f>IF(N210&gt;=I210,0,ROUND(PV(H210/12,I210-N210,-L210),0))</f>
        <v/>
      </c>
      <c r="P210" s="40">
        <f>MIN(I210,M210)*L210-N210*L210</f>
        <v/>
      </c>
      <c r="Q210" s="41">
        <f>INDEX(DPD_Bucket,MATCH(K210,DPD_From,1))</f>
        <v/>
      </c>
      <c r="R210" s="41">
        <f>INDEX(DPD_Class,MATCH(K210,DPD_From,1))</f>
        <v/>
      </c>
      <c r="S210" s="41">
        <f>INDEX(DPD_NPA,MATCH(K210,DPD_From,1))</f>
        <v/>
      </c>
      <c r="T210" s="42">
        <f>INDEX(DPD_Prov,MATCH(K210,DPD_From,1))</f>
        <v/>
      </c>
      <c r="U210" s="40">
        <f>ROUND(O210*T210,0)</f>
        <v/>
      </c>
      <c r="V210" s="41">
        <f>INDEX(CIBIL_Grade,MATCH(J210,CIBIL_From,1))</f>
        <v/>
      </c>
      <c r="W210" s="41">
        <f>YEAR(F210)&amp;"-Q"&amp;ROUNDUP(MONTH(F210)/3,0)</f>
        <v/>
      </c>
      <c r="X210" s="41">
        <f>IF(AND(OR(Dashboard!$C$4="All",D210=Dashboard!$C$4),OR(Dashboard!$C$5="All",E210=Dashboard!$C$5)),1,0)</f>
        <v/>
      </c>
      <c r="Y210" s="43">
        <f>IF(AND(X210=1,S210="Yes"),O210+ROW()/1000000,0)</f>
        <v/>
      </c>
    </row>
    <row r="211">
      <c r="A211" s="35" t="inlineStr">
        <is>
          <t>LN100210</t>
        </is>
      </c>
      <c r="B211" s="35" t="inlineStr">
        <is>
          <t>Kabir Joshi</t>
        </is>
      </c>
      <c r="C211" s="35" t="inlineStr">
        <is>
          <t>PUN-01</t>
        </is>
      </c>
      <c r="D211" s="36">
        <f>INDEX(Branches!$C$2:$C$15,MATCH(C211,Branches!$A$2:$A$15,0))</f>
        <v/>
      </c>
      <c r="E211" s="35" t="inlineStr">
        <is>
          <t>Auto Loan</t>
        </is>
      </c>
      <c r="F211" s="37" t="n">
        <v>45397</v>
      </c>
      <c r="G211" s="38" t="n">
        <v>648000</v>
      </c>
      <c r="H211" s="39" t="n">
        <v>0.0948</v>
      </c>
      <c r="I211" s="35" t="n">
        <v>84</v>
      </c>
      <c r="J211" s="35" t="n">
        <v>852</v>
      </c>
      <c r="K211" s="35" t="n">
        <v>0</v>
      </c>
      <c r="L211" s="40">
        <f>ROUND(PMT(H211/12,I211,-G211),0)</f>
        <v/>
      </c>
      <c r="M211" s="41">
        <f>MAX(0,(YEAR(AsOfDate)-YEAR(F211))*12+MONTH(AsOfDate)-MONTH(F211))</f>
        <v/>
      </c>
      <c r="N211" s="41">
        <f>MAX(0,MIN(I211,M211)-INT(K211/30))</f>
        <v/>
      </c>
      <c r="O211" s="40">
        <f>IF(N211&gt;=I211,0,ROUND(PV(H211/12,I211-N211,-L211),0))</f>
        <v/>
      </c>
      <c r="P211" s="40">
        <f>MIN(I211,M211)*L211-N211*L211</f>
        <v/>
      </c>
      <c r="Q211" s="41">
        <f>INDEX(DPD_Bucket,MATCH(K211,DPD_From,1))</f>
        <v/>
      </c>
      <c r="R211" s="41">
        <f>INDEX(DPD_Class,MATCH(K211,DPD_From,1))</f>
        <v/>
      </c>
      <c r="S211" s="41">
        <f>INDEX(DPD_NPA,MATCH(K211,DPD_From,1))</f>
        <v/>
      </c>
      <c r="T211" s="42">
        <f>INDEX(DPD_Prov,MATCH(K211,DPD_From,1))</f>
        <v/>
      </c>
      <c r="U211" s="40">
        <f>ROUND(O211*T211,0)</f>
        <v/>
      </c>
      <c r="V211" s="41">
        <f>INDEX(CIBIL_Grade,MATCH(J211,CIBIL_From,1))</f>
        <v/>
      </c>
      <c r="W211" s="41">
        <f>YEAR(F211)&amp;"-Q"&amp;ROUNDUP(MONTH(F211)/3,0)</f>
        <v/>
      </c>
      <c r="X211" s="41">
        <f>IF(AND(OR(Dashboard!$C$4="All",D211=Dashboard!$C$4),OR(Dashboard!$C$5="All",E211=Dashboard!$C$5)),1,0)</f>
        <v/>
      </c>
      <c r="Y211" s="43">
        <f>IF(AND(X211=1,S211="Yes"),O211+ROW()/1000000,0)</f>
        <v/>
      </c>
    </row>
    <row r="212">
      <c r="A212" s="35" t="inlineStr">
        <is>
          <t>LN100211</t>
        </is>
      </c>
      <c r="B212" s="35" t="inlineStr">
        <is>
          <t>Swati Sharma</t>
        </is>
      </c>
      <c r="C212" s="35" t="inlineStr">
        <is>
          <t>KOC-01</t>
        </is>
      </c>
      <c r="D212" s="36">
        <f>INDEX(Branches!$C$2:$C$15,MATCH(C212,Branches!$A$2:$A$15,0))</f>
        <v/>
      </c>
      <c r="E212" s="35" t="inlineStr">
        <is>
          <t>Business Loan</t>
        </is>
      </c>
      <c r="F212" s="37" t="n">
        <v>46108</v>
      </c>
      <c r="G212" s="38" t="n">
        <v>1427000</v>
      </c>
      <c r="H212" s="39" t="n">
        <v>0.1371</v>
      </c>
      <c r="I212" s="35" t="n">
        <v>12</v>
      </c>
      <c r="J212" s="35" t="n">
        <v>755</v>
      </c>
      <c r="K212" s="35" t="n">
        <v>0</v>
      </c>
      <c r="L212" s="40">
        <f>ROUND(PMT(H212/12,I212,-G212),0)</f>
        <v/>
      </c>
      <c r="M212" s="41">
        <f>MAX(0,(YEAR(AsOfDate)-YEAR(F212))*12+MONTH(AsOfDate)-MONTH(F212))</f>
        <v/>
      </c>
      <c r="N212" s="41">
        <f>MAX(0,MIN(I212,M212)-INT(K212/30))</f>
        <v/>
      </c>
      <c r="O212" s="40">
        <f>IF(N212&gt;=I212,0,ROUND(PV(H212/12,I212-N212,-L212),0))</f>
        <v/>
      </c>
      <c r="P212" s="40">
        <f>MIN(I212,M212)*L212-N212*L212</f>
        <v/>
      </c>
      <c r="Q212" s="41">
        <f>INDEX(DPD_Bucket,MATCH(K212,DPD_From,1))</f>
        <v/>
      </c>
      <c r="R212" s="41">
        <f>INDEX(DPD_Class,MATCH(K212,DPD_From,1))</f>
        <v/>
      </c>
      <c r="S212" s="41">
        <f>INDEX(DPD_NPA,MATCH(K212,DPD_From,1))</f>
        <v/>
      </c>
      <c r="T212" s="42">
        <f>INDEX(DPD_Prov,MATCH(K212,DPD_From,1))</f>
        <v/>
      </c>
      <c r="U212" s="40">
        <f>ROUND(O212*T212,0)</f>
        <v/>
      </c>
      <c r="V212" s="41">
        <f>INDEX(CIBIL_Grade,MATCH(J212,CIBIL_From,1))</f>
        <v/>
      </c>
      <c r="W212" s="41">
        <f>YEAR(F212)&amp;"-Q"&amp;ROUNDUP(MONTH(F212)/3,0)</f>
        <v/>
      </c>
      <c r="X212" s="41">
        <f>IF(AND(OR(Dashboard!$C$4="All",D212=Dashboard!$C$4),OR(Dashboard!$C$5="All",E212=Dashboard!$C$5)),1,0)</f>
        <v/>
      </c>
      <c r="Y212" s="43">
        <f>IF(AND(X212=1,S212="Yes"),O212+ROW()/1000000,0)</f>
        <v/>
      </c>
    </row>
    <row r="213">
      <c r="A213" s="35" t="inlineStr">
        <is>
          <t>LN100212</t>
        </is>
      </c>
      <c r="B213" s="35" t="inlineStr">
        <is>
          <t>Vivaan Banerjee</t>
        </is>
      </c>
      <c r="C213" s="35" t="inlineStr">
        <is>
          <t>DEL-01</t>
        </is>
      </c>
      <c r="D213" s="36">
        <f>INDEX(Branches!$C$2:$C$15,MATCH(C213,Branches!$A$2:$A$15,0))</f>
        <v/>
      </c>
      <c r="E213" s="35" t="inlineStr">
        <is>
          <t>Home Loan</t>
        </is>
      </c>
      <c r="F213" s="37" t="n">
        <v>46074</v>
      </c>
      <c r="G213" s="38" t="n">
        <v>5046000</v>
      </c>
      <c r="H213" s="39" t="n">
        <v>0.08699999999999999</v>
      </c>
      <c r="I213" s="35" t="n">
        <v>240</v>
      </c>
      <c r="J213" s="35" t="n">
        <v>681</v>
      </c>
      <c r="K213" s="35" t="n">
        <v>0</v>
      </c>
      <c r="L213" s="40">
        <f>ROUND(PMT(H213/12,I213,-G213),0)</f>
        <v/>
      </c>
      <c r="M213" s="41">
        <f>MAX(0,(YEAR(AsOfDate)-YEAR(F213))*12+MONTH(AsOfDate)-MONTH(F213))</f>
        <v/>
      </c>
      <c r="N213" s="41">
        <f>MAX(0,MIN(I213,M213)-INT(K213/30))</f>
        <v/>
      </c>
      <c r="O213" s="40">
        <f>IF(N213&gt;=I213,0,ROUND(PV(H213/12,I213-N213,-L213),0))</f>
        <v/>
      </c>
      <c r="P213" s="40">
        <f>MIN(I213,M213)*L213-N213*L213</f>
        <v/>
      </c>
      <c r="Q213" s="41">
        <f>INDEX(DPD_Bucket,MATCH(K213,DPD_From,1))</f>
        <v/>
      </c>
      <c r="R213" s="41">
        <f>INDEX(DPD_Class,MATCH(K213,DPD_From,1))</f>
        <v/>
      </c>
      <c r="S213" s="41">
        <f>INDEX(DPD_NPA,MATCH(K213,DPD_From,1))</f>
        <v/>
      </c>
      <c r="T213" s="42">
        <f>INDEX(DPD_Prov,MATCH(K213,DPD_From,1))</f>
        <v/>
      </c>
      <c r="U213" s="40">
        <f>ROUND(O213*T213,0)</f>
        <v/>
      </c>
      <c r="V213" s="41">
        <f>INDEX(CIBIL_Grade,MATCH(J213,CIBIL_From,1))</f>
        <v/>
      </c>
      <c r="W213" s="41">
        <f>YEAR(F213)&amp;"-Q"&amp;ROUNDUP(MONTH(F213)/3,0)</f>
        <v/>
      </c>
      <c r="X213" s="41">
        <f>IF(AND(OR(Dashboard!$C$4="All",D213=Dashboard!$C$4),OR(Dashboard!$C$5="All",E213=Dashboard!$C$5)),1,0)</f>
        <v/>
      </c>
      <c r="Y213" s="43">
        <f>IF(AND(X213=1,S213="Yes"),O213+ROW()/1000000,0)</f>
        <v/>
      </c>
    </row>
    <row r="214">
      <c r="A214" s="35" t="inlineStr">
        <is>
          <t>LN100213</t>
        </is>
      </c>
      <c r="B214" s="35" t="inlineStr">
        <is>
          <t>Zoya Mishra</t>
        </is>
      </c>
      <c r="C214" s="35" t="inlineStr">
        <is>
          <t>PUN-01</t>
        </is>
      </c>
      <c r="D214" s="36">
        <f>INDEX(Branches!$C$2:$C$15,MATCH(C214,Branches!$A$2:$A$15,0))</f>
        <v/>
      </c>
      <c r="E214" s="35" t="inlineStr">
        <is>
          <t>Business Loan</t>
        </is>
      </c>
      <c r="F214" s="37" t="n">
        <v>45887</v>
      </c>
      <c r="G214" s="38" t="n">
        <v>3099000</v>
      </c>
      <c r="H214" s="39" t="n">
        <v>0.1841</v>
      </c>
      <c r="I214" s="35" t="n">
        <v>12</v>
      </c>
      <c r="J214" s="35" t="n">
        <v>689</v>
      </c>
      <c r="K214" s="35" t="n">
        <v>0</v>
      </c>
      <c r="L214" s="40">
        <f>ROUND(PMT(H214/12,I214,-G214),0)</f>
        <v/>
      </c>
      <c r="M214" s="41">
        <f>MAX(0,(YEAR(AsOfDate)-YEAR(F214))*12+MONTH(AsOfDate)-MONTH(F214))</f>
        <v/>
      </c>
      <c r="N214" s="41">
        <f>MAX(0,MIN(I214,M214)-INT(K214/30))</f>
        <v/>
      </c>
      <c r="O214" s="40">
        <f>IF(N214&gt;=I214,0,ROUND(PV(H214/12,I214-N214,-L214),0))</f>
        <v/>
      </c>
      <c r="P214" s="40">
        <f>MIN(I214,M214)*L214-N214*L214</f>
        <v/>
      </c>
      <c r="Q214" s="41">
        <f>INDEX(DPD_Bucket,MATCH(K214,DPD_From,1))</f>
        <v/>
      </c>
      <c r="R214" s="41">
        <f>INDEX(DPD_Class,MATCH(K214,DPD_From,1))</f>
        <v/>
      </c>
      <c r="S214" s="41">
        <f>INDEX(DPD_NPA,MATCH(K214,DPD_From,1))</f>
        <v/>
      </c>
      <c r="T214" s="42">
        <f>INDEX(DPD_Prov,MATCH(K214,DPD_From,1))</f>
        <v/>
      </c>
      <c r="U214" s="40">
        <f>ROUND(O214*T214,0)</f>
        <v/>
      </c>
      <c r="V214" s="41">
        <f>INDEX(CIBIL_Grade,MATCH(J214,CIBIL_From,1))</f>
        <v/>
      </c>
      <c r="W214" s="41">
        <f>YEAR(F214)&amp;"-Q"&amp;ROUNDUP(MONTH(F214)/3,0)</f>
        <v/>
      </c>
      <c r="X214" s="41">
        <f>IF(AND(OR(Dashboard!$C$4="All",D214=Dashboard!$C$4),OR(Dashboard!$C$5="All",E214=Dashboard!$C$5)),1,0)</f>
        <v/>
      </c>
      <c r="Y214" s="43">
        <f>IF(AND(X214=1,S214="Yes"),O214+ROW()/1000000,0)</f>
        <v/>
      </c>
    </row>
    <row r="215">
      <c r="A215" s="35" t="inlineStr">
        <is>
          <t>LN100214</t>
        </is>
      </c>
      <c r="B215" s="35" t="inlineStr">
        <is>
          <t>Deepa Chatterjee</t>
        </is>
      </c>
      <c r="C215" s="35" t="inlineStr">
        <is>
          <t>KOC-01</t>
        </is>
      </c>
      <c r="D215" s="36">
        <f>INDEX(Branches!$C$2:$C$15,MATCH(C215,Branches!$A$2:$A$15,0))</f>
        <v/>
      </c>
      <c r="E215" s="35" t="inlineStr">
        <is>
          <t>Business Loan</t>
        </is>
      </c>
      <c r="F215" s="37" t="n">
        <v>45555</v>
      </c>
      <c r="G215" s="38" t="n">
        <v>2361000</v>
      </c>
      <c r="H215" s="39" t="n">
        <v>0.1493</v>
      </c>
      <c r="I215" s="35" t="n">
        <v>24</v>
      </c>
      <c r="J215" s="35" t="n">
        <v>733</v>
      </c>
      <c r="K215" s="35" t="n">
        <v>0</v>
      </c>
      <c r="L215" s="40">
        <f>ROUND(PMT(H215/12,I215,-G215),0)</f>
        <v/>
      </c>
      <c r="M215" s="41">
        <f>MAX(0,(YEAR(AsOfDate)-YEAR(F215))*12+MONTH(AsOfDate)-MONTH(F215))</f>
        <v/>
      </c>
      <c r="N215" s="41">
        <f>MAX(0,MIN(I215,M215)-INT(K215/30))</f>
        <v/>
      </c>
      <c r="O215" s="40">
        <f>IF(N215&gt;=I215,0,ROUND(PV(H215/12,I215-N215,-L215),0))</f>
        <v/>
      </c>
      <c r="P215" s="40">
        <f>MIN(I215,M215)*L215-N215*L215</f>
        <v/>
      </c>
      <c r="Q215" s="41">
        <f>INDEX(DPD_Bucket,MATCH(K215,DPD_From,1))</f>
        <v/>
      </c>
      <c r="R215" s="41">
        <f>INDEX(DPD_Class,MATCH(K215,DPD_From,1))</f>
        <v/>
      </c>
      <c r="S215" s="41">
        <f>INDEX(DPD_NPA,MATCH(K215,DPD_From,1))</f>
        <v/>
      </c>
      <c r="T215" s="42">
        <f>INDEX(DPD_Prov,MATCH(K215,DPD_From,1))</f>
        <v/>
      </c>
      <c r="U215" s="40">
        <f>ROUND(O215*T215,0)</f>
        <v/>
      </c>
      <c r="V215" s="41">
        <f>INDEX(CIBIL_Grade,MATCH(J215,CIBIL_From,1))</f>
        <v/>
      </c>
      <c r="W215" s="41">
        <f>YEAR(F215)&amp;"-Q"&amp;ROUNDUP(MONTH(F215)/3,0)</f>
        <v/>
      </c>
      <c r="X215" s="41">
        <f>IF(AND(OR(Dashboard!$C$4="All",D215=Dashboard!$C$4),OR(Dashboard!$C$5="All",E215=Dashboard!$C$5)),1,0)</f>
        <v/>
      </c>
      <c r="Y215" s="43">
        <f>IF(AND(X215=1,S215="Yes"),O215+ROW()/1000000,0)</f>
        <v/>
      </c>
    </row>
    <row r="216">
      <c r="A216" s="35" t="inlineStr">
        <is>
          <t>LN100215</t>
        </is>
      </c>
      <c r="B216" s="35" t="inlineStr">
        <is>
          <t>Sneha Banerjee</t>
        </is>
      </c>
      <c r="C216" s="35" t="inlineStr">
        <is>
          <t>PAT-01</t>
        </is>
      </c>
      <c r="D216" s="36">
        <f>INDEX(Branches!$C$2:$C$15,MATCH(C216,Branches!$A$2:$A$15,0))</f>
        <v/>
      </c>
      <c r="E216" s="35" t="inlineStr">
        <is>
          <t>Personal Loan</t>
        </is>
      </c>
      <c r="F216" s="37" t="n">
        <v>45815</v>
      </c>
      <c r="G216" s="38" t="n">
        <v>834000</v>
      </c>
      <c r="H216" s="39" t="n">
        <v>0.1572</v>
      </c>
      <c r="I216" s="35" t="n">
        <v>60</v>
      </c>
      <c r="J216" s="35" t="n">
        <v>694</v>
      </c>
      <c r="K216" s="35" t="n">
        <v>0</v>
      </c>
      <c r="L216" s="40">
        <f>ROUND(PMT(H216/12,I216,-G216),0)</f>
        <v/>
      </c>
      <c r="M216" s="41">
        <f>MAX(0,(YEAR(AsOfDate)-YEAR(F216))*12+MONTH(AsOfDate)-MONTH(F216))</f>
        <v/>
      </c>
      <c r="N216" s="41">
        <f>MAX(0,MIN(I216,M216)-INT(K216/30))</f>
        <v/>
      </c>
      <c r="O216" s="40">
        <f>IF(N216&gt;=I216,0,ROUND(PV(H216/12,I216-N216,-L216),0))</f>
        <v/>
      </c>
      <c r="P216" s="40">
        <f>MIN(I216,M216)*L216-N216*L216</f>
        <v/>
      </c>
      <c r="Q216" s="41">
        <f>INDEX(DPD_Bucket,MATCH(K216,DPD_From,1))</f>
        <v/>
      </c>
      <c r="R216" s="41">
        <f>INDEX(DPD_Class,MATCH(K216,DPD_From,1))</f>
        <v/>
      </c>
      <c r="S216" s="41">
        <f>INDEX(DPD_NPA,MATCH(K216,DPD_From,1))</f>
        <v/>
      </c>
      <c r="T216" s="42">
        <f>INDEX(DPD_Prov,MATCH(K216,DPD_From,1))</f>
        <v/>
      </c>
      <c r="U216" s="40">
        <f>ROUND(O216*T216,0)</f>
        <v/>
      </c>
      <c r="V216" s="41">
        <f>INDEX(CIBIL_Grade,MATCH(J216,CIBIL_From,1))</f>
        <v/>
      </c>
      <c r="W216" s="41">
        <f>YEAR(F216)&amp;"-Q"&amp;ROUNDUP(MONTH(F216)/3,0)</f>
        <v/>
      </c>
      <c r="X216" s="41">
        <f>IF(AND(OR(Dashboard!$C$4="All",D216=Dashboard!$C$4),OR(Dashboard!$C$5="All",E216=Dashboard!$C$5)),1,0)</f>
        <v/>
      </c>
      <c r="Y216" s="43">
        <f>IF(AND(X216=1,S216="Yes"),O216+ROW()/1000000,0)</f>
        <v/>
      </c>
    </row>
    <row r="217">
      <c r="A217" s="35" t="inlineStr">
        <is>
          <t>LN100216</t>
        </is>
      </c>
      <c r="B217" s="35" t="inlineStr">
        <is>
          <t>Rohan Pillai</t>
        </is>
      </c>
      <c r="C217" s="35" t="inlineStr">
        <is>
          <t>KOC-01</t>
        </is>
      </c>
      <c r="D217" s="36">
        <f>INDEX(Branches!$C$2:$C$15,MATCH(C217,Branches!$A$2:$A$15,0))</f>
        <v/>
      </c>
      <c r="E217" s="35" t="inlineStr">
        <is>
          <t>Auto Loan</t>
        </is>
      </c>
      <c r="F217" s="37" t="n">
        <v>45403</v>
      </c>
      <c r="G217" s="38" t="n">
        <v>1759000</v>
      </c>
      <c r="H217" s="39" t="n">
        <v>0.0983</v>
      </c>
      <c r="I217" s="35" t="n">
        <v>60</v>
      </c>
      <c r="J217" s="35" t="n">
        <v>693</v>
      </c>
      <c r="K217" s="35" t="n">
        <v>0</v>
      </c>
      <c r="L217" s="40">
        <f>ROUND(PMT(H217/12,I217,-G217),0)</f>
        <v/>
      </c>
      <c r="M217" s="41">
        <f>MAX(0,(YEAR(AsOfDate)-YEAR(F217))*12+MONTH(AsOfDate)-MONTH(F217))</f>
        <v/>
      </c>
      <c r="N217" s="41">
        <f>MAX(0,MIN(I217,M217)-INT(K217/30))</f>
        <v/>
      </c>
      <c r="O217" s="40">
        <f>IF(N217&gt;=I217,0,ROUND(PV(H217/12,I217-N217,-L217),0))</f>
        <v/>
      </c>
      <c r="P217" s="40">
        <f>MIN(I217,M217)*L217-N217*L217</f>
        <v/>
      </c>
      <c r="Q217" s="41">
        <f>INDEX(DPD_Bucket,MATCH(K217,DPD_From,1))</f>
        <v/>
      </c>
      <c r="R217" s="41">
        <f>INDEX(DPD_Class,MATCH(K217,DPD_From,1))</f>
        <v/>
      </c>
      <c r="S217" s="41">
        <f>INDEX(DPD_NPA,MATCH(K217,DPD_From,1))</f>
        <v/>
      </c>
      <c r="T217" s="42">
        <f>INDEX(DPD_Prov,MATCH(K217,DPD_From,1))</f>
        <v/>
      </c>
      <c r="U217" s="40">
        <f>ROUND(O217*T217,0)</f>
        <v/>
      </c>
      <c r="V217" s="41">
        <f>INDEX(CIBIL_Grade,MATCH(J217,CIBIL_From,1))</f>
        <v/>
      </c>
      <c r="W217" s="41">
        <f>YEAR(F217)&amp;"-Q"&amp;ROUNDUP(MONTH(F217)/3,0)</f>
        <v/>
      </c>
      <c r="X217" s="41">
        <f>IF(AND(OR(Dashboard!$C$4="All",D217=Dashboard!$C$4),OR(Dashboard!$C$5="All",E217=Dashboard!$C$5)),1,0)</f>
        <v/>
      </c>
      <c r="Y217" s="43">
        <f>IF(AND(X217=1,S217="Yes"),O217+ROW()/1000000,0)</f>
        <v/>
      </c>
    </row>
    <row r="218">
      <c r="A218" s="35" t="inlineStr">
        <is>
          <t>LN100217</t>
        </is>
      </c>
      <c r="B218" s="35" t="inlineStr">
        <is>
          <t>Sai Banerjee</t>
        </is>
      </c>
      <c r="C218" s="35" t="inlineStr">
        <is>
          <t>KOC-01</t>
        </is>
      </c>
      <c r="D218" s="36">
        <f>INDEX(Branches!$C$2:$C$15,MATCH(C218,Branches!$A$2:$A$15,0))</f>
        <v/>
      </c>
      <c r="E218" s="35" t="inlineStr">
        <is>
          <t>Business Loan</t>
        </is>
      </c>
      <c r="F218" s="37" t="n">
        <v>46055</v>
      </c>
      <c r="G218" s="38" t="n">
        <v>1647000</v>
      </c>
      <c r="H218" s="39" t="n">
        <v>0.1531</v>
      </c>
      <c r="I218" s="35" t="n">
        <v>60</v>
      </c>
      <c r="J218" s="35" t="n">
        <v>601</v>
      </c>
      <c r="K218" s="35" t="n">
        <v>0</v>
      </c>
      <c r="L218" s="40">
        <f>ROUND(PMT(H218/12,I218,-G218),0)</f>
        <v/>
      </c>
      <c r="M218" s="41">
        <f>MAX(0,(YEAR(AsOfDate)-YEAR(F218))*12+MONTH(AsOfDate)-MONTH(F218))</f>
        <v/>
      </c>
      <c r="N218" s="41">
        <f>MAX(0,MIN(I218,M218)-INT(K218/30))</f>
        <v/>
      </c>
      <c r="O218" s="40">
        <f>IF(N218&gt;=I218,0,ROUND(PV(H218/12,I218-N218,-L218),0))</f>
        <v/>
      </c>
      <c r="P218" s="40">
        <f>MIN(I218,M218)*L218-N218*L218</f>
        <v/>
      </c>
      <c r="Q218" s="41">
        <f>INDEX(DPD_Bucket,MATCH(K218,DPD_From,1))</f>
        <v/>
      </c>
      <c r="R218" s="41">
        <f>INDEX(DPD_Class,MATCH(K218,DPD_From,1))</f>
        <v/>
      </c>
      <c r="S218" s="41">
        <f>INDEX(DPD_NPA,MATCH(K218,DPD_From,1))</f>
        <v/>
      </c>
      <c r="T218" s="42">
        <f>INDEX(DPD_Prov,MATCH(K218,DPD_From,1))</f>
        <v/>
      </c>
      <c r="U218" s="40">
        <f>ROUND(O218*T218,0)</f>
        <v/>
      </c>
      <c r="V218" s="41">
        <f>INDEX(CIBIL_Grade,MATCH(J218,CIBIL_From,1))</f>
        <v/>
      </c>
      <c r="W218" s="41">
        <f>YEAR(F218)&amp;"-Q"&amp;ROUNDUP(MONTH(F218)/3,0)</f>
        <v/>
      </c>
      <c r="X218" s="41">
        <f>IF(AND(OR(Dashboard!$C$4="All",D218=Dashboard!$C$4),OR(Dashboard!$C$5="All",E218=Dashboard!$C$5)),1,0)</f>
        <v/>
      </c>
      <c r="Y218" s="43">
        <f>IF(AND(X218=1,S218="Yes"),O218+ROW()/1000000,0)</f>
        <v/>
      </c>
    </row>
    <row r="219">
      <c r="A219" s="35" t="inlineStr">
        <is>
          <t>LN100218</t>
        </is>
      </c>
      <c r="B219" s="35" t="inlineStr">
        <is>
          <t>Zoya Das</t>
        </is>
      </c>
      <c r="C219" s="35" t="inlineStr">
        <is>
          <t>BLR-01</t>
        </is>
      </c>
      <c r="D219" s="36">
        <f>INDEX(Branches!$C$2:$C$15,MATCH(C219,Branches!$A$2:$A$15,0))</f>
        <v/>
      </c>
      <c r="E219" s="35" t="inlineStr">
        <is>
          <t>Home Loan</t>
        </is>
      </c>
      <c r="F219" s="37" t="n">
        <v>45414</v>
      </c>
      <c r="G219" s="38" t="n">
        <v>5490000</v>
      </c>
      <c r="H219" s="39" t="n">
        <v>0.0934</v>
      </c>
      <c r="I219" s="35" t="n">
        <v>180</v>
      </c>
      <c r="J219" s="35" t="n">
        <v>679</v>
      </c>
      <c r="K219" s="35" t="n">
        <v>0</v>
      </c>
      <c r="L219" s="40">
        <f>ROUND(PMT(H219/12,I219,-G219),0)</f>
        <v/>
      </c>
      <c r="M219" s="41">
        <f>MAX(0,(YEAR(AsOfDate)-YEAR(F219))*12+MONTH(AsOfDate)-MONTH(F219))</f>
        <v/>
      </c>
      <c r="N219" s="41">
        <f>MAX(0,MIN(I219,M219)-INT(K219/30))</f>
        <v/>
      </c>
      <c r="O219" s="40">
        <f>IF(N219&gt;=I219,0,ROUND(PV(H219/12,I219-N219,-L219),0))</f>
        <v/>
      </c>
      <c r="P219" s="40">
        <f>MIN(I219,M219)*L219-N219*L219</f>
        <v/>
      </c>
      <c r="Q219" s="41">
        <f>INDEX(DPD_Bucket,MATCH(K219,DPD_From,1))</f>
        <v/>
      </c>
      <c r="R219" s="41">
        <f>INDEX(DPD_Class,MATCH(K219,DPD_From,1))</f>
        <v/>
      </c>
      <c r="S219" s="41">
        <f>INDEX(DPD_NPA,MATCH(K219,DPD_From,1))</f>
        <v/>
      </c>
      <c r="T219" s="42">
        <f>INDEX(DPD_Prov,MATCH(K219,DPD_From,1))</f>
        <v/>
      </c>
      <c r="U219" s="40">
        <f>ROUND(O219*T219,0)</f>
        <v/>
      </c>
      <c r="V219" s="41">
        <f>INDEX(CIBIL_Grade,MATCH(J219,CIBIL_From,1))</f>
        <v/>
      </c>
      <c r="W219" s="41">
        <f>YEAR(F219)&amp;"-Q"&amp;ROUNDUP(MONTH(F219)/3,0)</f>
        <v/>
      </c>
      <c r="X219" s="41">
        <f>IF(AND(OR(Dashboard!$C$4="All",D219=Dashboard!$C$4),OR(Dashboard!$C$5="All",E219=Dashboard!$C$5)),1,0)</f>
        <v/>
      </c>
      <c r="Y219" s="43">
        <f>IF(AND(X219=1,S219="Yes"),O219+ROW()/1000000,0)</f>
        <v/>
      </c>
    </row>
    <row r="220">
      <c r="A220" s="35" t="inlineStr">
        <is>
          <t>LN100219</t>
        </is>
      </c>
      <c r="B220" s="35" t="inlineStr">
        <is>
          <t>Ishaan Pillai</t>
        </is>
      </c>
      <c r="C220" s="35" t="inlineStr">
        <is>
          <t>KOC-01</t>
        </is>
      </c>
      <c r="D220" s="36">
        <f>INDEX(Branches!$C$2:$C$15,MATCH(C220,Branches!$A$2:$A$15,0))</f>
        <v/>
      </c>
      <c r="E220" s="35" t="inlineStr">
        <is>
          <t>Personal Loan</t>
        </is>
      </c>
      <c r="F220" s="37" t="n">
        <v>45788</v>
      </c>
      <c r="G220" s="38" t="n">
        <v>1317000</v>
      </c>
      <c r="H220" s="39" t="n">
        <v>0.13</v>
      </c>
      <c r="I220" s="35" t="n">
        <v>12</v>
      </c>
      <c r="J220" s="35" t="n">
        <v>759</v>
      </c>
      <c r="K220" s="35" t="n">
        <v>0</v>
      </c>
      <c r="L220" s="40">
        <f>ROUND(PMT(H220/12,I220,-G220),0)</f>
        <v/>
      </c>
      <c r="M220" s="41">
        <f>MAX(0,(YEAR(AsOfDate)-YEAR(F220))*12+MONTH(AsOfDate)-MONTH(F220))</f>
        <v/>
      </c>
      <c r="N220" s="41">
        <f>MAX(0,MIN(I220,M220)-INT(K220/30))</f>
        <v/>
      </c>
      <c r="O220" s="40">
        <f>IF(N220&gt;=I220,0,ROUND(PV(H220/12,I220-N220,-L220),0))</f>
        <v/>
      </c>
      <c r="P220" s="40">
        <f>MIN(I220,M220)*L220-N220*L220</f>
        <v/>
      </c>
      <c r="Q220" s="41">
        <f>INDEX(DPD_Bucket,MATCH(K220,DPD_From,1))</f>
        <v/>
      </c>
      <c r="R220" s="41">
        <f>INDEX(DPD_Class,MATCH(K220,DPD_From,1))</f>
        <v/>
      </c>
      <c r="S220" s="41">
        <f>INDEX(DPD_NPA,MATCH(K220,DPD_From,1))</f>
        <v/>
      </c>
      <c r="T220" s="42">
        <f>INDEX(DPD_Prov,MATCH(K220,DPD_From,1))</f>
        <v/>
      </c>
      <c r="U220" s="40">
        <f>ROUND(O220*T220,0)</f>
        <v/>
      </c>
      <c r="V220" s="41">
        <f>INDEX(CIBIL_Grade,MATCH(J220,CIBIL_From,1))</f>
        <v/>
      </c>
      <c r="W220" s="41">
        <f>YEAR(F220)&amp;"-Q"&amp;ROUNDUP(MONTH(F220)/3,0)</f>
        <v/>
      </c>
      <c r="X220" s="41">
        <f>IF(AND(OR(Dashboard!$C$4="All",D220=Dashboard!$C$4),OR(Dashboard!$C$5="All",E220=Dashboard!$C$5)),1,0)</f>
        <v/>
      </c>
      <c r="Y220" s="43">
        <f>IF(AND(X220=1,S220="Yes"),O220+ROW()/1000000,0)</f>
        <v/>
      </c>
    </row>
    <row r="221">
      <c r="A221" s="35" t="inlineStr">
        <is>
          <t>LN100220</t>
        </is>
      </c>
      <c r="B221" s="35" t="inlineStr">
        <is>
          <t>Zoya Nair</t>
        </is>
      </c>
      <c r="C221" s="35" t="inlineStr">
        <is>
          <t>BBS-01</t>
        </is>
      </c>
      <c r="D221" s="36">
        <f>INDEX(Branches!$C$2:$C$15,MATCH(C221,Branches!$A$2:$A$15,0))</f>
        <v/>
      </c>
      <c r="E221" s="35" t="inlineStr">
        <is>
          <t>Gold Loan</t>
        </is>
      </c>
      <c r="F221" s="37" t="n">
        <v>45740</v>
      </c>
      <c r="G221" s="38" t="n">
        <v>500000</v>
      </c>
      <c r="H221" s="39" t="n">
        <v>0.1044</v>
      </c>
      <c r="I221" s="35" t="n">
        <v>6</v>
      </c>
      <c r="J221" s="35" t="n">
        <v>666</v>
      </c>
      <c r="K221" s="35" t="n">
        <v>0</v>
      </c>
      <c r="L221" s="40">
        <f>ROUND(PMT(H221/12,I221,-G221),0)</f>
        <v/>
      </c>
      <c r="M221" s="41">
        <f>MAX(0,(YEAR(AsOfDate)-YEAR(F221))*12+MONTH(AsOfDate)-MONTH(F221))</f>
        <v/>
      </c>
      <c r="N221" s="41">
        <f>MAX(0,MIN(I221,M221)-INT(K221/30))</f>
        <v/>
      </c>
      <c r="O221" s="40">
        <f>IF(N221&gt;=I221,0,ROUND(PV(H221/12,I221-N221,-L221),0))</f>
        <v/>
      </c>
      <c r="P221" s="40">
        <f>MIN(I221,M221)*L221-N221*L221</f>
        <v/>
      </c>
      <c r="Q221" s="41">
        <f>INDEX(DPD_Bucket,MATCH(K221,DPD_From,1))</f>
        <v/>
      </c>
      <c r="R221" s="41">
        <f>INDEX(DPD_Class,MATCH(K221,DPD_From,1))</f>
        <v/>
      </c>
      <c r="S221" s="41">
        <f>INDEX(DPD_NPA,MATCH(K221,DPD_From,1))</f>
        <v/>
      </c>
      <c r="T221" s="42">
        <f>INDEX(DPD_Prov,MATCH(K221,DPD_From,1))</f>
        <v/>
      </c>
      <c r="U221" s="40">
        <f>ROUND(O221*T221,0)</f>
        <v/>
      </c>
      <c r="V221" s="41">
        <f>INDEX(CIBIL_Grade,MATCH(J221,CIBIL_From,1))</f>
        <v/>
      </c>
      <c r="W221" s="41">
        <f>YEAR(F221)&amp;"-Q"&amp;ROUNDUP(MONTH(F221)/3,0)</f>
        <v/>
      </c>
      <c r="X221" s="41">
        <f>IF(AND(OR(Dashboard!$C$4="All",D221=Dashboard!$C$4),OR(Dashboard!$C$5="All",E221=Dashboard!$C$5)),1,0)</f>
        <v/>
      </c>
      <c r="Y221" s="43">
        <f>IF(AND(X221=1,S221="Yes"),O221+ROW()/1000000,0)</f>
        <v/>
      </c>
    </row>
    <row r="222">
      <c r="A222" s="35" t="inlineStr">
        <is>
          <t>LN100221</t>
        </is>
      </c>
      <c r="B222" s="35" t="inlineStr">
        <is>
          <t>Kavya Joshi</t>
        </is>
      </c>
      <c r="C222" s="35" t="inlineStr">
        <is>
          <t>LKO-01</t>
        </is>
      </c>
      <c r="D222" s="36">
        <f>INDEX(Branches!$C$2:$C$15,MATCH(C222,Branches!$A$2:$A$15,0))</f>
        <v/>
      </c>
      <c r="E222" s="35" t="inlineStr">
        <is>
          <t>Auto Loan</t>
        </is>
      </c>
      <c r="F222" s="37" t="n">
        <v>45361</v>
      </c>
      <c r="G222" s="38" t="n">
        <v>1438000</v>
      </c>
      <c r="H222" s="39" t="n">
        <v>0.09859999999999999</v>
      </c>
      <c r="I222" s="35" t="n">
        <v>48</v>
      </c>
      <c r="J222" s="35" t="n">
        <v>795</v>
      </c>
      <c r="K222" s="35" t="n">
        <v>0</v>
      </c>
      <c r="L222" s="40">
        <f>ROUND(PMT(H222/12,I222,-G222),0)</f>
        <v/>
      </c>
      <c r="M222" s="41">
        <f>MAX(0,(YEAR(AsOfDate)-YEAR(F222))*12+MONTH(AsOfDate)-MONTH(F222))</f>
        <v/>
      </c>
      <c r="N222" s="41">
        <f>MAX(0,MIN(I222,M222)-INT(K222/30))</f>
        <v/>
      </c>
      <c r="O222" s="40">
        <f>IF(N222&gt;=I222,0,ROUND(PV(H222/12,I222-N222,-L222),0))</f>
        <v/>
      </c>
      <c r="P222" s="40">
        <f>MIN(I222,M222)*L222-N222*L222</f>
        <v/>
      </c>
      <c r="Q222" s="41">
        <f>INDEX(DPD_Bucket,MATCH(K222,DPD_From,1))</f>
        <v/>
      </c>
      <c r="R222" s="41">
        <f>INDEX(DPD_Class,MATCH(K222,DPD_From,1))</f>
        <v/>
      </c>
      <c r="S222" s="41">
        <f>INDEX(DPD_NPA,MATCH(K222,DPD_From,1))</f>
        <v/>
      </c>
      <c r="T222" s="42">
        <f>INDEX(DPD_Prov,MATCH(K222,DPD_From,1))</f>
        <v/>
      </c>
      <c r="U222" s="40">
        <f>ROUND(O222*T222,0)</f>
        <v/>
      </c>
      <c r="V222" s="41">
        <f>INDEX(CIBIL_Grade,MATCH(J222,CIBIL_From,1))</f>
        <v/>
      </c>
      <c r="W222" s="41">
        <f>YEAR(F222)&amp;"-Q"&amp;ROUNDUP(MONTH(F222)/3,0)</f>
        <v/>
      </c>
      <c r="X222" s="41">
        <f>IF(AND(OR(Dashboard!$C$4="All",D222=Dashboard!$C$4),OR(Dashboard!$C$5="All",E222=Dashboard!$C$5)),1,0)</f>
        <v/>
      </c>
      <c r="Y222" s="43">
        <f>IF(AND(X222=1,S222="Yes"),O222+ROW()/1000000,0)</f>
        <v/>
      </c>
    </row>
    <row r="223">
      <c r="A223" s="35" t="inlineStr">
        <is>
          <t>LN100222</t>
        </is>
      </c>
      <c r="B223" s="35" t="inlineStr">
        <is>
          <t>Zoya Pillai</t>
        </is>
      </c>
      <c r="C223" s="35" t="inlineStr">
        <is>
          <t>PAT-01</t>
        </is>
      </c>
      <c r="D223" s="36">
        <f>INDEX(Branches!$C$2:$C$15,MATCH(C223,Branches!$A$2:$A$15,0))</f>
        <v/>
      </c>
      <c r="E223" s="35" t="inlineStr">
        <is>
          <t>Auto Loan</t>
        </is>
      </c>
      <c r="F223" s="37" t="n">
        <v>45219</v>
      </c>
      <c r="G223" s="38" t="n">
        <v>1744000</v>
      </c>
      <c r="H223" s="39" t="n">
        <v>0.1173</v>
      </c>
      <c r="I223" s="35" t="n">
        <v>84</v>
      </c>
      <c r="J223" s="35" t="n">
        <v>699</v>
      </c>
      <c r="K223" s="35" t="n">
        <v>0</v>
      </c>
      <c r="L223" s="40">
        <f>ROUND(PMT(H223/12,I223,-G223),0)</f>
        <v/>
      </c>
      <c r="M223" s="41">
        <f>MAX(0,(YEAR(AsOfDate)-YEAR(F223))*12+MONTH(AsOfDate)-MONTH(F223))</f>
        <v/>
      </c>
      <c r="N223" s="41">
        <f>MAX(0,MIN(I223,M223)-INT(K223/30))</f>
        <v/>
      </c>
      <c r="O223" s="40">
        <f>IF(N223&gt;=I223,0,ROUND(PV(H223/12,I223-N223,-L223),0))</f>
        <v/>
      </c>
      <c r="P223" s="40">
        <f>MIN(I223,M223)*L223-N223*L223</f>
        <v/>
      </c>
      <c r="Q223" s="41">
        <f>INDEX(DPD_Bucket,MATCH(K223,DPD_From,1))</f>
        <v/>
      </c>
      <c r="R223" s="41">
        <f>INDEX(DPD_Class,MATCH(K223,DPD_From,1))</f>
        <v/>
      </c>
      <c r="S223" s="41">
        <f>INDEX(DPD_NPA,MATCH(K223,DPD_From,1))</f>
        <v/>
      </c>
      <c r="T223" s="42">
        <f>INDEX(DPD_Prov,MATCH(K223,DPD_From,1))</f>
        <v/>
      </c>
      <c r="U223" s="40">
        <f>ROUND(O223*T223,0)</f>
        <v/>
      </c>
      <c r="V223" s="41">
        <f>INDEX(CIBIL_Grade,MATCH(J223,CIBIL_From,1))</f>
        <v/>
      </c>
      <c r="W223" s="41">
        <f>YEAR(F223)&amp;"-Q"&amp;ROUNDUP(MONTH(F223)/3,0)</f>
        <v/>
      </c>
      <c r="X223" s="41">
        <f>IF(AND(OR(Dashboard!$C$4="All",D223=Dashboard!$C$4),OR(Dashboard!$C$5="All",E223=Dashboard!$C$5)),1,0)</f>
        <v/>
      </c>
      <c r="Y223" s="43">
        <f>IF(AND(X223=1,S223="Yes"),O223+ROW()/1000000,0)</f>
        <v/>
      </c>
    </row>
    <row r="224">
      <c r="A224" s="35" t="inlineStr">
        <is>
          <t>LN100223</t>
        </is>
      </c>
      <c r="B224" s="35" t="inlineStr">
        <is>
          <t>Ananya Kulkarni</t>
        </is>
      </c>
      <c r="C224" s="35" t="inlineStr">
        <is>
          <t>JAI-01</t>
        </is>
      </c>
      <c r="D224" s="36">
        <f>INDEX(Branches!$C$2:$C$15,MATCH(C224,Branches!$A$2:$A$15,0))</f>
        <v/>
      </c>
      <c r="E224" s="35" t="inlineStr">
        <is>
          <t>Auto Loan</t>
        </is>
      </c>
      <c r="F224" s="37" t="n">
        <v>46080</v>
      </c>
      <c r="G224" s="38" t="n">
        <v>1327000</v>
      </c>
      <c r="H224" s="39" t="n">
        <v>0.1019</v>
      </c>
      <c r="I224" s="35" t="n">
        <v>84</v>
      </c>
      <c r="J224" s="35" t="n">
        <v>699</v>
      </c>
      <c r="K224" s="35" t="n">
        <v>0</v>
      </c>
      <c r="L224" s="40">
        <f>ROUND(PMT(H224/12,I224,-G224),0)</f>
        <v/>
      </c>
      <c r="M224" s="41">
        <f>MAX(0,(YEAR(AsOfDate)-YEAR(F224))*12+MONTH(AsOfDate)-MONTH(F224))</f>
        <v/>
      </c>
      <c r="N224" s="41">
        <f>MAX(0,MIN(I224,M224)-INT(K224/30))</f>
        <v/>
      </c>
      <c r="O224" s="40">
        <f>IF(N224&gt;=I224,0,ROUND(PV(H224/12,I224-N224,-L224),0))</f>
        <v/>
      </c>
      <c r="P224" s="40">
        <f>MIN(I224,M224)*L224-N224*L224</f>
        <v/>
      </c>
      <c r="Q224" s="41">
        <f>INDEX(DPD_Bucket,MATCH(K224,DPD_From,1))</f>
        <v/>
      </c>
      <c r="R224" s="41">
        <f>INDEX(DPD_Class,MATCH(K224,DPD_From,1))</f>
        <v/>
      </c>
      <c r="S224" s="41">
        <f>INDEX(DPD_NPA,MATCH(K224,DPD_From,1))</f>
        <v/>
      </c>
      <c r="T224" s="42">
        <f>INDEX(DPD_Prov,MATCH(K224,DPD_From,1))</f>
        <v/>
      </c>
      <c r="U224" s="40">
        <f>ROUND(O224*T224,0)</f>
        <v/>
      </c>
      <c r="V224" s="41">
        <f>INDEX(CIBIL_Grade,MATCH(J224,CIBIL_From,1))</f>
        <v/>
      </c>
      <c r="W224" s="41">
        <f>YEAR(F224)&amp;"-Q"&amp;ROUNDUP(MONTH(F224)/3,0)</f>
        <v/>
      </c>
      <c r="X224" s="41">
        <f>IF(AND(OR(Dashboard!$C$4="All",D224=Dashboard!$C$4),OR(Dashboard!$C$5="All",E224=Dashboard!$C$5)),1,0)</f>
        <v/>
      </c>
      <c r="Y224" s="43">
        <f>IF(AND(X224=1,S224="Yes"),O224+ROW()/1000000,0)</f>
        <v/>
      </c>
    </row>
    <row r="225">
      <c r="A225" s="35" t="inlineStr">
        <is>
          <t>LN100224</t>
        </is>
      </c>
      <c r="B225" s="35" t="inlineStr">
        <is>
          <t>Tanvi Mohanty</t>
        </is>
      </c>
      <c r="C225" s="35" t="inlineStr">
        <is>
          <t>DEL-01</t>
        </is>
      </c>
      <c r="D225" s="36">
        <f>INDEX(Branches!$C$2:$C$15,MATCH(C225,Branches!$A$2:$A$15,0))</f>
        <v/>
      </c>
      <c r="E225" s="35" t="inlineStr">
        <is>
          <t>Home Loan</t>
        </is>
      </c>
      <c r="F225" s="37" t="n">
        <v>45702</v>
      </c>
      <c r="G225" s="38" t="n">
        <v>9158000</v>
      </c>
      <c r="H225" s="39" t="n">
        <v>0.09719999999999999</v>
      </c>
      <c r="I225" s="35" t="n">
        <v>180</v>
      </c>
      <c r="J225" s="35" t="n">
        <v>720</v>
      </c>
      <c r="K225" s="35" t="n">
        <v>0</v>
      </c>
      <c r="L225" s="40">
        <f>ROUND(PMT(H225/12,I225,-G225),0)</f>
        <v/>
      </c>
      <c r="M225" s="41">
        <f>MAX(0,(YEAR(AsOfDate)-YEAR(F225))*12+MONTH(AsOfDate)-MONTH(F225))</f>
        <v/>
      </c>
      <c r="N225" s="41">
        <f>MAX(0,MIN(I225,M225)-INT(K225/30))</f>
        <v/>
      </c>
      <c r="O225" s="40">
        <f>IF(N225&gt;=I225,0,ROUND(PV(H225/12,I225-N225,-L225),0))</f>
        <v/>
      </c>
      <c r="P225" s="40">
        <f>MIN(I225,M225)*L225-N225*L225</f>
        <v/>
      </c>
      <c r="Q225" s="41">
        <f>INDEX(DPD_Bucket,MATCH(K225,DPD_From,1))</f>
        <v/>
      </c>
      <c r="R225" s="41">
        <f>INDEX(DPD_Class,MATCH(K225,DPD_From,1))</f>
        <v/>
      </c>
      <c r="S225" s="41">
        <f>INDEX(DPD_NPA,MATCH(K225,DPD_From,1))</f>
        <v/>
      </c>
      <c r="T225" s="42">
        <f>INDEX(DPD_Prov,MATCH(K225,DPD_From,1))</f>
        <v/>
      </c>
      <c r="U225" s="40">
        <f>ROUND(O225*T225,0)</f>
        <v/>
      </c>
      <c r="V225" s="41">
        <f>INDEX(CIBIL_Grade,MATCH(J225,CIBIL_From,1))</f>
        <v/>
      </c>
      <c r="W225" s="41">
        <f>YEAR(F225)&amp;"-Q"&amp;ROUNDUP(MONTH(F225)/3,0)</f>
        <v/>
      </c>
      <c r="X225" s="41">
        <f>IF(AND(OR(Dashboard!$C$4="All",D225=Dashboard!$C$4),OR(Dashboard!$C$5="All",E225=Dashboard!$C$5)),1,0)</f>
        <v/>
      </c>
      <c r="Y225" s="43">
        <f>IF(AND(X225=1,S225="Yes"),O225+ROW()/1000000,0)</f>
        <v/>
      </c>
    </row>
    <row r="226">
      <c r="A226" s="35" t="inlineStr">
        <is>
          <t>LN100225</t>
        </is>
      </c>
      <c r="B226" s="35" t="inlineStr">
        <is>
          <t>Sai Kulkarni</t>
        </is>
      </c>
      <c r="C226" s="35" t="inlineStr">
        <is>
          <t>DEL-01</t>
        </is>
      </c>
      <c r="D226" s="36">
        <f>INDEX(Branches!$C$2:$C$15,MATCH(C226,Branches!$A$2:$A$15,0))</f>
        <v/>
      </c>
      <c r="E226" s="35" t="inlineStr">
        <is>
          <t>Auto Loan</t>
        </is>
      </c>
      <c r="F226" s="37" t="n">
        <v>45169</v>
      </c>
      <c r="G226" s="38" t="n">
        <v>694000</v>
      </c>
      <c r="H226" s="39" t="n">
        <v>0.1166</v>
      </c>
      <c r="I226" s="35" t="n">
        <v>84</v>
      </c>
      <c r="J226" s="35" t="n">
        <v>648</v>
      </c>
      <c r="K226" s="35" t="n">
        <v>0</v>
      </c>
      <c r="L226" s="40">
        <f>ROUND(PMT(H226/12,I226,-G226),0)</f>
        <v/>
      </c>
      <c r="M226" s="41">
        <f>MAX(0,(YEAR(AsOfDate)-YEAR(F226))*12+MONTH(AsOfDate)-MONTH(F226))</f>
        <v/>
      </c>
      <c r="N226" s="41">
        <f>MAX(0,MIN(I226,M226)-INT(K226/30))</f>
        <v/>
      </c>
      <c r="O226" s="40">
        <f>IF(N226&gt;=I226,0,ROUND(PV(H226/12,I226-N226,-L226),0))</f>
        <v/>
      </c>
      <c r="P226" s="40">
        <f>MIN(I226,M226)*L226-N226*L226</f>
        <v/>
      </c>
      <c r="Q226" s="41">
        <f>INDEX(DPD_Bucket,MATCH(K226,DPD_From,1))</f>
        <v/>
      </c>
      <c r="R226" s="41">
        <f>INDEX(DPD_Class,MATCH(K226,DPD_From,1))</f>
        <v/>
      </c>
      <c r="S226" s="41">
        <f>INDEX(DPD_NPA,MATCH(K226,DPD_From,1))</f>
        <v/>
      </c>
      <c r="T226" s="42">
        <f>INDEX(DPD_Prov,MATCH(K226,DPD_From,1))</f>
        <v/>
      </c>
      <c r="U226" s="40">
        <f>ROUND(O226*T226,0)</f>
        <v/>
      </c>
      <c r="V226" s="41">
        <f>INDEX(CIBIL_Grade,MATCH(J226,CIBIL_From,1))</f>
        <v/>
      </c>
      <c r="W226" s="41">
        <f>YEAR(F226)&amp;"-Q"&amp;ROUNDUP(MONTH(F226)/3,0)</f>
        <v/>
      </c>
      <c r="X226" s="41">
        <f>IF(AND(OR(Dashboard!$C$4="All",D226=Dashboard!$C$4),OR(Dashboard!$C$5="All",E226=Dashboard!$C$5)),1,0)</f>
        <v/>
      </c>
      <c r="Y226" s="43">
        <f>IF(AND(X226=1,S226="Yes"),O226+ROW()/1000000,0)</f>
        <v/>
      </c>
    </row>
    <row r="227">
      <c r="A227" s="35" t="inlineStr">
        <is>
          <t>LN100226</t>
        </is>
      </c>
      <c r="B227" s="35" t="inlineStr">
        <is>
          <t>Aditya Verma</t>
        </is>
      </c>
      <c r="C227" s="35" t="inlineStr">
        <is>
          <t>PAT-01</t>
        </is>
      </c>
      <c r="D227" s="36">
        <f>INDEX(Branches!$C$2:$C$15,MATCH(C227,Branches!$A$2:$A$15,0))</f>
        <v/>
      </c>
      <c r="E227" s="35" t="inlineStr">
        <is>
          <t>Gold Loan</t>
        </is>
      </c>
      <c r="F227" s="37" t="n">
        <v>46104</v>
      </c>
      <c r="G227" s="38" t="n">
        <v>53000</v>
      </c>
      <c r="H227" s="39" t="n">
        <v>0.0941</v>
      </c>
      <c r="I227" s="35" t="n">
        <v>6</v>
      </c>
      <c r="J227" s="35" t="n">
        <v>756</v>
      </c>
      <c r="K227" s="35" t="n">
        <v>0</v>
      </c>
      <c r="L227" s="40">
        <f>ROUND(PMT(H227/12,I227,-G227),0)</f>
        <v/>
      </c>
      <c r="M227" s="41">
        <f>MAX(0,(YEAR(AsOfDate)-YEAR(F227))*12+MONTH(AsOfDate)-MONTH(F227))</f>
        <v/>
      </c>
      <c r="N227" s="41">
        <f>MAX(0,MIN(I227,M227)-INT(K227/30))</f>
        <v/>
      </c>
      <c r="O227" s="40">
        <f>IF(N227&gt;=I227,0,ROUND(PV(H227/12,I227-N227,-L227),0))</f>
        <v/>
      </c>
      <c r="P227" s="40">
        <f>MIN(I227,M227)*L227-N227*L227</f>
        <v/>
      </c>
      <c r="Q227" s="41">
        <f>INDEX(DPD_Bucket,MATCH(K227,DPD_From,1))</f>
        <v/>
      </c>
      <c r="R227" s="41">
        <f>INDEX(DPD_Class,MATCH(K227,DPD_From,1))</f>
        <v/>
      </c>
      <c r="S227" s="41">
        <f>INDEX(DPD_NPA,MATCH(K227,DPD_From,1))</f>
        <v/>
      </c>
      <c r="T227" s="42">
        <f>INDEX(DPD_Prov,MATCH(K227,DPD_From,1))</f>
        <v/>
      </c>
      <c r="U227" s="40">
        <f>ROUND(O227*T227,0)</f>
        <v/>
      </c>
      <c r="V227" s="41">
        <f>INDEX(CIBIL_Grade,MATCH(J227,CIBIL_From,1))</f>
        <v/>
      </c>
      <c r="W227" s="41">
        <f>YEAR(F227)&amp;"-Q"&amp;ROUNDUP(MONTH(F227)/3,0)</f>
        <v/>
      </c>
      <c r="X227" s="41">
        <f>IF(AND(OR(Dashboard!$C$4="All",D227=Dashboard!$C$4),OR(Dashboard!$C$5="All",E227=Dashboard!$C$5)),1,0)</f>
        <v/>
      </c>
      <c r="Y227" s="43">
        <f>IF(AND(X227=1,S227="Yes"),O227+ROW()/1000000,0)</f>
        <v/>
      </c>
    </row>
    <row r="228">
      <c r="A228" s="35" t="inlineStr">
        <is>
          <t>LN100227</t>
        </is>
      </c>
      <c r="B228" s="35" t="inlineStr">
        <is>
          <t>Suresh Sahoo</t>
        </is>
      </c>
      <c r="C228" s="35" t="inlineStr">
        <is>
          <t>DEL-01</t>
        </is>
      </c>
      <c r="D228" s="36">
        <f>INDEX(Branches!$C$2:$C$15,MATCH(C228,Branches!$A$2:$A$15,0))</f>
        <v/>
      </c>
      <c r="E228" s="35" t="inlineStr">
        <is>
          <t>Personal Loan</t>
        </is>
      </c>
      <c r="F228" s="37" t="n">
        <v>45864</v>
      </c>
      <c r="G228" s="38" t="n">
        <v>1023000</v>
      </c>
      <c r="H228" s="39" t="n">
        <v>0.1062</v>
      </c>
      <c r="I228" s="35" t="n">
        <v>12</v>
      </c>
      <c r="J228" s="35" t="n">
        <v>800</v>
      </c>
      <c r="K228" s="35" t="n">
        <v>0</v>
      </c>
      <c r="L228" s="40">
        <f>ROUND(PMT(H228/12,I228,-G228),0)</f>
        <v/>
      </c>
      <c r="M228" s="41">
        <f>MAX(0,(YEAR(AsOfDate)-YEAR(F228))*12+MONTH(AsOfDate)-MONTH(F228))</f>
        <v/>
      </c>
      <c r="N228" s="41">
        <f>MAX(0,MIN(I228,M228)-INT(K228/30))</f>
        <v/>
      </c>
      <c r="O228" s="40">
        <f>IF(N228&gt;=I228,0,ROUND(PV(H228/12,I228-N228,-L228),0))</f>
        <v/>
      </c>
      <c r="P228" s="40">
        <f>MIN(I228,M228)*L228-N228*L228</f>
        <v/>
      </c>
      <c r="Q228" s="41">
        <f>INDEX(DPD_Bucket,MATCH(K228,DPD_From,1))</f>
        <v/>
      </c>
      <c r="R228" s="41">
        <f>INDEX(DPD_Class,MATCH(K228,DPD_From,1))</f>
        <v/>
      </c>
      <c r="S228" s="41">
        <f>INDEX(DPD_NPA,MATCH(K228,DPD_From,1))</f>
        <v/>
      </c>
      <c r="T228" s="42">
        <f>INDEX(DPD_Prov,MATCH(K228,DPD_From,1))</f>
        <v/>
      </c>
      <c r="U228" s="40">
        <f>ROUND(O228*T228,0)</f>
        <v/>
      </c>
      <c r="V228" s="41">
        <f>INDEX(CIBIL_Grade,MATCH(J228,CIBIL_From,1))</f>
        <v/>
      </c>
      <c r="W228" s="41">
        <f>YEAR(F228)&amp;"-Q"&amp;ROUNDUP(MONTH(F228)/3,0)</f>
        <v/>
      </c>
      <c r="X228" s="41">
        <f>IF(AND(OR(Dashboard!$C$4="All",D228=Dashboard!$C$4),OR(Dashboard!$C$5="All",E228=Dashboard!$C$5)),1,0)</f>
        <v/>
      </c>
      <c r="Y228" s="43">
        <f>IF(AND(X228=1,S228="Yes"),O228+ROW()/1000000,0)</f>
        <v/>
      </c>
    </row>
    <row r="229">
      <c r="A229" s="35" t="inlineStr">
        <is>
          <t>LN100228</t>
        </is>
      </c>
      <c r="B229" s="35" t="inlineStr">
        <is>
          <t>Harsh Patel</t>
        </is>
      </c>
      <c r="C229" s="35" t="inlineStr">
        <is>
          <t>CHN-01</t>
        </is>
      </c>
      <c r="D229" s="36">
        <f>INDEX(Branches!$C$2:$C$15,MATCH(C229,Branches!$A$2:$A$15,0))</f>
        <v/>
      </c>
      <c r="E229" s="35" t="inlineStr">
        <is>
          <t>Personal Loan</t>
        </is>
      </c>
      <c r="F229" s="37" t="n">
        <v>46149</v>
      </c>
      <c r="G229" s="38" t="n">
        <v>1385000</v>
      </c>
      <c r="H229" s="39" t="n">
        <v>0.1443</v>
      </c>
      <c r="I229" s="35" t="n">
        <v>48</v>
      </c>
      <c r="J229" s="35" t="n">
        <v>738</v>
      </c>
      <c r="K229" s="35" t="n">
        <v>15</v>
      </c>
      <c r="L229" s="40">
        <f>ROUND(PMT(H229/12,I229,-G229),0)</f>
        <v/>
      </c>
      <c r="M229" s="41">
        <f>MAX(0,(YEAR(AsOfDate)-YEAR(F229))*12+MONTH(AsOfDate)-MONTH(F229))</f>
        <v/>
      </c>
      <c r="N229" s="41">
        <f>MAX(0,MIN(I229,M229)-INT(K229/30))</f>
        <v/>
      </c>
      <c r="O229" s="40">
        <f>IF(N229&gt;=I229,0,ROUND(PV(H229/12,I229-N229,-L229),0))</f>
        <v/>
      </c>
      <c r="P229" s="40">
        <f>MIN(I229,M229)*L229-N229*L229</f>
        <v/>
      </c>
      <c r="Q229" s="41">
        <f>INDEX(DPD_Bucket,MATCH(K229,DPD_From,1))</f>
        <v/>
      </c>
      <c r="R229" s="41">
        <f>INDEX(DPD_Class,MATCH(K229,DPD_From,1))</f>
        <v/>
      </c>
      <c r="S229" s="41">
        <f>INDEX(DPD_NPA,MATCH(K229,DPD_From,1))</f>
        <v/>
      </c>
      <c r="T229" s="42">
        <f>INDEX(DPD_Prov,MATCH(K229,DPD_From,1))</f>
        <v/>
      </c>
      <c r="U229" s="40">
        <f>ROUND(O229*T229,0)</f>
        <v/>
      </c>
      <c r="V229" s="41">
        <f>INDEX(CIBIL_Grade,MATCH(J229,CIBIL_From,1))</f>
        <v/>
      </c>
      <c r="W229" s="41">
        <f>YEAR(F229)&amp;"-Q"&amp;ROUNDUP(MONTH(F229)/3,0)</f>
        <v/>
      </c>
      <c r="X229" s="41">
        <f>IF(AND(OR(Dashboard!$C$4="All",D229=Dashboard!$C$4),OR(Dashboard!$C$5="All",E229=Dashboard!$C$5)),1,0)</f>
        <v/>
      </c>
      <c r="Y229" s="43">
        <f>IF(AND(X229=1,S229="Yes"),O229+ROW()/1000000,0)</f>
        <v/>
      </c>
    </row>
    <row r="230">
      <c r="A230" s="35" t="inlineStr">
        <is>
          <t>LN100229</t>
        </is>
      </c>
      <c r="B230" s="35" t="inlineStr">
        <is>
          <t>Kavya Joshi</t>
        </is>
      </c>
      <c r="C230" s="35" t="inlineStr">
        <is>
          <t>JAI-01</t>
        </is>
      </c>
      <c r="D230" s="36">
        <f>INDEX(Branches!$C$2:$C$15,MATCH(C230,Branches!$A$2:$A$15,0))</f>
        <v/>
      </c>
      <c r="E230" s="35" t="inlineStr">
        <is>
          <t>Auto Loan</t>
        </is>
      </c>
      <c r="F230" s="37" t="n">
        <v>45448</v>
      </c>
      <c r="G230" s="38" t="n">
        <v>789000</v>
      </c>
      <c r="H230" s="39" t="n">
        <v>0.1106</v>
      </c>
      <c r="I230" s="35" t="n">
        <v>60</v>
      </c>
      <c r="J230" s="35" t="n">
        <v>728</v>
      </c>
      <c r="K230" s="35" t="n">
        <v>0</v>
      </c>
      <c r="L230" s="40">
        <f>ROUND(PMT(H230/12,I230,-G230),0)</f>
        <v/>
      </c>
      <c r="M230" s="41">
        <f>MAX(0,(YEAR(AsOfDate)-YEAR(F230))*12+MONTH(AsOfDate)-MONTH(F230))</f>
        <v/>
      </c>
      <c r="N230" s="41">
        <f>MAX(0,MIN(I230,M230)-INT(K230/30))</f>
        <v/>
      </c>
      <c r="O230" s="40">
        <f>IF(N230&gt;=I230,0,ROUND(PV(H230/12,I230-N230,-L230),0))</f>
        <v/>
      </c>
      <c r="P230" s="40">
        <f>MIN(I230,M230)*L230-N230*L230</f>
        <v/>
      </c>
      <c r="Q230" s="41">
        <f>INDEX(DPD_Bucket,MATCH(K230,DPD_From,1))</f>
        <v/>
      </c>
      <c r="R230" s="41">
        <f>INDEX(DPD_Class,MATCH(K230,DPD_From,1))</f>
        <v/>
      </c>
      <c r="S230" s="41">
        <f>INDEX(DPD_NPA,MATCH(K230,DPD_From,1))</f>
        <v/>
      </c>
      <c r="T230" s="42">
        <f>INDEX(DPD_Prov,MATCH(K230,DPD_From,1))</f>
        <v/>
      </c>
      <c r="U230" s="40">
        <f>ROUND(O230*T230,0)</f>
        <v/>
      </c>
      <c r="V230" s="41">
        <f>INDEX(CIBIL_Grade,MATCH(J230,CIBIL_From,1))</f>
        <v/>
      </c>
      <c r="W230" s="41">
        <f>YEAR(F230)&amp;"-Q"&amp;ROUNDUP(MONTH(F230)/3,0)</f>
        <v/>
      </c>
      <c r="X230" s="41">
        <f>IF(AND(OR(Dashboard!$C$4="All",D230=Dashboard!$C$4),OR(Dashboard!$C$5="All",E230=Dashboard!$C$5)),1,0)</f>
        <v/>
      </c>
      <c r="Y230" s="43">
        <f>IF(AND(X230=1,S230="Yes"),O230+ROW()/1000000,0)</f>
        <v/>
      </c>
    </row>
    <row r="231">
      <c r="A231" s="35" t="inlineStr">
        <is>
          <t>LN100230</t>
        </is>
      </c>
      <c r="B231" s="35" t="inlineStr">
        <is>
          <t>Kavya Banerjee</t>
        </is>
      </c>
      <c r="C231" s="35" t="inlineStr">
        <is>
          <t>LKO-01</t>
        </is>
      </c>
      <c r="D231" s="36">
        <f>INDEX(Branches!$C$2:$C$15,MATCH(C231,Branches!$A$2:$A$15,0))</f>
        <v/>
      </c>
      <c r="E231" s="35" t="inlineStr">
        <is>
          <t>Auto Loan</t>
        </is>
      </c>
      <c r="F231" s="37" t="n">
        <v>46109</v>
      </c>
      <c r="G231" s="38" t="n">
        <v>1162000</v>
      </c>
      <c r="H231" s="39" t="n">
        <v>0.1087</v>
      </c>
      <c r="I231" s="35" t="n">
        <v>36</v>
      </c>
      <c r="J231" s="35" t="n">
        <v>789</v>
      </c>
      <c r="K231" s="35" t="n">
        <v>0</v>
      </c>
      <c r="L231" s="40">
        <f>ROUND(PMT(H231/12,I231,-G231),0)</f>
        <v/>
      </c>
      <c r="M231" s="41">
        <f>MAX(0,(YEAR(AsOfDate)-YEAR(F231))*12+MONTH(AsOfDate)-MONTH(F231))</f>
        <v/>
      </c>
      <c r="N231" s="41">
        <f>MAX(0,MIN(I231,M231)-INT(K231/30))</f>
        <v/>
      </c>
      <c r="O231" s="40">
        <f>IF(N231&gt;=I231,0,ROUND(PV(H231/12,I231-N231,-L231),0))</f>
        <v/>
      </c>
      <c r="P231" s="40">
        <f>MIN(I231,M231)*L231-N231*L231</f>
        <v/>
      </c>
      <c r="Q231" s="41">
        <f>INDEX(DPD_Bucket,MATCH(K231,DPD_From,1))</f>
        <v/>
      </c>
      <c r="R231" s="41">
        <f>INDEX(DPD_Class,MATCH(K231,DPD_From,1))</f>
        <v/>
      </c>
      <c r="S231" s="41">
        <f>INDEX(DPD_NPA,MATCH(K231,DPD_From,1))</f>
        <v/>
      </c>
      <c r="T231" s="42">
        <f>INDEX(DPD_Prov,MATCH(K231,DPD_From,1))</f>
        <v/>
      </c>
      <c r="U231" s="40">
        <f>ROUND(O231*T231,0)</f>
        <v/>
      </c>
      <c r="V231" s="41">
        <f>INDEX(CIBIL_Grade,MATCH(J231,CIBIL_From,1))</f>
        <v/>
      </c>
      <c r="W231" s="41">
        <f>YEAR(F231)&amp;"-Q"&amp;ROUNDUP(MONTH(F231)/3,0)</f>
        <v/>
      </c>
      <c r="X231" s="41">
        <f>IF(AND(OR(Dashboard!$C$4="All",D231=Dashboard!$C$4),OR(Dashboard!$C$5="All",E231=Dashboard!$C$5)),1,0)</f>
        <v/>
      </c>
      <c r="Y231" s="43">
        <f>IF(AND(X231=1,S231="Yes"),O231+ROW()/1000000,0)</f>
        <v/>
      </c>
    </row>
    <row r="232">
      <c r="A232" s="35" t="inlineStr">
        <is>
          <t>LN100231</t>
        </is>
      </c>
      <c r="B232" s="35" t="inlineStr">
        <is>
          <t>Gaurav Nair</t>
        </is>
      </c>
      <c r="C232" s="35" t="inlineStr">
        <is>
          <t>LKO-01</t>
        </is>
      </c>
      <c r="D232" s="36">
        <f>INDEX(Branches!$C$2:$C$15,MATCH(C232,Branches!$A$2:$A$15,0))</f>
        <v/>
      </c>
      <c r="E232" s="35" t="inlineStr">
        <is>
          <t>Business Loan</t>
        </is>
      </c>
      <c r="F232" s="37" t="n">
        <v>45150</v>
      </c>
      <c r="G232" s="38" t="n">
        <v>4636000</v>
      </c>
      <c r="H232" s="39" t="n">
        <v>0.1461</v>
      </c>
      <c r="I232" s="35" t="n">
        <v>12</v>
      </c>
      <c r="J232" s="35" t="n">
        <v>779</v>
      </c>
      <c r="K232" s="35" t="n">
        <v>0</v>
      </c>
      <c r="L232" s="40">
        <f>ROUND(PMT(H232/12,I232,-G232),0)</f>
        <v/>
      </c>
      <c r="M232" s="41">
        <f>MAX(0,(YEAR(AsOfDate)-YEAR(F232))*12+MONTH(AsOfDate)-MONTH(F232))</f>
        <v/>
      </c>
      <c r="N232" s="41">
        <f>MAX(0,MIN(I232,M232)-INT(K232/30))</f>
        <v/>
      </c>
      <c r="O232" s="40">
        <f>IF(N232&gt;=I232,0,ROUND(PV(H232/12,I232-N232,-L232),0))</f>
        <v/>
      </c>
      <c r="P232" s="40">
        <f>MIN(I232,M232)*L232-N232*L232</f>
        <v/>
      </c>
      <c r="Q232" s="41">
        <f>INDEX(DPD_Bucket,MATCH(K232,DPD_From,1))</f>
        <v/>
      </c>
      <c r="R232" s="41">
        <f>INDEX(DPD_Class,MATCH(K232,DPD_From,1))</f>
        <v/>
      </c>
      <c r="S232" s="41">
        <f>INDEX(DPD_NPA,MATCH(K232,DPD_From,1))</f>
        <v/>
      </c>
      <c r="T232" s="42">
        <f>INDEX(DPD_Prov,MATCH(K232,DPD_From,1))</f>
        <v/>
      </c>
      <c r="U232" s="40">
        <f>ROUND(O232*T232,0)</f>
        <v/>
      </c>
      <c r="V232" s="41">
        <f>INDEX(CIBIL_Grade,MATCH(J232,CIBIL_From,1))</f>
        <v/>
      </c>
      <c r="W232" s="41">
        <f>YEAR(F232)&amp;"-Q"&amp;ROUNDUP(MONTH(F232)/3,0)</f>
        <v/>
      </c>
      <c r="X232" s="41">
        <f>IF(AND(OR(Dashboard!$C$4="All",D232=Dashboard!$C$4),OR(Dashboard!$C$5="All",E232=Dashboard!$C$5)),1,0)</f>
        <v/>
      </c>
      <c r="Y232" s="43">
        <f>IF(AND(X232=1,S232="Yes"),O232+ROW()/1000000,0)</f>
        <v/>
      </c>
    </row>
    <row r="233">
      <c r="A233" s="35" t="inlineStr">
        <is>
          <t>LN100232</t>
        </is>
      </c>
      <c r="B233" s="35" t="inlineStr">
        <is>
          <t>Ishaan Mishra</t>
        </is>
      </c>
      <c r="C233" s="35" t="inlineStr">
        <is>
          <t>HYD-01</t>
        </is>
      </c>
      <c r="D233" s="36">
        <f>INDEX(Branches!$C$2:$C$15,MATCH(C233,Branches!$A$2:$A$15,0))</f>
        <v/>
      </c>
      <c r="E233" s="35" t="inlineStr">
        <is>
          <t>Gold Loan</t>
        </is>
      </c>
      <c r="F233" s="37" t="n">
        <v>45618</v>
      </c>
      <c r="G233" s="38" t="n">
        <v>389000</v>
      </c>
      <c r="H233" s="39" t="n">
        <v>0.1114</v>
      </c>
      <c r="I233" s="35" t="n">
        <v>12</v>
      </c>
      <c r="J233" s="35" t="n">
        <v>669</v>
      </c>
      <c r="K233" s="35" t="n">
        <v>0</v>
      </c>
      <c r="L233" s="40">
        <f>ROUND(PMT(H233/12,I233,-G233),0)</f>
        <v/>
      </c>
      <c r="M233" s="41">
        <f>MAX(0,(YEAR(AsOfDate)-YEAR(F233))*12+MONTH(AsOfDate)-MONTH(F233))</f>
        <v/>
      </c>
      <c r="N233" s="41">
        <f>MAX(0,MIN(I233,M233)-INT(K233/30))</f>
        <v/>
      </c>
      <c r="O233" s="40">
        <f>IF(N233&gt;=I233,0,ROUND(PV(H233/12,I233-N233,-L233),0))</f>
        <v/>
      </c>
      <c r="P233" s="40">
        <f>MIN(I233,M233)*L233-N233*L233</f>
        <v/>
      </c>
      <c r="Q233" s="41">
        <f>INDEX(DPD_Bucket,MATCH(K233,DPD_From,1))</f>
        <v/>
      </c>
      <c r="R233" s="41">
        <f>INDEX(DPD_Class,MATCH(K233,DPD_From,1))</f>
        <v/>
      </c>
      <c r="S233" s="41">
        <f>INDEX(DPD_NPA,MATCH(K233,DPD_From,1))</f>
        <v/>
      </c>
      <c r="T233" s="42">
        <f>INDEX(DPD_Prov,MATCH(K233,DPD_From,1))</f>
        <v/>
      </c>
      <c r="U233" s="40">
        <f>ROUND(O233*T233,0)</f>
        <v/>
      </c>
      <c r="V233" s="41">
        <f>INDEX(CIBIL_Grade,MATCH(J233,CIBIL_From,1))</f>
        <v/>
      </c>
      <c r="W233" s="41">
        <f>YEAR(F233)&amp;"-Q"&amp;ROUNDUP(MONTH(F233)/3,0)</f>
        <v/>
      </c>
      <c r="X233" s="41">
        <f>IF(AND(OR(Dashboard!$C$4="All",D233=Dashboard!$C$4),OR(Dashboard!$C$5="All",E233=Dashboard!$C$5)),1,0)</f>
        <v/>
      </c>
      <c r="Y233" s="43">
        <f>IF(AND(X233=1,S233="Yes"),O233+ROW()/1000000,0)</f>
        <v/>
      </c>
    </row>
    <row r="234">
      <c r="A234" s="35" t="inlineStr">
        <is>
          <t>LN100233</t>
        </is>
      </c>
      <c r="B234" s="35" t="inlineStr">
        <is>
          <t>Kavya Kulkarni</t>
        </is>
      </c>
      <c r="C234" s="35" t="inlineStr">
        <is>
          <t>PUN-01</t>
        </is>
      </c>
      <c r="D234" s="36">
        <f>INDEX(Branches!$C$2:$C$15,MATCH(C234,Branches!$A$2:$A$15,0))</f>
        <v/>
      </c>
      <c r="E234" s="35" t="inlineStr">
        <is>
          <t>Auto Loan</t>
        </is>
      </c>
      <c r="F234" s="37" t="n">
        <v>45561</v>
      </c>
      <c r="G234" s="38" t="n">
        <v>1014000</v>
      </c>
      <c r="H234" s="39" t="n">
        <v>0.1119</v>
      </c>
      <c r="I234" s="35" t="n">
        <v>36</v>
      </c>
      <c r="J234" s="35" t="n">
        <v>756</v>
      </c>
      <c r="K234" s="35" t="n">
        <v>0</v>
      </c>
      <c r="L234" s="40">
        <f>ROUND(PMT(H234/12,I234,-G234),0)</f>
        <v/>
      </c>
      <c r="M234" s="41">
        <f>MAX(0,(YEAR(AsOfDate)-YEAR(F234))*12+MONTH(AsOfDate)-MONTH(F234))</f>
        <v/>
      </c>
      <c r="N234" s="41">
        <f>MAX(0,MIN(I234,M234)-INT(K234/30))</f>
        <v/>
      </c>
      <c r="O234" s="40">
        <f>IF(N234&gt;=I234,0,ROUND(PV(H234/12,I234-N234,-L234),0))</f>
        <v/>
      </c>
      <c r="P234" s="40">
        <f>MIN(I234,M234)*L234-N234*L234</f>
        <v/>
      </c>
      <c r="Q234" s="41">
        <f>INDEX(DPD_Bucket,MATCH(K234,DPD_From,1))</f>
        <v/>
      </c>
      <c r="R234" s="41">
        <f>INDEX(DPD_Class,MATCH(K234,DPD_From,1))</f>
        <v/>
      </c>
      <c r="S234" s="41">
        <f>INDEX(DPD_NPA,MATCH(K234,DPD_From,1))</f>
        <v/>
      </c>
      <c r="T234" s="42">
        <f>INDEX(DPD_Prov,MATCH(K234,DPD_From,1))</f>
        <v/>
      </c>
      <c r="U234" s="40">
        <f>ROUND(O234*T234,0)</f>
        <v/>
      </c>
      <c r="V234" s="41">
        <f>INDEX(CIBIL_Grade,MATCH(J234,CIBIL_From,1))</f>
        <v/>
      </c>
      <c r="W234" s="41">
        <f>YEAR(F234)&amp;"-Q"&amp;ROUNDUP(MONTH(F234)/3,0)</f>
        <v/>
      </c>
      <c r="X234" s="41">
        <f>IF(AND(OR(Dashboard!$C$4="All",D234=Dashboard!$C$4),OR(Dashboard!$C$5="All",E234=Dashboard!$C$5)),1,0)</f>
        <v/>
      </c>
      <c r="Y234" s="43">
        <f>IF(AND(X234=1,S234="Yes"),O234+ROW()/1000000,0)</f>
        <v/>
      </c>
    </row>
    <row r="235">
      <c r="A235" s="35" t="inlineStr">
        <is>
          <t>LN100234</t>
        </is>
      </c>
      <c r="B235" s="35" t="inlineStr">
        <is>
          <t>Sneha Verma</t>
        </is>
      </c>
      <c r="C235" s="35" t="inlineStr">
        <is>
          <t>CHN-01</t>
        </is>
      </c>
      <c r="D235" s="36">
        <f>INDEX(Branches!$C$2:$C$15,MATCH(C235,Branches!$A$2:$A$15,0))</f>
        <v/>
      </c>
      <c r="E235" s="35" t="inlineStr">
        <is>
          <t>Business Loan</t>
        </is>
      </c>
      <c r="F235" s="37" t="n">
        <v>45148</v>
      </c>
      <c r="G235" s="38" t="n">
        <v>2467000</v>
      </c>
      <c r="H235" s="39" t="n">
        <v>0.1887</v>
      </c>
      <c r="I235" s="35" t="n">
        <v>12</v>
      </c>
      <c r="J235" s="35" t="n">
        <v>769</v>
      </c>
      <c r="K235" s="35" t="n">
        <v>0</v>
      </c>
      <c r="L235" s="40">
        <f>ROUND(PMT(H235/12,I235,-G235),0)</f>
        <v/>
      </c>
      <c r="M235" s="41">
        <f>MAX(0,(YEAR(AsOfDate)-YEAR(F235))*12+MONTH(AsOfDate)-MONTH(F235))</f>
        <v/>
      </c>
      <c r="N235" s="41">
        <f>MAX(0,MIN(I235,M235)-INT(K235/30))</f>
        <v/>
      </c>
      <c r="O235" s="40">
        <f>IF(N235&gt;=I235,0,ROUND(PV(H235/12,I235-N235,-L235),0))</f>
        <v/>
      </c>
      <c r="P235" s="40">
        <f>MIN(I235,M235)*L235-N235*L235</f>
        <v/>
      </c>
      <c r="Q235" s="41">
        <f>INDEX(DPD_Bucket,MATCH(K235,DPD_From,1))</f>
        <v/>
      </c>
      <c r="R235" s="41">
        <f>INDEX(DPD_Class,MATCH(K235,DPD_From,1))</f>
        <v/>
      </c>
      <c r="S235" s="41">
        <f>INDEX(DPD_NPA,MATCH(K235,DPD_From,1))</f>
        <v/>
      </c>
      <c r="T235" s="42">
        <f>INDEX(DPD_Prov,MATCH(K235,DPD_From,1))</f>
        <v/>
      </c>
      <c r="U235" s="40">
        <f>ROUND(O235*T235,0)</f>
        <v/>
      </c>
      <c r="V235" s="41">
        <f>INDEX(CIBIL_Grade,MATCH(J235,CIBIL_From,1))</f>
        <v/>
      </c>
      <c r="W235" s="41">
        <f>YEAR(F235)&amp;"-Q"&amp;ROUNDUP(MONTH(F235)/3,0)</f>
        <v/>
      </c>
      <c r="X235" s="41">
        <f>IF(AND(OR(Dashboard!$C$4="All",D235=Dashboard!$C$4),OR(Dashboard!$C$5="All",E235=Dashboard!$C$5)),1,0)</f>
        <v/>
      </c>
      <c r="Y235" s="43">
        <f>IF(AND(X235=1,S235="Yes"),O235+ROW()/1000000,0)</f>
        <v/>
      </c>
    </row>
    <row r="236">
      <c r="A236" s="35" t="inlineStr">
        <is>
          <t>LN100235</t>
        </is>
      </c>
      <c r="B236" s="35" t="inlineStr">
        <is>
          <t>Pooja Mohanty</t>
        </is>
      </c>
      <c r="C236" s="35" t="inlineStr">
        <is>
          <t>PUN-01</t>
        </is>
      </c>
      <c r="D236" s="36">
        <f>INDEX(Branches!$C$2:$C$15,MATCH(C236,Branches!$A$2:$A$15,0))</f>
        <v/>
      </c>
      <c r="E236" s="35" t="inlineStr">
        <is>
          <t>Auto Loan</t>
        </is>
      </c>
      <c r="F236" s="37" t="n">
        <v>45505</v>
      </c>
      <c r="G236" s="38" t="n">
        <v>1285000</v>
      </c>
      <c r="H236" s="39" t="n">
        <v>0.1006</v>
      </c>
      <c r="I236" s="35" t="n">
        <v>84</v>
      </c>
      <c r="J236" s="35" t="n">
        <v>778</v>
      </c>
      <c r="K236" s="35" t="n">
        <v>0</v>
      </c>
      <c r="L236" s="40">
        <f>ROUND(PMT(H236/12,I236,-G236),0)</f>
        <v/>
      </c>
      <c r="M236" s="41">
        <f>MAX(0,(YEAR(AsOfDate)-YEAR(F236))*12+MONTH(AsOfDate)-MONTH(F236))</f>
        <v/>
      </c>
      <c r="N236" s="41">
        <f>MAX(0,MIN(I236,M236)-INT(K236/30))</f>
        <v/>
      </c>
      <c r="O236" s="40">
        <f>IF(N236&gt;=I236,0,ROUND(PV(H236/12,I236-N236,-L236),0))</f>
        <v/>
      </c>
      <c r="P236" s="40">
        <f>MIN(I236,M236)*L236-N236*L236</f>
        <v/>
      </c>
      <c r="Q236" s="41">
        <f>INDEX(DPD_Bucket,MATCH(K236,DPD_From,1))</f>
        <v/>
      </c>
      <c r="R236" s="41">
        <f>INDEX(DPD_Class,MATCH(K236,DPD_From,1))</f>
        <v/>
      </c>
      <c r="S236" s="41">
        <f>INDEX(DPD_NPA,MATCH(K236,DPD_From,1))</f>
        <v/>
      </c>
      <c r="T236" s="42">
        <f>INDEX(DPD_Prov,MATCH(K236,DPD_From,1))</f>
        <v/>
      </c>
      <c r="U236" s="40">
        <f>ROUND(O236*T236,0)</f>
        <v/>
      </c>
      <c r="V236" s="41">
        <f>INDEX(CIBIL_Grade,MATCH(J236,CIBIL_From,1))</f>
        <v/>
      </c>
      <c r="W236" s="41">
        <f>YEAR(F236)&amp;"-Q"&amp;ROUNDUP(MONTH(F236)/3,0)</f>
        <v/>
      </c>
      <c r="X236" s="41">
        <f>IF(AND(OR(Dashboard!$C$4="All",D236=Dashboard!$C$4),OR(Dashboard!$C$5="All",E236=Dashboard!$C$5)),1,0)</f>
        <v/>
      </c>
      <c r="Y236" s="43">
        <f>IF(AND(X236=1,S236="Yes"),O236+ROW()/1000000,0)</f>
        <v/>
      </c>
    </row>
    <row r="237">
      <c r="A237" s="35" t="inlineStr">
        <is>
          <t>LN100236</t>
        </is>
      </c>
      <c r="B237" s="35" t="inlineStr">
        <is>
          <t>Suresh Singh</t>
        </is>
      </c>
      <c r="C237" s="35" t="inlineStr">
        <is>
          <t>PAT-01</t>
        </is>
      </c>
      <c r="D237" s="36">
        <f>INDEX(Branches!$C$2:$C$15,MATCH(C237,Branches!$A$2:$A$15,0))</f>
        <v/>
      </c>
      <c r="E237" s="35" t="inlineStr">
        <is>
          <t>Home Loan</t>
        </is>
      </c>
      <c r="F237" s="37" t="n">
        <v>45395</v>
      </c>
      <c r="G237" s="38" t="n">
        <v>5204000</v>
      </c>
      <c r="H237" s="39" t="n">
        <v>0.08500000000000001</v>
      </c>
      <c r="I237" s="35" t="n">
        <v>240</v>
      </c>
      <c r="J237" s="35" t="n">
        <v>743</v>
      </c>
      <c r="K237" s="35" t="n">
        <v>0</v>
      </c>
      <c r="L237" s="40">
        <f>ROUND(PMT(H237/12,I237,-G237),0)</f>
        <v/>
      </c>
      <c r="M237" s="41">
        <f>MAX(0,(YEAR(AsOfDate)-YEAR(F237))*12+MONTH(AsOfDate)-MONTH(F237))</f>
        <v/>
      </c>
      <c r="N237" s="41">
        <f>MAX(0,MIN(I237,M237)-INT(K237/30))</f>
        <v/>
      </c>
      <c r="O237" s="40">
        <f>IF(N237&gt;=I237,0,ROUND(PV(H237/12,I237-N237,-L237),0))</f>
        <v/>
      </c>
      <c r="P237" s="40">
        <f>MIN(I237,M237)*L237-N237*L237</f>
        <v/>
      </c>
      <c r="Q237" s="41">
        <f>INDEX(DPD_Bucket,MATCH(K237,DPD_From,1))</f>
        <v/>
      </c>
      <c r="R237" s="41">
        <f>INDEX(DPD_Class,MATCH(K237,DPD_From,1))</f>
        <v/>
      </c>
      <c r="S237" s="41">
        <f>INDEX(DPD_NPA,MATCH(K237,DPD_From,1))</f>
        <v/>
      </c>
      <c r="T237" s="42">
        <f>INDEX(DPD_Prov,MATCH(K237,DPD_From,1))</f>
        <v/>
      </c>
      <c r="U237" s="40">
        <f>ROUND(O237*T237,0)</f>
        <v/>
      </c>
      <c r="V237" s="41">
        <f>INDEX(CIBIL_Grade,MATCH(J237,CIBIL_From,1))</f>
        <v/>
      </c>
      <c r="W237" s="41">
        <f>YEAR(F237)&amp;"-Q"&amp;ROUNDUP(MONTH(F237)/3,0)</f>
        <v/>
      </c>
      <c r="X237" s="41">
        <f>IF(AND(OR(Dashboard!$C$4="All",D237=Dashboard!$C$4),OR(Dashboard!$C$5="All",E237=Dashboard!$C$5)),1,0)</f>
        <v/>
      </c>
      <c r="Y237" s="43">
        <f>IF(AND(X237=1,S237="Yes"),O237+ROW()/1000000,0)</f>
        <v/>
      </c>
    </row>
    <row r="238">
      <c r="A238" s="35" t="inlineStr">
        <is>
          <t>LN100237</t>
        </is>
      </c>
      <c r="B238" s="35" t="inlineStr">
        <is>
          <t>Aarav Singh</t>
        </is>
      </c>
      <c r="C238" s="35" t="inlineStr">
        <is>
          <t>DEL-01</t>
        </is>
      </c>
      <c r="D238" s="36">
        <f>INDEX(Branches!$C$2:$C$15,MATCH(C238,Branches!$A$2:$A$15,0))</f>
        <v/>
      </c>
      <c r="E238" s="35" t="inlineStr">
        <is>
          <t>Auto Loan</t>
        </is>
      </c>
      <c r="F238" s="37" t="n">
        <v>45858</v>
      </c>
      <c r="G238" s="38" t="n">
        <v>976000</v>
      </c>
      <c r="H238" s="39" t="n">
        <v>0.0974</v>
      </c>
      <c r="I238" s="35" t="n">
        <v>84</v>
      </c>
      <c r="J238" s="35" t="n">
        <v>731</v>
      </c>
      <c r="K238" s="35" t="n">
        <v>0</v>
      </c>
      <c r="L238" s="40">
        <f>ROUND(PMT(H238/12,I238,-G238),0)</f>
        <v/>
      </c>
      <c r="M238" s="41">
        <f>MAX(0,(YEAR(AsOfDate)-YEAR(F238))*12+MONTH(AsOfDate)-MONTH(F238))</f>
        <v/>
      </c>
      <c r="N238" s="41">
        <f>MAX(0,MIN(I238,M238)-INT(K238/30))</f>
        <v/>
      </c>
      <c r="O238" s="40">
        <f>IF(N238&gt;=I238,0,ROUND(PV(H238/12,I238-N238,-L238),0))</f>
        <v/>
      </c>
      <c r="P238" s="40">
        <f>MIN(I238,M238)*L238-N238*L238</f>
        <v/>
      </c>
      <c r="Q238" s="41">
        <f>INDEX(DPD_Bucket,MATCH(K238,DPD_From,1))</f>
        <v/>
      </c>
      <c r="R238" s="41">
        <f>INDEX(DPD_Class,MATCH(K238,DPD_From,1))</f>
        <v/>
      </c>
      <c r="S238" s="41">
        <f>INDEX(DPD_NPA,MATCH(K238,DPD_From,1))</f>
        <v/>
      </c>
      <c r="T238" s="42">
        <f>INDEX(DPD_Prov,MATCH(K238,DPD_From,1))</f>
        <v/>
      </c>
      <c r="U238" s="40">
        <f>ROUND(O238*T238,0)</f>
        <v/>
      </c>
      <c r="V238" s="41">
        <f>INDEX(CIBIL_Grade,MATCH(J238,CIBIL_From,1))</f>
        <v/>
      </c>
      <c r="W238" s="41">
        <f>YEAR(F238)&amp;"-Q"&amp;ROUNDUP(MONTH(F238)/3,0)</f>
        <v/>
      </c>
      <c r="X238" s="41">
        <f>IF(AND(OR(Dashboard!$C$4="All",D238=Dashboard!$C$4),OR(Dashboard!$C$5="All",E238=Dashboard!$C$5)),1,0)</f>
        <v/>
      </c>
      <c r="Y238" s="43">
        <f>IF(AND(X238=1,S238="Yes"),O238+ROW()/1000000,0)</f>
        <v/>
      </c>
    </row>
    <row r="239">
      <c r="A239" s="35" t="inlineStr">
        <is>
          <t>LN100238</t>
        </is>
      </c>
      <c r="B239" s="35" t="inlineStr">
        <is>
          <t>Rohan Chatterjee</t>
        </is>
      </c>
      <c r="C239" s="35" t="inlineStr">
        <is>
          <t>AMD-01</t>
        </is>
      </c>
      <c r="D239" s="36">
        <f>INDEX(Branches!$C$2:$C$15,MATCH(C239,Branches!$A$2:$A$15,0))</f>
        <v/>
      </c>
      <c r="E239" s="35" t="inlineStr">
        <is>
          <t>Home Loan</t>
        </is>
      </c>
      <c r="F239" s="37" t="n">
        <v>45291</v>
      </c>
      <c r="G239" s="38" t="n">
        <v>3343000</v>
      </c>
      <c r="H239" s="39" t="n">
        <v>0.0853</v>
      </c>
      <c r="I239" s="35" t="n">
        <v>120</v>
      </c>
      <c r="J239" s="35" t="n">
        <v>687</v>
      </c>
      <c r="K239" s="35" t="n">
        <v>0</v>
      </c>
      <c r="L239" s="40">
        <f>ROUND(PMT(H239/12,I239,-G239),0)</f>
        <v/>
      </c>
      <c r="M239" s="41">
        <f>MAX(0,(YEAR(AsOfDate)-YEAR(F239))*12+MONTH(AsOfDate)-MONTH(F239))</f>
        <v/>
      </c>
      <c r="N239" s="41">
        <f>MAX(0,MIN(I239,M239)-INT(K239/30))</f>
        <v/>
      </c>
      <c r="O239" s="40">
        <f>IF(N239&gt;=I239,0,ROUND(PV(H239/12,I239-N239,-L239),0))</f>
        <v/>
      </c>
      <c r="P239" s="40">
        <f>MIN(I239,M239)*L239-N239*L239</f>
        <v/>
      </c>
      <c r="Q239" s="41">
        <f>INDEX(DPD_Bucket,MATCH(K239,DPD_From,1))</f>
        <v/>
      </c>
      <c r="R239" s="41">
        <f>INDEX(DPD_Class,MATCH(K239,DPD_From,1))</f>
        <v/>
      </c>
      <c r="S239" s="41">
        <f>INDEX(DPD_NPA,MATCH(K239,DPD_From,1))</f>
        <v/>
      </c>
      <c r="T239" s="42">
        <f>INDEX(DPD_Prov,MATCH(K239,DPD_From,1))</f>
        <v/>
      </c>
      <c r="U239" s="40">
        <f>ROUND(O239*T239,0)</f>
        <v/>
      </c>
      <c r="V239" s="41">
        <f>INDEX(CIBIL_Grade,MATCH(J239,CIBIL_From,1))</f>
        <v/>
      </c>
      <c r="W239" s="41">
        <f>YEAR(F239)&amp;"-Q"&amp;ROUNDUP(MONTH(F239)/3,0)</f>
        <v/>
      </c>
      <c r="X239" s="41">
        <f>IF(AND(OR(Dashboard!$C$4="All",D239=Dashboard!$C$4),OR(Dashboard!$C$5="All",E239=Dashboard!$C$5)),1,0)</f>
        <v/>
      </c>
      <c r="Y239" s="43">
        <f>IF(AND(X239=1,S239="Yes"),O239+ROW()/1000000,0)</f>
        <v/>
      </c>
    </row>
    <row r="240">
      <c r="A240" s="35" t="inlineStr">
        <is>
          <t>LN100239</t>
        </is>
      </c>
      <c r="B240" s="35" t="inlineStr">
        <is>
          <t>Manish Iyer</t>
        </is>
      </c>
      <c r="C240" s="35" t="inlineStr">
        <is>
          <t>BBS-01</t>
        </is>
      </c>
      <c r="D240" s="36">
        <f>INDEX(Branches!$C$2:$C$15,MATCH(C240,Branches!$A$2:$A$15,0))</f>
        <v/>
      </c>
      <c r="E240" s="35" t="inlineStr">
        <is>
          <t>Personal Loan</t>
        </is>
      </c>
      <c r="F240" s="37" t="n">
        <v>45509</v>
      </c>
      <c r="G240" s="38" t="n">
        <v>1362000</v>
      </c>
      <c r="H240" s="39" t="n">
        <v>0.1729</v>
      </c>
      <c r="I240" s="35" t="n">
        <v>60</v>
      </c>
      <c r="J240" s="35" t="n">
        <v>740</v>
      </c>
      <c r="K240" s="35" t="n">
        <v>0</v>
      </c>
      <c r="L240" s="40">
        <f>ROUND(PMT(H240/12,I240,-G240),0)</f>
        <v/>
      </c>
      <c r="M240" s="41">
        <f>MAX(0,(YEAR(AsOfDate)-YEAR(F240))*12+MONTH(AsOfDate)-MONTH(F240))</f>
        <v/>
      </c>
      <c r="N240" s="41">
        <f>MAX(0,MIN(I240,M240)-INT(K240/30))</f>
        <v/>
      </c>
      <c r="O240" s="40">
        <f>IF(N240&gt;=I240,0,ROUND(PV(H240/12,I240-N240,-L240),0))</f>
        <v/>
      </c>
      <c r="P240" s="40">
        <f>MIN(I240,M240)*L240-N240*L240</f>
        <v/>
      </c>
      <c r="Q240" s="41">
        <f>INDEX(DPD_Bucket,MATCH(K240,DPD_From,1))</f>
        <v/>
      </c>
      <c r="R240" s="41">
        <f>INDEX(DPD_Class,MATCH(K240,DPD_From,1))</f>
        <v/>
      </c>
      <c r="S240" s="41">
        <f>INDEX(DPD_NPA,MATCH(K240,DPD_From,1))</f>
        <v/>
      </c>
      <c r="T240" s="42">
        <f>INDEX(DPD_Prov,MATCH(K240,DPD_From,1))</f>
        <v/>
      </c>
      <c r="U240" s="40">
        <f>ROUND(O240*T240,0)</f>
        <v/>
      </c>
      <c r="V240" s="41">
        <f>INDEX(CIBIL_Grade,MATCH(J240,CIBIL_From,1))</f>
        <v/>
      </c>
      <c r="W240" s="41">
        <f>YEAR(F240)&amp;"-Q"&amp;ROUNDUP(MONTH(F240)/3,0)</f>
        <v/>
      </c>
      <c r="X240" s="41">
        <f>IF(AND(OR(Dashboard!$C$4="All",D240=Dashboard!$C$4),OR(Dashboard!$C$5="All",E240=Dashboard!$C$5)),1,0)</f>
        <v/>
      </c>
      <c r="Y240" s="43">
        <f>IF(AND(X240=1,S240="Yes"),O240+ROW()/1000000,0)</f>
        <v/>
      </c>
    </row>
    <row r="241">
      <c r="A241" s="35" t="inlineStr">
        <is>
          <t>LN100240</t>
        </is>
      </c>
      <c r="B241" s="35" t="inlineStr">
        <is>
          <t>Ananya Singh</t>
        </is>
      </c>
      <c r="C241" s="35" t="inlineStr">
        <is>
          <t>MUM-01</t>
        </is>
      </c>
      <c r="D241" s="36">
        <f>INDEX(Branches!$C$2:$C$15,MATCH(C241,Branches!$A$2:$A$15,0))</f>
        <v/>
      </c>
      <c r="E241" s="35" t="inlineStr">
        <is>
          <t>Gold Loan</t>
        </is>
      </c>
      <c r="F241" s="37" t="n">
        <v>45394</v>
      </c>
      <c r="G241" s="38" t="n">
        <v>272000</v>
      </c>
      <c r="H241" s="39" t="n">
        <v>0.0919</v>
      </c>
      <c r="I241" s="35" t="n">
        <v>6</v>
      </c>
      <c r="J241" s="35" t="n">
        <v>728</v>
      </c>
      <c r="K241" s="35" t="n">
        <v>0</v>
      </c>
      <c r="L241" s="40">
        <f>ROUND(PMT(H241/12,I241,-G241),0)</f>
        <v/>
      </c>
      <c r="M241" s="41">
        <f>MAX(0,(YEAR(AsOfDate)-YEAR(F241))*12+MONTH(AsOfDate)-MONTH(F241))</f>
        <v/>
      </c>
      <c r="N241" s="41">
        <f>MAX(0,MIN(I241,M241)-INT(K241/30))</f>
        <v/>
      </c>
      <c r="O241" s="40">
        <f>IF(N241&gt;=I241,0,ROUND(PV(H241/12,I241-N241,-L241),0))</f>
        <v/>
      </c>
      <c r="P241" s="40">
        <f>MIN(I241,M241)*L241-N241*L241</f>
        <v/>
      </c>
      <c r="Q241" s="41">
        <f>INDEX(DPD_Bucket,MATCH(K241,DPD_From,1))</f>
        <v/>
      </c>
      <c r="R241" s="41">
        <f>INDEX(DPD_Class,MATCH(K241,DPD_From,1))</f>
        <v/>
      </c>
      <c r="S241" s="41">
        <f>INDEX(DPD_NPA,MATCH(K241,DPD_From,1))</f>
        <v/>
      </c>
      <c r="T241" s="42">
        <f>INDEX(DPD_Prov,MATCH(K241,DPD_From,1))</f>
        <v/>
      </c>
      <c r="U241" s="40">
        <f>ROUND(O241*T241,0)</f>
        <v/>
      </c>
      <c r="V241" s="41">
        <f>INDEX(CIBIL_Grade,MATCH(J241,CIBIL_From,1))</f>
        <v/>
      </c>
      <c r="W241" s="41">
        <f>YEAR(F241)&amp;"-Q"&amp;ROUNDUP(MONTH(F241)/3,0)</f>
        <v/>
      </c>
      <c r="X241" s="41">
        <f>IF(AND(OR(Dashboard!$C$4="All",D241=Dashboard!$C$4),OR(Dashboard!$C$5="All",E241=Dashboard!$C$5)),1,0)</f>
        <v/>
      </c>
      <c r="Y241" s="43">
        <f>IF(AND(X241=1,S241="Yes"),O241+ROW()/1000000,0)</f>
        <v/>
      </c>
    </row>
    <row r="242">
      <c r="A242" s="35" t="inlineStr">
        <is>
          <t>LN100241</t>
        </is>
      </c>
      <c r="B242" s="35" t="inlineStr">
        <is>
          <t>Kabir Pillai</t>
        </is>
      </c>
      <c r="C242" s="35" t="inlineStr">
        <is>
          <t>JAI-01</t>
        </is>
      </c>
      <c r="D242" s="36">
        <f>INDEX(Branches!$C$2:$C$15,MATCH(C242,Branches!$A$2:$A$15,0))</f>
        <v/>
      </c>
      <c r="E242" s="35" t="inlineStr">
        <is>
          <t>Personal Loan</t>
        </is>
      </c>
      <c r="F242" s="37" t="n">
        <v>45560</v>
      </c>
      <c r="G242" s="38" t="n">
        <v>963000</v>
      </c>
      <c r="H242" s="39" t="n">
        <v>0.1393</v>
      </c>
      <c r="I242" s="35" t="n">
        <v>48</v>
      </c>
      <c r="J242" s="35" t="n">
        <v>713</v>
      </c>
      <c r="K242" s="35" t="n">
        <v>0</v>
      </c>
      <c r="L242" s="40">
        <f>ROUND(PMT(H242/12,I242,-G242),0)</f>
        <v/>
      </c>
      <c r="M242" s="41">
        <f>MAX(0,(YEAR(AsOfDate)-YEAR(F242))*12+MONTH(AsOfDate)-MONTH(F242))</f>
        <v/>
      </c>
      <c r="N242" s="41">
        <f>MAX(0,MIN(I242,M242)-INT(K242/30))</f>
        <v/>
      </c>
      <c r="O242" s="40">
        <f>IF(N242&gt;=I242,0,ROUND(PV(H242/12,I242-N242,-L242),0))</f>
        <v/>
      </c>
      <c r="P242" s="40">
        <f>MIN(I242,M242)*L242-N242*L242</f>
        <v/>
      </c>
      <c r="Q242" s="41">
        <f>INDEX(DPD_Bucket,MATCH(K242,DPD_From,1))</f>
        <v/>
      </c>
      <c r="R242" s="41">
        <f>INDEX(DPD_Class,MATCH(K242,DPD_From,1))</f>
        <v/>
      </c>
      <c r="S242" s="41">
        <f>INDEX(DPD_NPA,MATCH(K242,DPD_From,1))</f>
        <v/>
      </c>
      <c r="T242" s="42">
        <f>INDEX(DPD_Prov,MATCH(K242,DPD_From,1))</f>
        <v/>
      </c>
      <c r="U242" s="40">
        <f>ROUND(O242*T242,0)</f>
        <v/>
      </c>
      <c r="V242" s="41">
        <f>INDEX(CIBIL_Grade,MATCH(J242,CIBIL_From,1))</f>
        <v/>
      </c>
      <c r="W242" s="41">
        <f>YEAR(F242)&amp;"-Q"&amp;ROUNDUP(MONTH(F242)/3,0)</f>
        <v/>
      </c>
      <c r="X242" s="41">
        <f>IF(AND(OR(Dashboard!$C$4="All",D242=Dashboard!$C$4),OR(Dashboard!$C$5="All",E242=Dashboard!$C$5)),1,0)</f>
        <v/>
      </c>
      <c r="Y242" s="43">
        <f>IF(AND(X242=1,S242="Yes"),O242+ROW()/1000000,0)</f>
        <v/>
      </c>
    </row>
    <row r="243">
      <c r="A243" s="35" t="inlineStr">
        <is>
          <t>LN100242</t>
        </is>
      </c>
      <c r="B243" s="35" t="inlineStr">
        <is>
          <t>Suresh Banerjee</t>
        </is>
      </c>
      <c r="C243" s="35" t="inlineStr">
        <is>
          <t>PAT-01</t>
        </is>
      </c>
      <c r="D243" s="36">
        <f>INDEX(Branches!$C$2:$C$15,MATCH(C243,Branches!$A$2:$A$15,0))</f>
        <v/>
      </c>
      <c r="E243" s="35" t="inlineStr">
        <is>
          <t>Home Loan</t>
        </is>
      </c>
      <c r="F243" s="37" t="n">
        <v>45363</v>
      </c>
      <c r="G243" s="38" t="n">
        <v>13209000</v>
      </c>
      <c r="H243" s="39" t="n">
        <v>0.0902</v>
      </c>
      <c r="I243" s="35" t="n">
        <v>120</v>
      </c>
      <c r="J243" s="35" t="n">
        <v>737</v>
      </c>
      <c r="K243" s="35" t="n">
        <v>0</v>
      </c>
      <c r="L243" s="40">
        <f>ROUND(PMT(H243/12,I243,-G243),0)</f>
        <v/>
      </c>
      <c r="M243" s="41">
        <f>MAX(0,(YEAR(AsOfDate)-YEAR(F243))*12+MONTH(AsOfDate)-MONTH(F243))</f>
        <v/>
      </c>
      <c r="N243" s="41">
        <f>MAX(0,MIN(I243,M243)-INT(K243/30))</f>
        <v/>
      </c>
      <c r="O243" s="40">
        <f>IF(N243&gt;=I243,0,ROUND(PV(H243/12,I243-N243,-L243),0))</f>
        <v/>
      </c>
      <c r="P243" s="40">
        <f>MIN(I243,M243)*L243-N243*L243</f>
        <v/>
      </c>
      <c r="Q243" s="41">
        <f>INDEX(DPD_Bucket,MATCH(K243,DPD_From,1))</f>
        <v/>
      </c>
      <c r="R243" s="41">
        <f>INDEX(DPD_Class,MATCH(K243,DPD_From,1))</f>
        <v/>
      </c>
      <c r="S243" s="41">
        <f>INDEX(DPD_NPA,MATCH(K243,DPD_From,1))</f>
        <v/>
      </c>
      <c r="T243" s="42">
        <f>INDEX(DPD_Prov,MATCH(K243,DPD_From,1))</f>
        <v/>
      </c>
      <c r="U243" s="40">
        <f>ROUND(O243*T243,0)</f>
        <v/>
      </c>
      <c r="V243" s="41">
        <f>INDEX(CIBIL_Grade,MATCH(J243,CIBIL_From,1))</f>
        <v/>
      </c>
      <c r="W243" s="41">
        <f>YEAR(F243)&amp;"-Q"&amp;ROUNDUP(MONTH(F243)/3,0)</f>
        <v/>
      </c>
      <c r="X243" s="41">
        <f>IF(AND(OR(Dashboard!$C$4="All",D243=Dashboard!$C$4),OR(Dashboard!$C$5="All",E243=Dashboard!$C$5)),1,0)</f>
        <v/>
      </c>
      <c r="Y243" s="43">
        <f>IF(AND(X243=1,S243="Yes"),O243+ROW()/1000000,0)</f>
        <v/>
      </c>
    </row>
    <row r="244">
      <c r="A244" s="35" t="inlineStr">
        <is>
          <t>LN100243</t>
        </is>
      </c>
      <c r="B244" s="35" t="inlineStr">
        <is>
          <t>Pooja Rao</t>
        </is>
      </c>
      <c r="C244" s="35" t="inlineStr">
        <is>
          <t>HYD-01</t>
        </is>
      </c>
      <c r="D244" s="36">
        <f>INDEX(Branches!$C$2:$C$15,MATCH(C244,Branches!$A$2:$A$15,0))</f>
        <v/>
      </c>
      <c r="E244" s="35" t="inlineStr">
        <is>
          <t>Personal Loan</t>
        </is>
      </c>
      <c r="F244" s="37" t="n">
        <v>45895</v>
      </c>
      <c r="G244" s="38" t="n">
        <v>1450000</v>
      </c>
      <c r="H244" s="39" t="n">
        <v>0.1777</v>
      </c>
      <c r="I244" s="35" t="n">
        <v>60</v>
      </c>
      <c r="J244" s="35" t="n">
        <v>711</v>
      </c>
      <c r="K244" s="35" t="n">
        <v>0</v>
      </c>
      <c r="L244" s="40">
        <f>ROUND(PMT(H244/12,I244,-G244),0)</f>
        <v/>
      </c>
      <c r="M244" s="41">
        <f>MAX(0,(YEAR(AsOfDate)-YEAR(F244))*12+MONTH(AsOfDate)-MONTH(F244))</f>
        <v/>
      </c>
      <c r="N244" s="41">
        <f>MAX(0,MIN(I244,M244)-INT(K244/30))</f>
        <v/>
      </c>
      <c r="O244" s="40">
        <f>IF(N244&gt;=I244,0,ROUND(PV(H244/12,I244-N244,-L244),0))</f>
        <v/>
      </c>
      <c r="P244" s="40">
        <f>MIN(I244,M244)*L244-N244*L244</f>
        <v/>
      </c>
      <c r="Q244" s="41">
        <f>INDEX(DPD_Bucket,MATCH(K244,DPD_From,1))</f>
        <v/>
      </c>
      <c r="R244" s="41">
        <f>INDEX(DPD_Class,MATCH(K244,DPD_From,1))</f>
        <v/>
      </c>
      <c r="S244" s="41">
        <f>INDEX(DPD_NPA,MATCH(K244,DPD_From,1))</f>
        <v/>
      </c>
      <c r="T244" s="42">
        <f>INDEX(DPD_Prov,MATCH(K244,DPD_From,1))</f>
        <v/>
      </c>
      <c r="U244" s="40">
        <f>ROUND(O244*T244,0)</f>
        <v/>
      </c>
      <c r="V244" s="41">
        <f>INDEX(CIBIL_Grade,MATCH(J244,CIBIL_From,1))</f>
        <v/>
      </c>
      <c r="W244" s="41">
        <f>YEAR(F244)&amp;"-Q"&amp;ROUNDUP(MONTH(F244)/3,0)</f>
        <v/>
      </c>
      <c r="X244" s="41">
        <f>IF(AND(OR(Dashboard!$C$4="All",D244=Dashboard!$C$4),OR(Dashboard!$C$5="All",E244=Dashboard!$C$5)),1,0)</f>
        <v/>
      </c>
      <c r="Y244" s="43">
        <f>IF(AND(X244=1,S244="Yes"),O244+ROW()/1000000,0)</f>
        <v/>
      </c>
    </row>
    <row r="245">
      <c r="A245" s="35" t="inlineStr">
        <is>
          <t>LN100244</t>
        </is>
      </c>
      <c r="B245" s="35" t="inlineStr">
        <is>
          <t>Ananya Banerjee</t>
        </is>
      </c>
      <c r="C245" s="35" t="inlineStr">
        <is>
          <t>PUN-01</t>
        </is>
      </c>
      <c r="D245" s="36">
        <f>INDEX(Branches!$C$2:$C$15,MATCH(C245,Branches!$A$2:$A$15,0))</f>
        <v/>
      </c>
      <c r="E245" s="35" t="inlineStr">
        <is>
          <t>Auto Loan</t>
        </is>
      </c>
      <c r="F245" s="37" t="n">
        <v>45677</v>
      </c>
      <c r="G245" s="38" t="n">
        <v>582000</v>
      </c>
      <c r="H245" s="39" t="n">
        <v>0.1065</v>
      </c>
      <c r="I245" s="35" t="n">
        <v>84</v>
      </c>
      <c r="J245" s="35" t="n">
        <v>806</v>
      </c>
      <c r="K245" s="35" t="n">
        <v>0</v>
      </c>
      <c r="L245" s="40">
        <f>ROUND(PMT(H245/12,I245,-G245),0)</f>
        <v/>
      </c>
      <c r="M245" s="41">
        <f>MAX(0,(YEAR(AsOfDate)-YEAR(F245))*12+MONTH(AsOfDate)-MONTH(F245))</f>
        <v/>
      </c>
      <c r="N245" s="41">
        <f>MAX(0,MIN(I245,M245)-INT(K245/30))</f>
        <v/>
      </c>
      <c r="O245" s="40">
        <f>IF(N245&gt;=I245,0,ROUND(PV(H245/12,I245-N245,-L245),0))</f>
        <v/>
      </c>
      <c r="P245" s="40">
        <f>MIN(I245,M245)*L245-N245*L245</f>
        <v/>
      </c>
      <c r="Q245" s="41">
        <f>INDEX(DPD_Bucket,MATCH(K245,DPD_From,1))</f>
        <v/>
      </c>
      <c r="R245" s="41">
        <f>INDEX(DPD_Class,MATCH(K245,DPD_From,1))</f>
        <v/>
      </c>
      <c r="S245" s="41">
        <f>INDEX(DPD_NPA,MATCH(K245,DPD_From,1))</f>
        <v/>
      </c>
      <c r="T245" s="42">
        <f>INDEX(DPD_Prov,MATCH(K245,DPD_From,1))</f>
        <v/>
      </c>
      <c r="U245" s="40">
        <f>ROUND(O245*T245,0)</f>
        <v/>
      </c>
      <c r="V245" s="41">
        <f>INDEX(CIBIL_Grade,MATCH(J245,CIBIL_From,1))</f>
        <v/>
      </c>
      <c r="W245" s="41">
        <f>YEAR(F245)&amp;"-Q"&amp;ROUNDUP(MONTH(F245)/3,0)</f>
        <v/>
      </c>
      <c r="X245" s="41">
        <f>IF(AND(OR(Dashboard!$C$4="All",D245=Dashboard!$C$4),OR(Dashboard!$C$5="All",E245=Dashboard!$C$5)),1,0)</f>
        <v/>
      </c>
      <c r="Y245" s="43">
        <f>IF(AND(X245=1,S245="Yes"),O245+ROW()/1000000,0)</f>
        <v/>
      </c>
    </row>
    <row r="246">
      <c r="A246" s="35" t="inlineStr">
        <is>
          <t>LN100245</t>
        </is>
      </c>
      <c r="B246" s="35" t="inlineStr">
        <is>
          <t>Riya Das</t>
        </is>
      </c>
      <c r="C246" s="35" t="inlineStr">
        <is>
          <t>DEL-01</t>
        </is>
      </c>
      <c r="D246" s="36">
        <f>INDEX(Branches!$C$2:$C$15,MATCH(C246,Branches!$A$2:$A$15,0))</f>
        <v/>
      </c>
      <c r="E246" s="35" t="inlineStr">
        <is>
          <t>Personal Loan</t>
        </is>
      </c>
      <c r="F246" s="37" t="n">
        <v>45805</v>
      </c>
      <c r="G246" s="38" t="n">
        <v>1217000</v>
      </c>
      <c r="H246" s="39" t="n">
        <v>0.1673</v>
      </c>
      <c r="I246" s="35" t="n">
        <v>60</v>
      </c>
      <c r="J246" s="35" t="n">
        <v>706</v>
      </c>
      <c r="K246" s="35" t="n">
        <v>0</v>
      </c>
      <c r="L246" s="40">
        <f>ROUND(PMT(H246/12,I246,-G246),0)</f>
        <v/>
      </c>
      <c r="M246" s="41">
        <f>MAX(0,(YEAR(AsOfDate)-YEAR(F246))*12+MONTH(AsOfDate)-MONTH(F246))</f>
        <v/>
      </c>
      <c r="N246" s="41">
        <f>MAX(0,MIN(I246,M246)-INT(K246/30))</f>
        <v/>
      </c>
      <c r="O246" s="40">
        <f>IF(N246&gt;=I246,0,ROUND(PV(H246/12,I246-N246,-L246),0))</f>
        <v/>
      </c>
      <c r="P246" s="40">
        <f>MIN(I246,M246)*L246-N246*L246</f>
        <v/>
      </c>
      <c r="Q246" s="41">
        <f>INDEX(DPD_Bucket,MATCH(K246,DPD_From,1))</f>
        <v/>
      </c>
      <c r="R246" s="41">
        <f>INDEX(DPD_Class,MATCH(K246,DPD_From,1))</f>
        <v/>
      </c>
      <c r="S246" s="41">
        <f>INDEX(DPD_NPA,MATCH(K246,DPD_From,1))</f>
        <v/>
      </c>
      <c r="T246" s="42">
        <f>INDEX(DPD_Prov,MATCH(K246,DPD_From,1))</f>
        <v/>
      </c>
      <c r="U246" s="40">
        <f>ROUND(O246*T246,0)</f>
        <v/>
      </c>
      <c r="V246" s="41">
        <f>INDEX(CIBIL_Grade,MATCH(J246,CIBIL_From,1))</f>
        <v/>
      </c>
      <c r="W246" s="41">
        <f>YEAR(F246)&amp;"-Q"&amp;ROUNDUP(MONTH(F246)/3,0)</f>
        <v/>
      </c>
      <c r="X246" s="41">
        <f>IF(AND(OR(Dashboard!$C$4="All",D246=Dashboard!$C$4),OR(Dashboard!$C$5="All",E246=Dashboard!$C$5)),1,0)</f>
        <v/>
      </c>
      <c r="Y246" s="43">
        <f>IF(AND(X246=1,S246="Yes"),O246+ROW()/1000000,0)</f>
        <v/>
      </c>
    </row>
    <row r="247">
      <c r="A247" s="35" t="inlineStr">
        <is>
          <t>LN100246</t>
        </is>
      </c>
      <c r="B247" s="35" t="inlineStr">
        <is>
          <t>Diya Mohanty</t>
        </is>
      </c>
      <c r="C247" s="35" t="inlineStr">
        <is>
          <t>MUM-01</t>
        </is>
      </c>
      <c r="D247" s="36">
        <f>INDEX(Branches!$C$2:$C$15,MATCH(C247,Branches!$A$2:$A$15,0))</f>
        <v/>
      </c>
      <c r="E247" s="35" t="inlineStr">
        <is>
          <t>Home Loan</t>
        </is>
      </c>
      <c r="F247" s="37" t="n">
        <v>45151</v>
      </c>
      <c r="G247" s="38" t="n">
        <v>10563000</v>
      </c>
      <c r="H247" s="39" t="n">
        <v>0.094</v>
      </c>
      <c r="I247" s="35" t="n">
        <v>180</v>
      </c>
      <c r="J247" s="35" t="n">
        <v>671</v>
      </c>
      <c r="K247" s="35" t="n">
        <v>0</v>
      </c>
      <c r="L247" s="40">
        <f>ROUND(PMT(H247/12,I247,-G247),0)</f>
        <v/>
      </c>
      <c r="M247" s="41">
        <f>MAX(0,(YEAR(AsOfDate)-YEAR(F247))*12+MONTH(AsOfDate)-MONTH(F247))</f>
        <v/>
      </c>
      <c r="N247" s="41">
        <f>MAX(0,MIN(I247,M247)-INT(K247/30))</f>
        <v/>
      </c>
      <c r="O247" s="40">
        <f>IF(N247&gt;=I247,0,ROUND(PV(H247/12,I247-N247,-L247),0))</f>
        <v/>
      </c>
      <c r="P247" s="40">
        <f>MIN(I247,M247)*L247-N247*L247</f>
        <v/>
      </c>
      <c r="Q247" s="41">
        <f>INDEX(DPD_Bucket,MATCH(K247,DPD_From,1))</f>
        <v/>
      </c>
      <c r="R247" s="41">
        <f>INDEX(DPD_Class,MATCH(K247,DPD_From,1))</f>
        <v/>
      </c>
      <c r="S247" s="41">
        <f>INDEX(DPD_NPA,MATCH(K247,DPD_From,1))</f>
        <v/>
      </c>
      <c r="T247" s="42">
        <f>INDEX(DPD_Prov,MATCH(K247,DPD_From,1))</f>
        <v/>
      </c>
      <c r="U247" s="40">
        <f>ROUND(O247*T247,0)</f>
        <v/>
      </c>
      <c r="V247" s="41">
        <f>INDEX(CIBIL_Grade,MATCH(J247,CIBIL_From,1))</f>
        <v/>
      </c>
      <c r="W247" s="41">
        <f>YEAR(F247)&amp;"-Q"&amp;ROUNDUP(MONTH(F247)/3,0)</f>
        <v/>
      </c>
      <c r="X247" s="41">
        <f>IF(AND(OR(Dashboard!$C$4="All",D247=Dashboard!$C$4),OR(Dashboard!$C$5="All",E247=Dashboard!$C$5)),1,0)</f>
        <v/>
      </c>
      <c r="Y247" s="43">
        <f>IF(AND(X247=1,S247="Yes"),O247+ROW()/1000000,0)</f>
        <v/>
      </c>
    </row>
    <row r="248">
      <c r="A248" s="35" t="inlineStr">
        <is>
          <t>LN100247</t>
        </is>
      </c>
      <c r="B248" s="35" t="inlineStr">
        <is>
          <t>Rahul Khan</t>
        </is>
      </c>
      <c r="C248" s="35" t="inlineStr">
        <is>
          <t>LKO-01</t>
        </is>
      </c>
      <c r="D248" s="36">
        <f>INDEX(Branches!$C$2:$C$15,MATCH(C248,Branches!$A$2:$A$15,0))</f>
        <v/>
      </c>
      <c r="E248" s="35" t="inlineStr">
        <is>
          <t>Business Loan</t>
        </is>
      </c>
      <c r="F248" s="37" t="n">
        <v>45254</v>
      </c>
      <c r="G248" s="38" t="n">
        <v>665000</v>
      </c>
      <c r="H248" s="39" t="n">
        <v>0.1978</v>
      </c>
      <c r="I248" s="35" t="n">
        <v>12</v>
      </c>
      <c r="J248" s="35" t="n">
        <v>797</v>
      </c>
      <c r="K248" s="35" t="n">
        <v>0</v>
      </c>
      <c r="L248" s="40">
        <f>ROUND(PMT(H248/12,I248,-G248),0)</f>
        <v/>
      </c>
      <c r="M248" s="41">
        <f>MAX(0,(YEAR(AsOfDate)-YEAR(F248))*12+MONTH(AsOfDate)-MONTH(F248))</f>
        <v/>
      </c>
      <c r="N248" s="41">
        <f>MAX(0,MIN(I248,M248)-INT(K248/30))</f>
        <v/>
      </c>
      <c r="O248" s="40">
        <f>IF(N248&gt;=I248,0,ROUND(PV(H248/12,I248-N248,-L248),0))</f>
        <v/>
      </c>
      <c r="P248" s="40">
        <f>MIN(I248,M248)*L248-N248*L248</f>
        <v/>
      </c>
      <c r="Q248" s="41">
        <f>INDEX(DPD_Bucket,MATCH(K248,DPD_From,1))</f>
        <v/>
      </c>
      <c r="R248" s="41">
        <f>INDEX(DPD_Class,MATCH(K248,DPD_From,1))</f>
        <v/>
      </c>
      <c r="S248" s="41">
        <f>INDEX(DPD_NPA,MATCH(K248,DPD_From,1))</f>
        <v/>
      </c>
      <c r="T248" s="42">
        <f>INDEX(DPD_Prov,MATCH(K248,DPD_From,1))</f>
        <v/>
      </c>
      <c r="U248" s="40">
        <f>ROUND(O248*T248,0)</f>
        <v/>
      </c>
      <c r="V248" s="41">
        <f>INDEX(CIBIL_Grade,MATCH(J248,CIBIL_From,1))</f>
        <v/>
      </c>
      <c r="W248" s="41">
        <f>YEAR(F248)&amp;"-Q"&amp;ROUNDUP(MONTH(F248)/3,0)</f>
        <v/>
      </c>
      <c r="X248" s="41">
        <f>IF(AND(OR(Dashboard!$C$4="All",D248=Dashboard!$C$4),OR(Dashboard!$C$5="All",E248=Dashboard!$C$5)),1,0)</f>
        <v/>
      </c>
      <c r="Y248" s="43">
        <f>IF(AND(X248=1,S248="Yes"),O248+ROW()/1000000,0)</f>
        <v/>
      </c>
    </row>
    <row r="249">
      <c r="A249" s="35" t="inlineStr">
        <is>
          <t>LN100248</t>
        </is>
      </c>
      <c r="B249" s="35" t="inlineStr">
        <is>
          <t>Deepa Menon</t>
        </is>
      </c>
      <c r="C249" s="35" t="inlineStr">
        <is>
          <t>HYD-01</t>
        </is>
      </c>
      <c r="D249" s="36">
        <f>INDEX(Branches!$C$2:$C$15,MATCH(C249,Branches!$A$2:$A$15,0))</f>
        <v/>
      </c>
      <c r="E249" s="35" t="inlineStr">
        <is>
          <t>Business Loan</t>
        </is>
      </c>
      <c r="F249" s="37" t="n">
        <v>45950</v>
      </c>
      <c r="G249" s="38" t="n">
        <v>3411000</v>
      </c>
      <c r="H249" s="39" t="n">
        <v>0.1331</v>
      </c>
      <c r="I249" s="35" t="n">
        <v>12</v>
      </c>
      <c r="J249" s="35" t="n">
        <v>731</v>
      </c>
      <c r="K249" s="35" t="n">
        <v>0</v>
      </c>
      <c r="L249" s="40">
        <f>ROUND(PMT(H249/12,I249,-G249),0)</f>
        <v/>
      </c>
      <c r="M249" s="41">
        <f>MAX(0,(YEAR(AsOfDate)-YEAR(F249))*12+MONTH(AsOfDate)-MONTH(F249))</f>
        <v/>
      </c>
      <c r="N249" s="41">
        <f>MAX(0,MIN(I249,M249)-INT(K249/30))</f>
        <v/>
      </c>
      <c r="O249" s="40">
        <f>IF(N249&gt;=I249,0,ROUND(PV(H249/12,I249-N249,-L249),0))</f>
        <v/>
      </c>
      <c r="P249" s="40">
        <f>MIN(I249,M249)*L249-N249*L249</f>
        <v/>
      </c>
      <c r="Q249" s="41">
        <f>INDEX(DPD_Bucket,MATCH(K249,DPD_From,1))</f>
        <v/>
      </c>
      <c r="R249" s="41">
        <f>INDEX(DPD_Class,MATCH(K249,DPD_From,1))</f>
        <v/>
      </c>
      <c r="S249" s="41">
        <f>INDEX(DPD_NPA,MATCH(K249,DPD_From,1))</f>
        <v/>
      </c>
      <c r="T249" s="42">
        <f>INDEX(DPD_Prov,MATCH(K249,DPD_From,1))</f>
        <v/>
      </c>
      <c r="U249" s="40">
        <f>ROUND(O249*T249,0)</f>
        <v/>
      </c>
      <c r="V249" s="41">
        <f>INDEX(CIBIL_Grade,MATCH(J249,CIBIL_From,1))</f>
        <v/>
      </c>
      <c r="W249" s="41">
        <f>YEAR(F249)&amp;"-Q"&amp;ROUNDUP(MONTH(F249)/3,0)</f>
        <v/>
      </c>
      <c r="X249" s="41">
        <f>IF(AND(OR(Dashboard!$C$4="All",D249=Dashboard!$C$4),OR(Dashboard!$C$5="All",E249=Dashboard!$C$5)),1,0)</f>
        <v/>
      </c>
      <c r="Y249" s="43">
        <f>IF(AND(X249=1,S249="Yes"),O249+ROW()/1000000,0)</f>
        <v/>
      </c>
    </row>
    <row r="250">
      <c r="A250" s="35" t="inlineStr">
        <is>
          <t>LN100249</t>
        </is>
      </c>
      <c r="B250" s="35" t="inlineStr">
        <is>
          <t>Riya Mishra</t>
        </is>
      </c>
      <c r="C250" s="35" t="inlineStr">
        <is>
          <t>BBS-01</t>
        </is>
      </c>
      <c r="D250" s="36">
        <f>INDEX(Branches!$C$2:$C$15,MATCH(C250,Branches!$A$2:$A$15,0))</f>
        <v/>
      </c>
      <c r="E250" s="35" t="inlineStr">
        <is>
          <t>Gold Loan</t>
        </is>
      </c>
      <c r="F250" s="37" t="n">
        <v>45494</v>
      </c>
      <c r="G250" s="38" t="n">
        <v>275000</v>
      </c>
      <c r="H250" s="39" t="n">
        <v>0.1003</v>
      </c>
      <c r="I250" s="35" t="n">
        <v>12</v>
      </c>
      <c r="J250" s="35" t="n">
        <v>792</v>
      </c>
      <c r="K250" s="35" t="n">
        <v>0</v>
      </c>
      <c r="L250" s="40">
        <f>ROUND(PMT(H250/12,I250,-G250),0)</f>
        <v/>
      </c>
      <c r="M250" s="41">
        <f>MAX(0,(YEAR(AsOfDate)-YEAR(F250))*12+MONTH(AsOfDate)-MONTH(F250))</f>
        <v/>
      </c>
      <c r="N250" s="41">
        <f>MAX(0,MIN(I250,M250)-INT(K250/30))</f>
        <v/>
      </c>
      <c r="O250" s="40">
        <f>IF(N250&gt;=I250,0,ROUND(PV(H250/12,I250-N250,-L250),0))</f>
        <v/>
      </c>
      <c r="P250" s="40">
        <f>MIN(I250,M250)*L250-N250*L250</f>
        <v/>
      </c>
      <c r="Q250" s="41">
        <f>INDEX(DPD_Bucket,MATCH(K250,DPD_From,1))</f>
        <v/>
      </c>
      <c r="R250" s="41">
        <f>INDEX(DPD_Class,MATCH(K250,DPD_From,1))</f>
        <v/>
      </c>
      <c r="S250" s="41">
        <f>INDEX(DPD_NPA,MATCH(K250,DPD_From,1))</f>
        <v/>
      </c>
      <c r="T250" s="42">
        <f>INDEX(DPD_Prov,MATCH(K250,DPD_From,1))</f>
        <v/>
      </c>
      <c r="U250" s="40">
        <f>ROUND(O250*T250,0)</f>
        <v/>
      </c>
      <c r="V250" s="41">
        <f>INDEX(CIBIL_Grade,MATCH(J250,CIBIL_From,1))</f>
        <v/>
      </c>
      <c r="W250" s="41">
        <f>YEAR(F250)&amp;"-Q"&amp;ROUNDUP(MONTH(F250)/3,0)</f>
        <v/>
      </c>
      <c r="X250" s="41">
        <f>IF(AND(OR(Dashboard!$C$4="All",D250=Dashboard!$C$4),OR(Dashboard!$C$5="All",E250=Dashboard!$C$5)),1,0)</f>
        <v/>
      </c>
      <c r="Y250" s="43">
        <f>IF(AND(X250=1,S250="Yes"),O250+ROW()/1000000,0)</f>
        <v/>
      </c>
    </row>
    <row r="251">
      <c r="A251" s="35" t="inlineStr">
        <is>
          <t>LN100250</t>
        </is>
      </c>
      <c r="B251" s="35" t="inlineStr">
        <is>
          <t>Aditya Nair</t>
        </is>
      </c>
      <c r="C251" s="35" t="inlineStr">
        <is>
          <t>GUW-01</t>
        </is>
      </c>
      <c r="D251" s="36">
        <f>INDEX(Branches!$C$2:$C$15,MATCH(C251,Branches!$A$2:$A$15,0))</f>
        <v/>
      </c>
      <c r="E251" s="35" t="inlineStr">
        <is>
          <t>Home Loan</t>
        </is>
      </c>
      <c r="F251" s="37" t="n">
        <v>45568</v>
      </c>
      <c r="G251" s="38" t="n">
        <v>14229000</v>
      </c>
      <c r="H251" s="39" t="n">
        <v>0.08599999999999999</v>
      </c>
      <c r="I251" s="35" t="n">
        <v>120</v>
      </c>
      <c r="J251" s="35" t="n">
        <v>722</v>
      </c>
      <c r="K251" s="35" t="n">
        <v>0</v>
      </c>
      <c r="L251" s="40">
        <f>ROUND(PMT(H251/12,I251,-G251),0)</f>
        <v/>
      </c>
      <c r="M251" s="41">
        <f>MAX(0,(YEAR(AsOfDate)-YEAR(F251))*12+MONTH(AsOfDate)-MONTH(F251))</f>
        <v/>
      </c>
      <c r="N251" s="41">
        <f>MAX(0,MIN(I251,M251)-INT(K251/30))</f>
        <v/>
      </c>
      <c r="O251" s="40">
        <f>IF(N251&gt;=I251,0,ROUND(PV(H251/12,I251-N251,-L251),0))</f>
        <v/>
      </c>
      <c r="P251" s="40">
        <f>MIN(I251,M251)*L251-N251*L251</f>
        <v/>
      </c>
      <c r="Q251" s="41">
        <f>INDEX(DPD_Bucket,MATCH(K251,DPD_From,1))</f>
        <v/>
      </c>
      <c r="R251" s="41">
        <f>INDEX(DPD_Class,MATCH(K251,DPD_From,1))</f>
        <v/>
      </c>
      <c r="S251" s="41">
        <f>INDEX(DPD_NPA,MATCH(K251,DPD_From,1))</f>
        <v/>
      </c>
      <c r="T251" s="42">
        <f>INDEX(DPD_Prov,MATCH(K251,DPD_From,1))</f>
        <v/>
      </c>
      <c r="U251" s="40">
        <f>ROUND(O251*T251,0)</f>
        <v/>
      </c>
      <c r="V251" s="41">
        <f>INDEX(CIBIL_Grade,MATCH(J251,CIBIL_From,1))</f>
        <v/>
      </c>
      <c r="W251" s="41">
        <f>YEAR(F251)&amp;"-Q"&amp;ROUNDUP(MONTH(F251)/3,0)</f>
        <v/>
      </c>
      <c r="X251" s="41">
        <f>IF(AND(OR(Dashboard!$C$4="All",D251=Dashboard!$C$4),OR(Dashboard!$C$5="All",E251=Dashboard!$C$5)),1,0)</f>
        <v/>
      </c>
      <c r="Y251" s="43">
        <f>IF(AND(X251=1,S251="Yes"),O251+ROW()/1000000,0)</f>
        <v/>
      </c>
    </row>
    <row r="252">
      <c r="A252" s="35" t="inlineStr">
        <is>
          <t>LN100251</t>
        </is>
      </c>
      <c r="B252" s="35" t="inlineStr">
        <is>
          <t>Farhan Nair</t>
        </is>
      </c>
      <c r="C252" s="35" t="inlineStr">
        <is>
          <t>BLR-01</t>
        </is>
      </c>
      <c r="D252" s="36">
        <f>INDEX(Branches!$C$2:$C$15,MATCH(C252,Branches!$A$2:$A$15,0))</f>
        <v/>
      </c>
      <c r="E252" s="35" t="inlineStr">
        <is>
          <t>Auto Loan</t>
        </is>
      </c>
      <c r="F252" s="37" t="n">
        <v>45750</v>
      </c>
      <c r="G252" s="38" t="n">
        <v>1759000</v>
      </c>
      <c r="H252" s="39" t="n">
        <v>0.1091</v>
      </c>
      <c r="I252" s="35" t="n">
        <v>84</v>
      </c>
      <c r="J252" s="35" t="n">
        <v>684</v>
      </c>
      <c r="K252" s="35" t="n">
        <v>405</v>
      </c>
      <c r="L252" s="40">
        <f>ROUND(PMT(H252/12,I252,-G252),0)</f>
        <v/>
      </c>
      <c r="M252" s="41">
        <f>MAX(0,(YEAR(AsOfDate)-YEAR(F252))*12+MONTH(AsOfDate)-MONTH(F252))</f>
        <v/>
      </c>
      <c r="N252" s="41">
        <f>MAX(0,MIN(I252,M252)-INT(K252/30))</f>
        <v/>
      </c>
      <c r="O252" s="40">
        <f>IF(N252&gt;=I252,0,ROUND(PV(H252/12,I252-N252,-L252),0))</f>
        <v/>
      </c>
      <c r="P252" s="40">
        <f>MIN(I252,M252)*L252-N252*L252</f>
        <v/>
      </c>
      <c r="Q252" s="41">
        <f>INDEX(DPD_Bucket,MATCH(K252,DPD_From,1))</f>
        <v/>
      </c>
      <c r="R252" s="41">
        <f>INDEX(DPD_Class,MATCH(K252,DPD_From,1))</f>
        <v/>
      </c>
      <c r="S252" s="41">
        <f>INDEX(DPD_NPA,MATCH(K252,DPD_From,1))</f>
        <v/>
      </c>
      <c r="T252" s="42">
        <f>INDEX(DPD_Prov,MATCH(K252,DPD_From,1))</f>
        <v/>
      </c>
      <c r="U252" s="40">
        <f>ROUND(O252*T252,0)</f>
        <v/>
      </c>
      <c r="V252" s="41">
        <f>INDEX(CIBIL_Grade,MATCH(J252,CIBIL_From,1))</f>
        <v/>
      </c>
      <c r="W252" s="41">
        <f>YEAR(F252)&amp;"-Q"&amp;ROUNDUP(MONTH(F252)/3,0)</f>
        <v/>
      </c>
      <c r="X252" s="41">
        <f>IF(AND(OR(Dashboard!$C$4="All",D252=Dashboard!$C$4),OR(Dashboard!$C$5="All",E252=Dashboard!$C$5)),1,0)</f>
        <v/>
      </c>
      <c r="Y252" s="43">
        <f>IF(AND(X252=1,S252="Yes"),O252+ROW()/1000000,0)</f>
        <v/>
      </c>
    </row>
    <row r="253">
      <c r="A253" s="35" t="inlineStr">
        <is>
          <t>LN100252</t>
        </is>
      </c>
      <c r="B253" s="35" t="inlineStr">
        <is>
          <t>Rohan Patel</t>
        </is>
      </c>
      <c r="C253" s="35" t="inlineStr">
        <is>
          <t>PUN-01</t>
        </is>
      </c>
      <c r="D253" s="36">
        <f>INDEX(Branches!$C$2:$C$15,MATCH(C253,Branches!$A$2:$A$15,0))</f>
        <v/>
      </c>
      <c r="E253" s="35" t="inlineStr">
        <is>
          <t>Personal Loan</t>
        </is>
      </c>
      <c r="F253" s="37" t="n">
        <v>45674</v>
      </c>
      <c r="G253" s="38" t="n">
        <v>884000</v>
      </c>
      <c r="H253" s="39" t="n">
        <v>0.1769</v>
      </c>
      <c r="I253" s="35" t="n">
        <v>24</v>
      </c>
      <c r="J253" s="35" t="n">
        <v>728</v>
      </c>
      <c r="K253" s="35" t="n">
        <v>0</v>
      </c>
      <c r="L253" s="40">
        <f>ROUND(PMT(H253/12,I253,-G253),0)</f>
        <v/>
      </c>
      <c r="M253" s="41">
        <f>MAX(0,(YEAR(AsOfDate)-YEAR(F253))*12+MONTH(AsOfDate)-MONTH(F253))</f>
        <v/>
      </c>
      <c r="N253" s="41">
        <f>MAX(0,MIN(I253,M253)-INT(K253/30))</f>
        <v/>
      </c>
      <c r="O253" s="40">
        <f>IF(N253&gt;=I253,0,ROUND(PV(H253/12,I253-N253,-L253),0))</f>
        <v/>
      </c>
      <c r="P253" s="40">
        <f>MIN(I253,M253)*L253-N253*L253</f>
        <v/>
      </c>
      <c r="Q253" s="41">
        <f>INDEX(DPD_Bucket,MATCH(K253,DPD_From,1))</f>
        <v/>
      </c>
      <c r="R253" s="41">
        <f>INDEX(DPD_Class,MATCH(K253,DPD_From,1))</f>
        <v/>
      </c>
      <c r="S253" s="41">
        <f>INDEX(DPD_NPA,MATCH(K253,DPD_From,1))</f>
        <v/>
      </c>
      <c r="T253" s="42">
        <f>INDEX(DPD_Prov,MATCH(K253,DPD_From,1))</f>
        <v/>
      </c>
      <c r="U253" s="40">
        <f>ROUND(O253*T253,0)</f>
        <v/>
      </c>
      <c r="V253" s="41">
        <f>INDEX(CIBIL_Grade,MATCH(J253,CIBIL_From,1))</f>
        <v/>
      </c>
      <c r="W253" s="41">
        <f>YEAR(F253)&amp;"-Q"&amp;ROUNDUP(MONTH(F253)/3,0)</f>
        <v/>
      </c>
      <c r="X253" s="41">
        <f>IF(AND(OR(Dashboard!$C$4="All",D253=Dashboard!$C$4),OR(Dashboard!$C$5="All",E253=Dashboard!$C$5)),1,0)</f>
        <v/>
      </c>
      <c r="Y253" s="43">
        <f>IF(AND(X253=1,S253="Yes"),O253+ROW()/1000000,0)</f>
        <v/>
      </c>
    </row>
    <row r="254">
      <c r="A254" s="35" t="inlineStr">
        <is>
          <t>LN100253</t>
        </is>
      </c>
      <c r="B254" s="35" t="inlineStr">
        <is>
          <t>Zoya Sahoo</t>
        </is>
      </c>
      <c r="C254" s="35" t="inlineStr">
        <is>
          <t>KOC-01</t>
        </is>
      </c>
      <c r="D254" s="36">
        <f>INDEX(Branches!$C$2:$C$15,MATCH(C254,Branches!$A$2:$A$15,0))</f>
        <v/>
      </c>
      <c r="E254" s="35" t="inlineStr">
        <is>
          <t>Auto Loan</t>
        </is>
      </c>
      <c r="F254" s="37" t="n">
        <v>45796</v>
      </c>
      <c r="G254" s="38" t="n">
        <v>1119000</v>
      </c>
      <c r="H254" s="39" t="n">
        <v>0.1023</v>
      </c>
      <c r="I254" s="35" t="n">
        <v>84</v>
      </c>
      <c r="J254" s="35" t="n">
        <v>766</v>
      </c>
      <c r="K254" s="35" t="n">
        <v>0</v>
      </c>
      <c r="L254" s="40">
        <f>ROUND(PMT(H254/12,I254,-G254),0)</f>
        <v/>
      </c>
      <c r="M254" s="41">
        <f>MAX(0,(YEAR(AsOfDate)-YEAR(F254))*12+MONTH(AsOfDate)-MONTH(F254))</f>
        <v/>
      </c>
      <c r="N254" s="41">
        <f>MAX(0,MIN(I254,M254)-INT(K254/30))</f>
        <v/>
      </c>
      <c r="O254" s="40">
        <f>IF(N254&gt;=I254,0,ROUND(PV(H254/12,I254-N254,-L254),0))</f>
        <v/>
      </c>
      <c r="P254" s="40">
        <f>MIN(I254,M254)*L254-N254*L254</f>
        <v/>
      </c>
      <c r="Q254" s="41">
        <f>INDEX(DPD_Bucket,MATCH(K254,DPD_From,1))</f>
        <v/>
      </c>
      <c r="R254" s="41">
        <f>INDEX(DPD_Class,MATCH(K254,DPD_From,1))</f>
        <v/>
      </c>
      <c r="S254" s="41">
        <f>INDEX(DPD_NPA,MATCH(K254,DPD_From,1))</f>
        <v/>
      </c>
      <c r="T254" s="42">
        <f>INDEX(DPD_Prov,MATCH(K254,DPD_From,1))</f>
        <v/>
      </c>
      <c r="U254" s="40">
        <f>ROUND(O254*T254,0)</f>
        <v/>
      </c>
      <c r="V254" s="41">
        <f>INDEX(CIBIL_Grade,MATCH(J254,CIBIL_From,1))</f>
        <v/>
      </c>
      <c r="W254" s="41">
        <f>YEAR(F254)&amp;"-Q"&amp;ROUNDUP(MONTH(F254)/3,0)</f>
        <v/>
      </c>
      <c r="X254" s="41">
        <f>IF(AND(OR(Dashboard!$C$4="All",D254=Dashboard!$C$4),OR(Dashboard!$C$5="All",E254=Dashboard!$C$5)),1,0)</f>
        <v/>
      </c>
      <c r="Y254" s="43">
        <f>IF(AND(X254=1,S254="Yes"),O254+ROW()/1000000,0)</f>
        <v/>
      </c>
    </row>
    <row r="255">
      <c r="A255" s="35" t="inlineStr">
        <is>
          <t>LN100254</t>
        </is>
      </c>
      <c r="B255" s="35" t="inlineStr">
        <is>
          <t>Farhan Iyer</t>
        </is>
      </c>
      <c r="C255" s="35" t="inlineStr">
        <is>
          <t>JAI-01</t>
        </is>
      </c>
      <c r="D255" s="36">
        <f>INDEX(Branches!$C$2:$C$15,MATCH(C255,Branches!$A$2:$A$15,0))</f>
        <v/>
      </c>
      <c r="E255" s="35" t="inlineStr">
        <is>
          <t>Home Loan</t>
        </is>
      </c>
      <c r="F255" s="37" t="n">
        <v>45752</v>
      </c>
      <c r="G255" s="38" t="n">
        <v>3323000</v>
      </c>
      <c r="H255" s="39" t="n">
        <v>0.09619999999999999</v>
      </c>
      <c r="I255" s="35" t="n">
        <v>120</v>
      </c>
      <c r="J255" s="35" t="n">
        <v>809</v>
      </c>
      <c r="K255" s="35" t="n">
        <v>0</v>
      </c>
      <c r="L255" s="40">
        <f>ROUND(PMT(H255/12,I255,-G255),0)</f>
        <v/>
      </c>
      <c r="M255" s="41">
        <f>MAX(0,(YEAR(AsOfDate)-YEAR(F255))*12+MONTH(AsOfDate)-MONTH(F255))</f>
        <v/>
      </c>
      <c r="N255" s="41">
        <f>MAX(0,MIN(I255,M255)-INT(K255/30))</f>
        <v/>
      </c>
      <c r="O255" s="40">
        <f>IF(N255&gt;=I255,0,ROUND(PV(H255/12,I255-N255,-L255),0))</f>
        <v/>
      </c>
      <c r="P255" s="40">
        <f>MIN(I255,M255)*L255-N255*L255</f>
        <v/>
      </c>
      <c r="Q255" s="41">
        <f>INDEX(DPD_Bucket,MATCH(K255,DPD_From,1))</f>
        <v/>
      </c>
      <c r="R255" s="41">
        <f>INDEX(DPD_Class,MATCH(K255,DPD_From,1))</f>
        <v/>
      </c>
      <c r="S255" s="41">
        <f>INDEX(DPD_NPA,MATCH(K255,DPD_From,1))</f>
        <v/>
      </c>
      <c r="T255" s="42">
        <f>INDEX(DPD_Prov,MATCH(K255,DPD_From,1))</f>
        <v/>
      </c>
      <c r="U255" s="40">
        <f>ROUND(O255*T255,0)</f>
        <v/>
      </c>
      <c r="V255" s="41">
        <f>INDEX(CIBIL_Grade,MATCH(J255,CIBIL_From,1))</f>
        <v/>
      </c>
      <c r="W255" s="41">
        <f>YEAR(F255)&amp;"-Q"&amp;ROUNDUP(MONTH(F255)/3,0)</f>
        <v/>
      </c>
      <c r="X255" s="41">
        <f>IF(AND(OR(Dashboard!$C$4="All",D255=Dashboard!$C$4),OR(Dashboard!$C$5="All",E255=Dashboard!$C$5)),1,0)</f>
        <v/>
      </c>
      <c r="Y255" s="43">
        <f>IF(AND(X255=1,S255="Yes"),O255+ROW()/1000000,0)</f>
        <v/>
      </c>
    </row>
    <row r="256">
      <c r="A256" s="35" t="inlineStr">
        <is>
          <t>LN100255</t>
        </is>
      </c>
      <c r="B256" s="35" t="inlineStr">
        <is>
          <t>Rahul Rao</t>
        </is>
      </c>
      <c r="C256" s="35" t="inlineStr">
        <is>
          <t>JAI-01</t>
        </is>
      </c>
      <c r="D256" s="36">
        <f>INDEX(Branches!$C$2:$C$15,MATCH(C256,Branches!$A$2:$A$15,0))</f>
        <v/>
      </c>
      <c r="E256" s="35" t="inlineStr">
        <is>
          <t>Home Loan</t>
        </is>
      </c>
      <c r="F256" s="37" t="n">
        <v>45770</v>
      </c>
      <c r="G256" s="38" t="n">
        <v>7052000</v>
      </c>
      <c r="H256" s="39" t="n">
        <v>0.0895</v>
      </c>
      <c r="I256" s="35" t="n">
        <v>180</v>
      </c>
      <c r="J256" s="35" t="n">
        <v>693</v>
      </c>
      <c r="K256" s="35" t="n">
        <v>0</v>
      </c>
      <c r="L256" s="40">
        <f>ROUND(PMT(H256/12,I256,-G256),0)</f>
        <v/>
      </c>
      <c r="M256" s="41">
        <f>MAX(0,(YEAR(AsOfDate)-YEAR(F256))*12+MONTH(AsOfDate)-MONTH(F256))</f>
        <v/>
      </c>
      <c r="N256" s="41">
        <f>MAX(0,MIN(I256,M256)-INT(K256/30))</f>
        <v/>
      </c>
      <c r="O256" s="40">
        <f>IF(N256&gt;=I256,0,ROUND(PV(H256/12,I256-N256,-L256),0))</f>
        <v/>
      </c>
      <c r="P256" s="40">
        <f>MIN(I256,M256)*L256-N256*L256</f>
        <v/>
      </c>
      <c r="Q256" s="41">
        <f>INDEX(DPD_Bucket,MATCH(K256,DPD_From,1))</f>
        <v/>
      </c>
      <c r="R256" s="41">
        <f>INDEX(DPD_Class,MATCH(K256,DPD_From,1))</f>
        <v/>
      </c>
      <c r="S256" s="41">
        <f>INDEX(DPD_NPA,MATCH(K256,DPD_From,1))</f>
        <v/>
      </c>
      <c r="T256" s="42">
        <f>INDEX(DPD_Prov,MATCH(K256,DPD_From,1))</f>
        <v/>
      </c>
      <c r="U256" s="40">
        <f>ROUND(O256*T256,0)</f>
        <v/>
      </c>
      <c r="V256" s="41">
        <f>INDEX(CIBIL_Grade,MATCH(J256,CIBIL_From,1))</f>
        <v/>
      </c>
      <c r="W256" s="41">
        <f>YEAR(F256)&amp;"-Q"&amp;ROUNDUP(MONTH(F256)/3,0)</f>
        <v/>
      </c>
      <c r="X256" s="41">
        <f>IF(AND(OR(Dashboard!$C$4="All",D256=Dashboard!$C$4),OR(Dashboard!$C$5="All",E256=Dashboard!$C$5)),1,0)</f>
        <v/>
      </c>
      <c r="Y256" s="43">
        <f>IF(AND(X256=1,S256="Yes"),O256+ROW()/1000000,0)</f>
        <v/>
      </c>
    </row>
    <row r="257">
      <c r="A257" s="35" t="inlineStr">
        <is>
          <t>LN100256</t>
        </is>
      </c>
      <c r="B257" s="35" t="inlineStr">
        <is>
          <t>Tanvi Singh</t>
        </is>
      </c>
      <c r="C257" s="35" t="inlineStr">
        <is>
          <t>JAI-01</t>
        </is>
      </c>
      <c r="D257" s="36">
        <f>INDEX(Branches!$C$2:$C$15,MATCH(C257,Branches!$A$2:$A$15,0))</f>
        <v/>
      </c>
      <c r="E257" s="35" t="inlineStr">
        <is>
          <t>Home Loan</t>
        </is>
      </c>
      <c r="F257" s="37" t="n">
        <v>45236</v>
      </c>
      <c r="G257" s="38" t="n">
        <v>9672000</v>
      </c>
      <c r="H257" s="39" t="n">
        <v>0.0934</v>
      </c>
      <c r="I257" s="35" t="n">
        <v>180</v>
      </c>
      <c r="J257" s="35" t="n">
        <v>746</v>
      </c>
      <c r="K257" s="35" t="n">
        <v>0</v>
      </c>
      <c r="L257" s="40">
        <f>ROUND(PMT(H257/12,I257,-G257),0)</f>
        <v/>
      </c>
      <c r="M257" s="41">
        <f>MAX(0,(YEAR(AsOfDate)-YEAR(F257))*12+MONTH(AsOfDate)-MONTH(F257))</f>
        <v/>
      </c>
      <c r="N257" s="41">
        <f>MAX(0,MIN(I257,M257)-INT(K257/30))</f>
        <v/>
      </c>
      <c r="O257" s="40">
        <f>IF(N257&gt;=I257,0,ROUND(PV(H257/12,I257-N257,-L257),0))</f>
        <v/>
      </c>
      <c r="P257" s="40">
        <f>MIN(I257,M257)*L257-N257*L257</f>
        <v/>
      </c>
      <c r="Q257" s="41">
        <f>INDEX(DPD_Bucket,MATCH(K257,DPD_From,1))</f>
        <v/>
      </c>
      <c r="R257" s="41">
        <f>INDEX(DPD_Class,MATCH(K257,DPD_From,1))</f>
        <v/>
      </c>
      <c r="S257" s="41">
        <f>INDEX(DPD_NPA,MATCH(K257,DPD_From,1))</f>
        <v/>
      </c>
      <c r="T257" s="42">
        <f>INDEX(DPD_Prov,MATCH(K257,DPD_From,1))</f>
        <v/>
      </c>
      <c r="U257" s="40">
        <f>ROUND(O257*T257,0)</f>
        <v/>
      </c>
      <c r="V257" s="41">
        <f>INDEX(CIBIL_Grade,MATCH(J257,CIBIL_From,1))</f>
        <v/>
      </c>
      <c r="W257" s="41">
        <f>YEAR(F257)&amp;"-Q"&amp;ROUNDUP(MONTH(F257)/3,0)</f>
        <v/>
      </c>
      <c r="X257" s="41">
        <f>IF(AND(OR(Dashboard!$C$4="All",D257=Dashboard!$C$4),OR(Dashboard!$C$5="All",E257=Dashboard!$C$5)),1,0)</f>
        <v/>
      </c>
      <c r="Y257" s="43">
        <f>IF(AND(X257=1,S257="Yes"),O257+ROW()/1000000,0)</f>
        <v/>
      </c>
    </row>
    <row r="258">
      <c r="A258" s="35" t="inlineStr">
        <is>
          <t>LN100257</t>
        </is>
      </c>
      <c r="B258" s="35" t="inlineStr">
        <is>
          <t>Kavya Khan</t>
        </is>
      </c>
      <c r="C258" s="35" t="inlineStr">
        <is>
          <t>JAI-01</t>
        </is>
      </c>
      <c r="D258" s="36">
        <f>INDEX(Branches!$C$2:$C$15,MATCH(C258,Branches!$A$2:$A$15,0))</f>
        <v/>
      </c>
      <c r="E258" s="35" t="inlineStr">
        <is>
          <t>Auto Loan</t>
        </is>
      </c>
      <c r="F258" s="37" t="n">
        <v>45548</v>
      </c>
      <c r="G258" s="38" t="n">
        <v>621000</v>
      </c>
      <c r="H258" s="39" t="n">
        <v>0.1009</v>
      </c>
      <c r="I258" s="35" t="n">
        <v>48</v>
      </c>
      <c r="J258" s="35" t="n">
        <v>774</v>
      </c>
      <c r="K258" s="35" t="n">
        <v>0</v>
      </c>
      <c r="L258" s="40">
        <f>ROUND(PMT(H258/12,I258,-G258),0)</f>
        <v/>
      </c>
      <c r="M258" s="41">
        <f>MAX(0,(YEAR(AsOfDate)-YEAR(F258))*12+MONTH(AsOfDate)-MONTH(F258))</f>
        <v/>
      </c>
      <c r="N258" s="41">
        <f>MAX(0,MIN(I258,M258)-INT(K258/30))</f>
        <v/>
      </c>
      <c r="O258" s="40">
        <f>IF(N258&gt;=I258,0,ROUND(PV(H258/12,I258-N258,-L258),0))</f>
        <v/>
      </c>
      <c r="P258" s="40">
        <f>MIN(I258,M258)*L258-N258*L258</f>
        <v/>
      </c>
      <c r="Q258" s="41">
        <f>INDEX(DPD_Bucket,MATCH(K258,DPD_From,1))</f>
        <v/>
      </c>
      <c r="R258" s="41">
        <f>INDEX(DPD_Class,MATCH(K258,DPD_From,1))</f>
        <v/>
      </c>
      <c r="S258" s="41">
        <f>INDEX(DPD_NPA,MATCH(K258,DPD_From,1))</f>
        <v/>
      </c>
      <c r="T258" s="42">
        <f>INDEX(DPD_Prov,MATCH(K258,DPD_From,1))</f>
        <v/>
      </c>
      <c r="U258" s="40">
        <f>ROUND(O258*T258,0)</f>
        <v/>
      </c>
      <c r="V258" s="41">
        <f>INDEX(CIBIL_Grade,MATCH(J258,CIBIL_From,1))</f>
        <v/>
      </c>
      <c r="W258" s="41">
        <f>YEAR(F258)&amp;"-Q"&amp;ROUNDUP(MONTH(F258)/3,0)</f>
        <v/>
      </c>
      <c r="X258" s="41">
        <f>IF(AND(OR(Dashboard!$C$4="All",D258=Dashboard!$C$4),OR(Dashboard!$C$5="All",E258=Dashboard!$C$5)),1,0)</f>
        <v/>
      </c>
      <c r="Y258" s="43">
        <f>IF(AND(X258=1,S258="Yes"),O258+ROW()/1000000,0)</f>
        <v/>
      </c>
    </row>
    <row r="259">
      <c r="A259" s="35" t="inlineStr">
        <is>
          <t>LN100258</t>
        </is>
      </c>
      <c r="B259" s="35" t="inlineStr">
        <is>
          <t>Pooja Singh</t>
        </is>
      </c>
      <c r="C259" s="35" t="inlineStr">
        <is>
          <t>HYD-01</t>
        </is>
      </c>
      <c r="D259" s="36">
        <f>INDEX(Branches!$C$2:$C$15,MATCH(C259,Branches!$A$2:$A$15,0))</f>
        <v/>
      </c>
      <c r="E259" s="35" t="inlineStr">
        <is>
          <t>Home Loan</t>
        </is>
      </c>
      <c r="F259" s="37" t="n">
        <v>45819</v>
      </c>
      <c r="G259" s="38" t="n">
        <v>4432000</v>
      </c>
      <c r="H259" s="39" t="n">
        <v>0.0958</v>
      </c>
      <c r="I259" s="35" t="n">
        <v>240</v>
      </c>
      <c r="J259" s="35" t="n">
        <v>770</v>
      </c>
      <c r="K259" s="35" t="n">
        <v>0</v>
      </c>
      <c r="L259" s="40">
        <f>ROUND(PMT(H259/12,I259,-G259),0)</f>
        <v/>
      </c>
      <c r="M259" s="41">
        <f>MAX(0,(YEAR(AsOfDate)-YEAR(F259))*12+MONTH(AsOfDate)-MONTH(F259))</f>
        <v/>
      </c>
      <c r="N259" s="41">
        <f>MAX(0,MIN(I259,M259)-INT(K259/30))</f>
        <v/>
      </c>
      <c r="O259" s="40">
        <f>IF(N259&gt;=I259,0,ROUND(PV(H259/12,I259-N259,-L259),0))</f>
        <v/>
      </c>
      <c r="P259" s="40">
        <f>MIN(I259,M259)*L259-N259*L259</f>
        <v/>
      </c>
      <c r="Q259" s="41">
        <f>INDEX(DPD_Bucket,MATCH(K259,DPD_From,1))</f>
        <v/>
      </c>
      <c r="R259" s="41">
        <f>INDEX(DPD_Class,MATCH(K259,DPD_From,1))</f>
        <v/>
      </c>
      <c r="S259" s="41">
        <f>INDEX(DPD_NPA,MATCH(K259,DPD_From,1))</f>
        <v/>
      </c>
      <c r="T259" s="42">
        <f>INDEX(DPD_Prov,MATCH(K259,DPD_From,1))</f>
        <v/>
      </c>
      <c r="U259" s="40">
        <f>ROUND(O259*T259,0)</f>
        <v/>
      </c>
      <c r="V259" s="41">
        <f>INDEX(CIBIL_Grade,MATCH(J259,CIBIL_From,1))</f>
        <v/>
      </c>
      <c r="W259" s="41">
        <f>YEAR(F259)&amp;"-Q"&amp;ROUNDUP(MONTH(F259)/3,0)</f>
        <v/>
      </c>
      <c r="X259" s="41">
        <f>IF(AND(OR(Dashboard!$C$4="All",D259=Dashboard!$C$4),OR(Dashboard!$C$5="All",E259=Dashboard!$C$5)),1,0)</f>
        <v/>
      </c>
      <c r="Y259" s="43">
        <f>IF(AND(X259=1,S259="Yes"),O259+ROW()/1000000,0)</f>
        <v/>
      </c>
    </row>
    <row r="260">
      <c r="A260" s="35" t="inlineStr">
        <is>
          <t>LN100259</t>
        </is>
      </c>
      <c r="B260" s="35" t="inlineStr">
        <is>
          <t>Rohan Chatterjee</t>
        </is>
      </c>
      <c r="C260" s="35" t="inlineStr">
        <is>
          <t>KOL-01</t>
        </is>
      </c>
      <c r="D260" s="36">
        <f>INDEX(Branches!$C$2:$C$15,MATCH(C260,Branches!$A$2:$A$15,0))</f>
        <v/>
      </c>
      <c r="E260" s="35" t="inlineStr">
        <is>
          <t>Personal Loan</t>
        </is>
      </c>
      <c r="F260" s="37" t="n">
        <v>46154</v>
      </c>
      <c r="G260" s="38" t="n">
        <v>793000</v>
      </c>
      <c r="H260" s="39" t="n">
        <v>0.1564</v>
      </c>
      <c r="I260" s="35" t="n">
        <v>36</v>
      </c>
      <c r="J260" s="35" t="n">
        <v>698</v>
      </c>
      <c r="K260" s="35" t="n">
        <v>0</v>
      </c>
      <c r="L260" s="40">
        <f>ROUND(PMT(H260/12,I260,-G260),0)</f>
        <v/>
      </c>
      <c r="M260" s="41">
        <f>MAX(0,(YEAR(AsOfDate)-YEAR(F260))*12+MONTH(AsOfDate)-MONTH(F260))</f>
        <v/>
      </c>
      <c r="N260" s="41">
        <f>MAX(0,MIN(I260,M260)-INT(K260/30))</f>
        <v/>
      </c>
      <c r="O260" s="40">
        <f>IF(N260&gt;=I260,0,ROUND(PV(H260/12,I260-N260,-L260),0))</f>
        <v/>
      </c>
      <c r="P260" s="40">
        <f>MIN(I260,M260)*L260-N260*L260</f>
        <v/>
      </c>
      <c r="Q260" s="41">
        <f>INDEX(DPD_Bucket,MATCH(K260,DPD_From,1))</f>
        <v/>
      </c>
      <c r="R260" s="41">
        <f>INDEX(DPD_Class,MATCH(K260,DPD_From,1))</f>
        <v/>
      </c>
      <c r="S260" s="41">
        <f>INDEX(DPD_NPA,MATCH(K260,DPD_From,1))</f>
        <v/>
      </c>
      <c r="T260" s="42">
        <f>INDEX(DPD_Prov,MATCH(K260,DPD_From,1))</f>
        <v/>
      </c>
      <c r="U260" s="40">
        <f>ROUND(O260*T260,0)</f>
        <v/>
      </c>
      <c r="V260" s="41">
        <f>INDEX(CIBIL_Grade,MATCH(J260,CIBIL_From,1))</f>
        <v/>
      </c>
      <c r="W260" s="41">
        <f>YEAR(F260)&amp;"-Q"&amp;ROUNDUP(MONTH(F260)/3,0)</f>
        <v/>
      </c>
      <c r="X260" s="41">
        <f>IF(AND(OR(Dashboard!$C$4="All",D260=Dashboard!$C$4),OR(Dashboard!$C$5="All",E260=Dashboard!$C$5)),1,0)</f>
        <v/>
      </c>
      <c r="Y260" s="43">
        <f>IF(AND(X260=1,S260="Yes"),O260+ROW()/1000000,0)</f>
        <v/>
      </c>
    </row>
    <row r="261">
      <c r="A261" s="35" t="inlineStr">
        <is>
          <t>LN100260</t>
        </is>
      </c>
      <c r="B261" s="35" t="inlineStr">
        <is>
          <t>Karthik Sharma</t>
        </is>
      </c>
      <c r="C261" s="35" t="inlineStr">
        <is>
          <t>PAT-01</t>
        </is>
      </c>
      <c r="D261" s="36">
        <f>INDEX(Branches!$C$2:$C$15,MATCH(C261,Branches!$A$2:$A$15,0))</f>
        <v/>
      </c>
      <c r="E261" s="35" t="inlineStr">
        <is>
          <t>Auto Loan</t>
        </is>
      </c>
      <c r="F261" s="37" t="n">
        <v>45173</v>
      </c>
      <c r="G261" s="38" t="n">
        <v>1618000</v>
      </c>
      <c r="H261" s="39" t="n">
        <v>0.09810000000000001</v>
      </c>
      <c r="I261" s="35" t="n">
        <v>84</v>
      </c>
      <c r="J261" s="35" t="n">
        <v>738</v>
      </c>
      <c r="K261" s="35" t="n">
        <v>0</v>
      </c>
      <c r="L261" s="40">
        <f>ROUND(PMT(H261/12,I261,-G261),0)</f>
        <v/>
      </c>
      <c r="M261" s="41">
        <f>MAX(0,(YEAR(AsOfDate)-YEAR(F261))*12+MONTH(AsOfDate)-MONTH(F261))</f>
        <v/>
      </c>
      <c r="N261" s="41">
        <f>MAX(0,MIN(I261,M261)-INT(K261/30))</f>
        <v/>
      </c>
      <c r="O261" s="40">
        <f>IF(N261&gt;=I261,0,ROUND(PV(H261/12,I261-N261,-L261),0))</f>
        <v/>
      </c>
      <c r="P261" s="40">
        <f>MIN(I261,M261)*L261-N261*L261</f>
        <v/>
      </c>
      <c r="Q261" s="41">
        <f>INDEX(DPD_Bucket,MATCH(K261,DPD_From,1))</f>
        <v/>
      </c>
      <c r="R261" s="41">
        <f>INDEX(DPD_Class,MATCH(K261,DPD_From,1))</f>
        <v/>
      </c>
      <c r="S261" s="41">
        <f>INDEX(DPD_NPA,MATCH(K261,DPD_From,1))</f>
        <v/>
      </c>
      <c r="T261" s="42">
        <f>INDEX(DPD_Prov,MATCH(K261,DPD_From,1))</f>
        <v/>
      </c>
      <c r="U261" s="40">
        <f>ROUND(O261*T261,0)</f>
        <v/>
      </c>
      <c r="V261" s="41">
        <f>INDEX(CIBIL_Grade,MATCH(J261,CIBIL_From,1))</f>
        <v/>
      </c>
      <c r="W261" s="41">
        <f>YEAR(F261)&amp;"-Q"&amp;ROUNDUP(MONTH(F261)/3,0)</f>
        <v/>
      </c>
      <c r="X261" s="41">
        <f>IF(AND(OR(Dashboard!$C$4="All",D261=Dashboard!$C$4),OR(Dashboard!$C$5="All",E261=Dashboard!$C$5)),1,0)</f>
        <v/>
      </c>
      <c r="Y261" s="43">
        <f>IF(AND(X261=1,S261="Yes"),O261+ROW()/1000000,0)</f>
        <v/>
      </c>
    </row>
    <row r="262">
      <c r="A262" s="35" t="inlineStr">
        <is>
          <t>LN100261</t>
        </is>
      </c>
      <c r="B262" s="35" t="inlineStr">
        <is>
          <t>Pooja Kulkarni</t>
        </is>
      </c>
      <c r="C262" s="35" t="inlineStr">
        <is>
          <t>LKO-01</t>
        </is>
      </c>
      <c r="D262" s="36">
        <f>INDEX(Branches!$C$2:$C$15,MATCH(C262,Branches!$A$2:$A$15,0))</f>
        <v/>
      </c>
      <c r="E262" s="35" t="inlineStr">
        <is>
          <t>Auto Loan</t>
        </is>
      </c>
      <c r="F262" s="37" t="n">
        <v>45829</v>
      </c>
      <c r="G262" s="38" t="n">
        <v>581000</v>
      </c>
      <c r="H262" s="39" t="n">
        <v>0.0925</v>
      </c>
      <c r="I262" s="35" t="n">
        <v>60</v>
      </c>
      <c r="J262" s="35" t="n">
        <v>748</v>
      </c>
      <c r="K262" s="35" t="n">
        <v>0</v>
      </c>
      <c r="L262" s="40">
        <f>ROUND(PMT(H262/12,I262,-G262),0)</f>
        <v/>
      </c>
      <c r="M262" s="41">
        <f>MAX(0,(YEAR(AsOfDate)-YEAR(F262))*12+MONTH(AsOfDate)-MONTH(F262))</f>
        <v/>
      </c>
      <c r="N262" s="41">
        <f>MAX(0,MIN(I262,M262)-INT(K262/30))</f>
        <v/>
      </c>
      <c r="O262" s="40">
        <f>IF(N262&gt;=I262,0,ROUND(PV(H262/12,I262-N262,-L262),0))</f>
        <v/>
      </c>
      <c r="P262" s="40">
        <f>MIN(I262,M262)*L262-N262*L262</f>
        <v/>
      </c>
      <c r="Q262" s="41">
        <f>INDEX(DPD_Bucket,MATCH(K262,DPD_From,1))</f>
        <v/>
      </c>
      <c r="R262" s="41">
        <f>INDEX(DPD_Class,MATCH(K262,DPD_From,1))</f>
        <v/>
      </c>
      <c r="S262" s="41">
        <f>INDEX(DPD_NPA,MATCH(K262,DPD_From,1))</f>
        <v/>
      </c>
      <c r="T262" s="42">
        <f>INDEX(DPD_Prov,MATCH(K262,DPD_From,1))</f>
        <v/>
      </c>
      <c r="U262" s="40">
        <f>ROUND(O262*T262,0)</f>
        <v/>
      </c>
      <c r="V262" s="41">
        <f>INDEX(CIBIL_Grade,MATCH(J262,CIBIL_From,1))</f>
        <v/>
      </c>
      <c r="W262" s="41">
        <f>YEAR(F262)&amp;"-Q"&amp;ROUNDUP(MONTH(F262)/3,0)</f>
        <v/>
      </c>
      <c r="X262" s="41">
        <f>IF(AND(OR(Dashboard!$C$4="All",D262=Dashboard!$C$4),OR(Dashboard!$C$5="All",E262=Dashboard!$C$5)),1,0)</f>
        <v/>
      </c>
      <c r="Y262" s="43">
        <f>IF(AND(X262=1,S262="Yes"),O262+ROW()/1000000,0)</f>
        <v/>
      </c>
    </row>
    <row r="263">
      <c r="A263" s="35" t="inlineStr">
        <is>
          <t>LN100262</t>
        </is>
      </c>
      <c r="B263" s="35" t="inlineStr">
        <is>
          <t>Riya Kulkarni</t>
        </is>
      </c>
      <c r="C263" s="35" t="inlineStr">
        <is>
          <t>KOC-01</t>
        </is>
      </c>
      <c r="D263" s="36">
        <f>INDEX(Branches!$C$2:$C$15,MATCH(C263,Branches!$A$2:$A$15,0))</f>
        <v/>
      </c>
      <c r="E263" s="35" t="inlineStr">
        <is>
          <t>Business Loan</t>
        </is>
      </c>
      <c r="F263" s="37" t="n">
        <v>46088</v>
      </c>
      <c r="G263" s="38" t="n">
        <v>4954000</v>
      </c>
      <c r="H263" s="39" t="n">
        <v>0.1372</v>
      </c>
      <c r="I263" s="35" t="n">
        <v>36</v>
      </c>
      <c r="J263" s="35" t="n">
        <v>665</v>
      </c>
      <c r="K263" s="35" t="n">
        <v>0</v>
      </c>
      <c r="L263" s="40">
        <f>ROUND(PMT(H263/12,I263,-G263),0)</f>
        <v/>
      </c>
      <c r="M263" s="41">
        <f>MAX(0,(YEAR(AsOfDate)-YEAR(F263))*12+MONTH(AsOfDate)-MONTH(F263))</f>
        <v/>
      </c>
      <c r="N263" s="41">
        <f>MAX(0,MIN(I263,M263)-INT(K263/30))</f>
        <v/>
      </c>
      <c r="O263" s="40">
        <f>IF(N263&gt;=I263,0,ROUND(PV(H263/12,I263-N263,-L263),0))</f>
        <v/>
      </c>
      <c r="P263" s="40">
        <f>MIN(I263,M263)*L263-N263*L263</f>
        <v/>
      </c>
      <c r="Q263" s="41">
        <f>INDEX(DPD_Bucket,MATCH(K263,DPD_From,1))</f>
        <v/>
      </c>
      <c r="R263" s="41">
        <f>INDEX(DPD_Class,MATCH(K263,DPD_From,1))</f>
        <v/>
      </c>
      <c r="S263" s="41">
        <f>INDEX(DPD_NPA,MATCH(K263,DPD_From,1))</f>
        <v/>
      </c>
      <c r="T263" s="42">
        <f>INDEX(DPD_Prov,MATCH(K263,DPD_From,1))</f>
        <v/>
      </c>
      <c r="U263" s="40">
        <f>ROUND(O263*T263,0)</f>
        <v/>
      </c>
      <c r="V263" s="41">
        <f>INDEX(CIBIL_Grade,MATCH(J263,CIBIL_From,1))</f>
        <v/>
      </c>
      <c r="W263" s="41">
        <f>YEAR(F263)&amp;"-Q"&amp;ROUNDUP(MONTH(F263)/3,0)</f>
        <v/>
      </c>
      <c r="X263" s="41">
        <f>IF(AND(OR(Dashboard!$C$4="All",D263=Dashboard!$C$4),OR(Dashboard!$C$5="All",E263=Dashboard!$C$5)),1,0)</f>
        <v/>
      </c>
      <c r="Y263" s="43">
        <f>IF(AND(X263=1,S263="Yes"),O263+ROW()/1000000,0)</f>
        <v/>
      </c>
    </row>
    <row r="264">
      <c r="A264" s="35" t="inlineStr">
        <is>
          <t>LN100263</t>
        </is>
      </c>
      <c r="B264" s="35" t="inlineStr">
        <is>
          <t>Gaurav Iyer</t>
        </is>
      </c>
      <c r="C264" s="35" t="inlineStr">
        <is>
          <t>DEL-01</t>
        </is>
      </c>
      <c r="D264" s="36">
        <f>INDEX(Branches!$C$2:$C$15,MATCH(C264,Branches!$A$2:$A$15,0))</f>
        <v/>
      </c>
      <c r="E264" s="35" t="inlineStr">
        <is>
          <t>Business Loan</t>
        </is>
      </c>
      <c r="F264" s="37" t="n">
        <v>45564</v>
      </c>
      <c r="G264" s="38" t="n">
        <v>4394000</v>
      </c>
      <c r="H264" s="39" t="n">
        <v>0.1382</v>
      </c>
      <c r="I264" s="35" t="n">
        <v>24</v>
      </c>
      <c r="J264" s="35" t="n">
        <v>744</v>
      </c>
      <c r="K264" s="35" t="n">
        <v>0</v>
      </c>
      <c r="L264" s="40">
        <f>ROUND(PMT(H264/12,I264,-G264),0)</f>
        <v/>
      </c>
      <c r="M264" s="41">
        <f>MAX(0,(YEAR(AsOfDate)-YEAR(F264))*12+MONTH(AsOfDate)-MONTH(F264))</f>
        <v/>
      </c>
      <c r="N264" s="41">
        <f>MAX(0,MIN(I264,M264)-INT(K264/30))</f>
        <v/>
      </c>
      <c r="O264" s="40">
        <f>IF(N264&gt;=I264,0,ROUND(PV(H264/12,I264-N264,-L264),0))</f>
        <v/>
      </c>
      <c r="P264" s="40">
        <f>MIN(I264,M264)*L264-N264*L264</f>
        <v/>
      </c>
      <c r="Q264" s="41">
        <f>INDEX(DPD_Bucket,MATCH(K264,DPD_From,1))</f>
        <v/>
      </c>
      <c r="R264" s="41">
        <f>INDEX(DPD_Class,MATCH(K264,DPD_From,1))</f>
        <v/>
      </c>
      <c r="S264" s="41">
        <f>INDEX(DPD_NPA,MATCH(K264,DPD_From,1))</f>
        <v/>
      </c>
      <c r="T264" s="42">
        <f>INDEX(DPD_Prov,MATCH(K264,DPD_From,1))</f>
        <v/>
      </c>
      <c r="U264" s="40">
        <f>ROUND(O264*T264,0)</f>
        <v/>
      </c>
      <c r="V264" s="41">
        <f>INDEX(CIBIL_Grade,MATCH(J264,CIBIL_From,1))</f>
        <v/>
      </c>
      <c r="W264" s="41">
        <f>YEAR(F264)&amp;"-Q"&amp;ROUNDUP(MONTH(F264)/3,0)</f>
        <v/>
      </c>
      <c r="X264" s="41">
        <f>IF(AND(OR(Dashboard!$C$4="All",D264=Dashboard!$C$4),OR(Dashboard!$C$5="All",E264=Dashboard!$C$5)),1,0)</f>
        <v/>
      </c>
      <c r="Y264" s="43">
        <f>IF(AND(X264=1,S264="Yes"),O264+ROW()/1000000,0)</f>
        <v/>
      </c>
    </row>
    <row r="265">
      <c r="A265" s="35" t="inlineStr">
        <is>
          <t>LN100264</t>
        </is>
      </c>
      <c r="B265" s="35" t="inlineStr">
        <is>
          <t>Suresh Khan</t>
        </is>
      </c>
      <c r="C265" s="35" t="inlineStr">
        <is>
          <t>HYD-01</t>
        </is>
      </c>
      <c r="D265" s="36">
        <f>INDEX(Branches!$C$2:$C$15,MATCH(C265,Branches!$A$2:$A$15,0))</f>
        <v/>
      </c>
      <c r="E265" s="35" t="inlineStr">
        <is>
          <t>Business Loan</t>
        </is>
      </c>
      <c r="F265" s="37" t="n">
        <v>45455</v>
      </c>
      <c r="G265" s="38" t="n">
        <v>3273000</v>
      </c>
      <c r="H265" s="39" t="n">
        <v>0.1849</v>
      </c>
      <c r="I265" s="35" t="n">
        <v>24</v>
      </c>
      <c r="J265" s="35" t="n">
        <v>725</v>
      </c>
      <c r="K265" s="35" t="n">
        <v>0</v>
      </c>
      <c r="L265" s="40">
        <f>ROUND(PMT(H265/12,I265,-G265),0)</f>
        <v/>
      </c>
      <c r="M265" s="41">
        <f>MAX(0,(YEAR(AsOfDate)-YEAR(F265))*12+MONTH(AsOfDate)-MONTH(F265))</f>
        <v/>
      </c>
      <c r="N265" s="41">
        <f>MAX(0,MIN(I265,M265)-INT(K265/30))</f>
        <v/>
      </c>
      <c r="O265" s="40">
        <f>IF(N265&gt;=I265,0,ROUND(PV(H265/12,I265-N265,-L265),0))</f>
        <v/>
      </c>
      <c r="P265" s="40">
        <f>MIN(I265,M265)*L265-N265*L265</f>
        <v/>
      </c>
      <c r="Q265" s="41">
        <f>INDEX(DPD_Bucket,MATCH(K265,DPD_From,1))</f>
        <v/>
      </c>
      <c r="R265" s="41">
        <f>INDEX(DPD_Class,MATCH(K265,DPD_From,1))</f>
        <v/>
      </c>
      <c r="S265" s="41">
        <f>INDEX(DPD_NPA,MATCH(K265,DPD_From,1))</f>
        <v/>
      </c>
      <c r="T265" s="42">
        <f>INDEX(DPD_Prov,MATCH(K265,DPD_From,1))</f>
        <v/>
      </c>
      <c r="U265" s="40">
        <f>ROUND(O265*T265,0)</f>
        <v/>
      </c>
      <c r="V265" s="41">
        <f>INDEX(CIBIL_Grade,MATCH(J265,CIBIL_From,1))</f>
        <v/>
      </c>
      <c r="W265" s="41">
        <f>YEAR(F265)&amp;"-Q"&amp;ROUNDUP(MONTH(F265)/3,0)</f>
        <v/>
      </c>
      <c r="X265" s="41">
        <f>IF(AND(OR(Dashboard!$C$4="All",D265=Dashboard!$C$4),OR(Dashboard!$C$5="All",E265=Dashboard!$C$5)),1,0)</f>
        <v/>
      </c>
      <c r="Y265" s="43">
        <f>IF(AND(X265=1,S265="Yes"),O265+ROW()/1000000,0)</f>
        <v/>
      </c>
    </row>
    <row r="266">
      <c r="A266" s="35" t="inlineStr">
        <is>
          <t>LN100265</t>
        </is>
      </c>
      <c r="B266" s="35" t="inlineStr">
        <is>
          <t>Manish Khan</t>
        </is>
      </c>
      <c r="C266" s="35" t="inlineStr">
        <is>
          <t>BLR-01</t>
        </is>
      </c>
      <c r="D266" s="36">
        <f>INDEX(Branches!$C$2:$C$15,MATCH(C266,Branches!$A$2:$A$15,0))</f>
        <v/>
      </c>
      <c r="E266" s="35" t="inlineStr">
        <is>
          <t>Business Loan</t>
        </is>
      </c>
      <c r="F266" s="37" t="n">
        <v>45455</v>
      </c>
      <c r="G266" s="38" t="n">
        <v>4966000</v>
      </c>
      <c r="H266" s="39" t="n">
        <v>0.1907</v>
      </c>
      <c r="I266" s="35" t="n">
        <v>12</v>
      </c>
      <c r="J266" s="35" t="n">
        <v>662</v>
      </c>
      <c r="K266" s="35" t="n">
        <v>0</v>
      </c>
      <c r="L266" s="40">
        <f>ROUND(PMT(H266/12,I266,-G266),0)</f>
        <v/>
      </c>
      <c r="M266" s="41">
        <f>MAX(0,(YEAR(AsOfDate)-YEAR(F266))*12+MONTH(AsOfDate)-MONTH(F266))</f>
        <v/>
      </c>
      <c r="N266" s="41">
        <f>MAX(0,MIN(I266,M266)-INT(K266/30))</f>
        <v/>
      </c>
      <c r="O266" s="40">
        <f>IF(N266&gt;=I266,0,ROUND(PV(H266/12,I266-N266,-L266),0))</f>
        <v/>
      </c>
      <c r="P266" s="40">
        <f>MIN(I266,M266)*L266-N266*L266</f>
        <v/>
      </c>
      <c r="Q266" s="41">
        <f>INDEX(DPD_Bucket,MATCH(K266,DPD_From,1))</f>
        <v/>
      </c>
      <c r="R266" s="41">
        <f>INDEX(DPD_Class,MATCH(K266,DPD_From,1))</f>
        <v/>
      </c>
      <c r="S266" s="41">
        <f>INDEX(DPD_NPA,MATCH(K266,DPD_From,1))</f>
        <v/>
      </c>
      <c r="T266" s="42">
        <f>INDEX(DPD_Prov,MATCH(K266,DPD_From,1))</f>
        <v/>
      </c>
      <c r="U266" s="40">
        <f>ROUND(O266*T266,0)</f>
        <v/>
      </c>
      <c r="V266" s="41">
        <f>INDEX(CIBIL_Grade,MATCH(J266,CIBIL_From,1))</f>
        <v/>
      </c>
      <c r="W266" s="41">
        <f>YEAR(F266)&amp;"-Q"&amp;ROUNDUP(MONTH(F266)/3,0)</f>
        <v/>
      </c>
      <c r="X266" s="41">
        <f>IF(AND(OR(Dashboard!$C$4="All",D266=Dashboard!$C$4),OR(Dashboard!$C$5="All",E266=Dashboard!$C$5)),1,0)</f>
        <v/>
      </c>
      <c r="Y266" s="43">
        <f>IF(AND(X266=1,S266="Yes"),O266+ROW()/1000000,0)</f>
        <v/>
      </c>
    </row>
    <row r="267">
      <c r="A267" s="35" t="inlineStr">
        <is>
          <t>LN100266</t>
        </is>
      </c>
      <c r="B267" s="35" t="inlineStr">
        <is>
          <t>Priya Mohanty</t>
        </is>
      </c>
      <c r="C267" s="35" t="inlineStr">
        <is>
          <t>PAT-01</t>
        </is>
      </c>
      <c r="D267" s="36">
        <f>INDEX(Branches!$C$2:$C$15,MATCH(C267,Branches!$A$2:$A$15,0))</f>
        <v/>
      </c>
      <c r="E267" s="35" t="inlineStr">
        <is>
          <t>Home Loan</t>
        </is>
      </c>
      <c r="F267" s="37" t="n">
        <v>45662</v>
      </c>
      <c r="G267" s="38" t="n">
        <v>12966000</v>
      </c>
      <c r="H267" s="39" t="n">
        <v>0.0895</v>
      </c>
      <c r="I267" s="35" t="n">
        <v>120</v>
      </c>
      <c r="J267" s="35" t="n">
        <v>720</v>
      </c>
      <c r="K267" s="35" t="n">
        <v>0</v>
      </c>
      <c r="L267" s="40">
        <f>ROUND(PMT(H267/12,I267,-G267),0)</f>
        <v/>
      </c>
      <c r="M267" s="41">
        <f>MAX(0,(YEAR(AsOfDate)-YEAR(F267))*12+MONTH(AsOfDate)-MONTH(F267))</f>
        <v/>
      </c>
      <c r="N267" s="41">
        <f>MAX(0,MIN(I267,M267)-INT(K267/30))</f>
        <v/>
      </c>
      <c r="O267" s="40">
        <f>IF(N267&gt;=I267,0,ROUND(PV(H267/12,I267-N267,-L267),0))</f>
        <v/>
      </c>
      <c r="P267" s="40">
        <f>MIN(I267,M267)*L267-N267*L267</f>
        <v/>
      </c>
      <c r="Q267" s="41">
        <f>INDEX(DPD_Bucket,MATCH(K267,DPD_From,1))</f>
        <v/>
      </c>
      <c r="R267" s="41">
        <f>INDEX(DPD_Class,MATCH(K267,DPD_From,1))</f>
        <v/>
      </c>
      <c r="S267" s="41">
        <f>INDEX(DPD_NPA,MATCH(K267,DPD_From,1))</f>
        <v/>
      </c>
      <c r="T267" s="42">
        <f>INDEX(DPD_Prov,MATCH(K267,DPD_From,1))</f>
        <v/>
      </c>
      <c r="U267" s="40">
        <f>ROUND(O267*T267,0)</f>
        <v/>
      </c>
      <c r="V267" s="41">
        <f>INDEX(CIBIL_Grade,MATCH(J267,CIBIL_From,1))</f>
        <v/>
      </c>
      <c r="W267" s="41">
        <f>YEAR(F267)&amp;"-Q"&amp;ROUNDUP(MONTH(F267)/3,0)</f>
        <v/>
      </c>
      <c r="X267" s="41">
        <f>IF(AND(OR(Dashboard!$C$4="All",D267=Dashboard!$C$4),OR(Dashboard!$C$5="All",E267=Dashboard!$C$5)),1,0)</f>
        <v/>
      </c>
      <c r="Y267" s="43">
        <f>IF(AND(X267=1,S267="Yes"),O267+ROW()/1000000,0)</f>
        <v/>
      </c>
    </row>
    <row r="268">
      <c r="A268" s="35" t="inlineStr">
        <is>
          <t>LN100267</t>
        </is>
      </c>
      <c r="B268" s="35" t="inlineStr">
        <is>
          <t>Nikhil Iyer</t>
        </is>
      </c>
      <c r="C268" s="35" t="inlineStr">
        <is>
          <t>AMD-01</t>
        </is>
      </c>
      <c r="D268" s="36">
        <f>INDEX(Branches!$C$2:$C$15,MATCH(C268,Branches!$A$2:$A$15,0))</f>
        <v/>
      </c>
      <c r="E268" s="35" t="inlineStr">
        <is>
          <t>Home Loan</t>
        </is>
      </c>
      <c r="F268" s="37" t="n">
        <v>45623</v>
      </c>
      <c r="G268" s="38" t="n">
        <v>8703000</v>
      </c>
      <c r="H268" s="39" t="n">
        <v>0.08790000000000001</v>
      </c>
      <c r="I268" s="35" t="n">
        <v>240</v>
      </c>
      <c r="J268" s="35" t="n">
        <v>697</v>
      </c>
      <c r="K268" s="35" t="n">
        <v>0</v>
      </c>
      <c r="L268" s="40">
        <f>ROUND(PMT(H268/12,I268,-G268),0)</f>
        <v/>
      </c>
      <c r="M268" s="41">
        <f>MAX(0,(YEAR(AsOfDate)-YEAR(F268))*12+MONTH(AsOfDate)-MONTH(F268))</f>
        <v/>
      </c>
      <c r="N268" s="41">
        <f>MAX(0,MIN(I268,M268)-INT(K268/30))</f>
        <v/>
      </c>
      <c r="O268" s="40">
        <f>IF(N268&gt;=I268,0,ROUND(PV(H268/12,I268-N268,-L268),0))</f>
        <v/>
      </c>
      <c r="P268" s="40">
        <f>MIN(I268,M268)*L268-N268*L268</f>
        <v/>
      </c>
      <c r="Q268" s="41">
        <f>INDEX(DPD_Bucket,MATCH(K268,DPD_From,1))</f>
        <v/>
      </c>
      <c r="R268" s="41">
        <f>INDEX(DPD_Class,MATCH(K268,DPD_From,1))</f>
        <v/>
      </c>
      <c r="S268" s="41">
        <f>INDEX(DPD_NPA,MATCH(K268,DPD_From,1))</f>
        <v/>
      </c>
      <c r="T268" s="42">
        <f>INDEX(DPD_Prov,MATCH(K268,DPD_From,1))</f>
        <v/>
      </c>
      <c r="U268" s="40">
        <f>ROUND(O268*T268,0)</f>
        <v/>
      </c>
      <c r="V268" s="41">
        <f>INDEX(CIBIL_Grade,MATCH(J268,CIBIL_From,1))</f>
        <v/>
      </c>
      <c r="W268" s="41">
        <f>YEAR(F268)&amp;"-Q"&amp;ROUNDUP(MONTH(F268)/3,0)</f>
        <v/>
      </c>
      <c r="X268" s="41">
        <f>IF(AND(OR(Dashboard!$C$4="All",D268=Dashboard!$C$4),OR(Dashboard!$C$5="All",E268=Dashboard!$C$5)),1,0)</f>
        <v/>
      </c>
      <c r="Y268" s="43">
        <f>IF(AND(X268=1,S268="Yes"),O268+ROW()/1000000,0)</f>
        <v/>
      </c>
    </row>
    <row r="269">
      <c r="A269" s="35" t="inlineStr">
        <is>
          <t>LN100268</t>
        </is>
      </c>
      <c r="B269" s="35" t="inlineStr">
        <is>
          <t>Priya Mishra</t>
        </is>
      </c>
      <c r="C269" s="35" t="inlineStr">
        <is>
          <t>BLR-01</t>
        </is>
      </c>
      <c r="D269" s="36">
        <f>INDEX(Branches!$C$2:$C$15,MATCH(C269,Branches!$A$2:$A$15,0))</f>
        <v/>
      </c>
      <c r="E269" s="35" t="inlineStr">
        <is>
          <t>Gold Loan</t>
        </is>
      </c>
      <c r="F269" s="37" t="n">
        <v>45242</v>
      </c>
      <c r="G269" s="38" t="n">
        <v>441000</v>
      </c>
      <c r="H269" s="39" t="n">
        <v>0.1154</v>
      </c>
      <c r="I269" s="35" t="n">
        <v>12</v>
      </c>
      <c r="J269" s="35" t="n">
        <v>696</v>
      </c>
      <c r="K269" s="35" t="n">
        <v>0</v>
      </c>
      <c r="L269" s="40">
        <f>ROUND(PMT(H269/12,I269,-G269),0)</f>
        <v/>
      </c>
      <c r="M269" s="41">
        <f>MAX(0,(YEAR(AsOfDate)-YEAR(F269))*12+MONTH(AsOfDate)-MONTH(F269))</f>
        <v/>
      </c>
      <c r="N269" s="41">
        <f>MAX(0,MIN(I269,M269)-INT(K269/30))</f>
        <v/>
      </c>
      <c r="O269" s="40">
        <f>IF(N269&gt;=I269,0,ROUND(PV(H269/12,I269-N269,-L269),0))</f>
        <v/>
      </c>
      <c r="P269" s="40">
        <f>MIN(I269,M269)*L269-N269*L269</f>
        <v/>
      </c>
      <c r="Q269" s="41">
        <f>INDEX(DPD_Bucket,MATCH(K269,DPD_From,1))</f>
        <v/>
      </c>
      <c r="R269" s="41">
        <f>INDEX(DPD_Class,MATCH(K269,DPD_From,1))</f>
        <v/>
      </c>
      <c r="S269" s="41">
        <f>INDEX(DPD_NPA,MATCH(K269,DPD_From,1))</f>
        <v/>
      </c>
      <c r="T269" s="42">
        <f>INDEX(DPD_Prov,MATCH(K269,DPD_From,1))</f>
        <v/>
      </c>
      <c r="U269" s="40">
        <f>ROUND(O269*T269,0)</f>
        <v/>
      </c>
      <c r="V269" s="41">
        <f>INDEX(CIBIL_Grade,MATCH(J269,CIBIL_From,1))</f>
        <v/>
      </c>
      <c r="W269" s="41">
        <f>YEAR(F269)&amp;"-Q"&amp;ROUNDUP(MONTH(F269)/3,0)</f>
        <v/>
      </c>
      <c r="X269" s="41">
        <f>IF(AND(OR(Dashboard!$C$4="All",D269=Dashboard!$C$4),OR(Dashboard!$C$5="All",E269=Dashboard!$C$5)),1,0)</f>
        <v/>
      </c>
      <c r="Y269" s="43">
        <f>IF(AND(X269=1,S269="Yes"),O269+ROW()/1000000,0)</f>
        <v/>
      </c>
    </row>
    <row r="270">
      <c r="A270" s="35" t="inlineStr">
        <is>
          <t>LN100269</t>
        </is>
      </c>
      <c r="B270" s="35" t="inlineStr">
        <is>
          <t>Meera Das</t>
        </is>
      </c>
      <c r="C270" s="35" t="inlineStr">
        <is>
          <t>DEL-01</t>
        </is>
      </c>
      <c r="D270" s="36">
        <f>INDEX(Branches!$C$2:$C$15,MATCH(C270,Branches!$A$2:$A$15,0))</f>
        <v/>
      </c>
      <c r="E270" s="35" t="inlineStr">
        <is>
          <t>Home Loan</t>
        </is>
      </c>
      <c r="F270" s="37" t="n">
        <v>45440</v>
      </c>
      <c r="G270" s="38" t="n">
        <v>5491000</v>
      </c>
      <c r="H270" s="39" t="n">
        <v>0.0956</v>
      </c>
      <c r="I270" s="35" t="n">
        <v>180</v>
      </c>
      <c r="J270" s="35" t="n">
        <v>792</v>
      </c>
      <c r="K270" s="35" t="n">
        <v>0</v>
      </c>
      <c r="L270" s="40">
        <f>ROUND(PMT(H270/12,I270,-G270),0)</f>
        <v/>
      </c>
      <c r="M270" s="41">
        <f>MAX(0,(YEAR(AsOfDate)-YEAR(F270))*12+MONTH(AsOfDate)-MONTH(F270))</f>
        <v/>
      </c>
      <c r="N270" s="41">
        <f>MAX(0,MIN(I270,M270)-INT(K270/30))</f>
        <v/>
      </c>
      <c r="O270" s="40">
        <f>IF(N270&gt;=I270,0,ROUND(PV(H270/12,I270-N270,-L270),0))</f>
        <v/>
      </c>
      <c r="P270" s="40">
        <f>MIN(I270,M270)*L270-N270*L270</f>
        <v/>
      </c>
      <c r="Q270" s="41">
        <f>INDEX(DPD_Bucket,MATCH(K270,DPD_From,1))</f>
        <v/>
      </c>
      <c r="R270" s="41">
        <f>INDEX(DPD_Class,MATCH(K270,DPD_From,1))</f>
        <v/>
      </c>
      <c r="S270" s="41">
        <f>INDEX(DPD_NPA,MATCH(K270,DPD_From,1))</f>
        <v/>
      </c>
      <c r="T270" s="42">
        <f>INDEX(DPD_Prov,MATCH(K270,DPD_From,1))</f>
        <v/>
      </c>
      <c r="U270" s="40">
        <f>ROUND(O270*T270,0)</f>
        <v/>
      </c>
      <c r="V270" s="41">
        <f>INDEX(CIBIL_Grade,MATCH(J270,CIBIL_From,1))</f>
        <v/>
      </c>
      <c r="W270" s="41">
        <f>YEAR(F270)&amp;"-Q"&amp;ROUNDUP(MONTH(F270)/3,0)</f>
        <v/>
      </c>
      <c r="X270" s="41">
        <f>IF(AND(OR(Dashboard!$C$4="All",D270=Dashboard!$C$4),OR(Dashboard!$C$5="All",E270=Dashboard!$C$5)),1,0)</f>
        <v/>
      </c>
      <c r="Y270" s="43">
        <f>IF(AND(X270=1,S270="Yes"),O270+ROW()/1000000,0)</f>
        <v/>
      </c>
    </row>
    <row r="271">
      <c r="A271" s="35" t="inlineStr">
        <is>
          <t>LN100270</t>
        </is>
      </c>
      <c r="B271" s="35" t="inlineStr">
        <is>
          <t>Swati Verma</t>
        </is>
      </c>
      <c r="C271" s="35" t="inlineStr">
        <is>
          <t>BLR-01</t>
        </is>
      </c>
      <c r="D271" s="36">
        <f>INDEX(Branches!$C$2:$C$15,MATCH(C271,Branches!$A$2:$A$15,0))</f>
        <v/>
      </c>
      <c r="E271" s="35" t="inlineStr">
        <is>
          <t>Auto Loan</t>
        </is>
      </c>
      <c r="F271" s="37" t="n">
        <v>45180</v>
      </c>
      <c r="G271" s="38" t="n">
        <v>559000</v>
      </c>
      <c r="H271" s="39" t="n">
        <v>0.1133</v>
      </c>
      <c r="I271" s="35" t="n">
        <v>48</v>
      </c>
      <c r="J271" s="35" t="n">
        <v>655</v>
      </c>
      <c r="K271" s="35" t="n">
        <v>0</v>
      </c>
      <c r="L271" s="40">
        <f>ROUND(PMT(H271/12,I271,-G271),0)</f>
        <v/>
      </c>
      <c r="M271" s="41">
        <f>MAX(0,(YEAR(AsOfDate)-YEAR(F271))*12+MONTH(AsOfDate)-MONTH(F271))</f>
        <v/>
      </c>
      <c r="N271" s="41">
        <f>MAX(0,MIN(I271,M271)-INT(K271/30))</f>
        <v/>
      </c>
      <c r="O271" s="40">
        <f>IF(N271&gt;=I271,0,ROUND(PV(H271/12,I271-N271,-L271),0))</f>
        <v/>
      </c>
      <c r="P271" s="40">
        <f>MIN(I271,M271)*L271-N271*L271</f>
        <v/>
      </c>
      <c r="Q271" s="41">
        <f>INDEX(DPD_Bucket,MATCH(K271,DPD_From,1))</f>
        <v/>
      </c>
      <c r="R271" s="41">
        <f>INDEX(DPD_Class,MATCH(K271,DPD_From,1))</f>
        <v/>
      </c>
      <c r="S271" s="41">
        <f>INDEX(DPD_NPA,MATCH(K271,DPD_From,1))</f>
        <v/>
      </c>
      <c r="T271" s="42">
        <f>INDEX(DPD_Prov,MATCH(K271,DPD_From,1))</f>
        <v/>
      </c>
      <c r="U271" s="40">
        <f>ROUND(O271*T271,0)</f>
        <v/>
      </c>
      <c r="V271" s="41">
        <f>INDEX(CIBIL_Grade,MATCH(J271,CIBIL_From,1))</f>
        <v/>
      </c>
      <c r="W271" s="41">
        <f>YEAR(F271)&amp;"-Q"&amp;ROUNDUP(MONTH(F271)/3,0)</f>
        <v/>
      </c>
      <c r="X271" s="41">
        <f>IF(AND(OR(Dashboard!$C$4="All",D271=Dashboard!$C$4),OR(Dashboard!$C$5="All",E271=Dashboard!$C$5)),1,0)</f>
        <v/>
      </c>
      <c r="Y271" s="43">
        <f>IF(AND(X271=1,S271="Yes"),O271+ROW()/1000000,0)</f>
        <v/>
      </c>
    </row>
    <row r="272">
      <c r="A272" s="35" t="inlineStr">
        <is>
          <t>LN100271</t>
        </is>
      </c>
      <c r="B272" s="35" t="inlineStr">
        <is>
          <t>Ishaan Reddy</t>
        </is>
      </c>
      <c r="C272" s="35" t="inlineStr">
        <is>
          <t>KOL-01</t>
        </is>
      </c>
      <c r="D272" s="36">
        <f>INDEX(Branches!$C$2:$C$15,MATCH(C272,Branches!$A$2:$A$15,0))</f>
        <v/>
      </c>
      <c r="E272" s="35" t="inlineStr">
        <is>
          <t>Personal Loan</t>
        </is>
      </c>
      <c r="F272" s="37" t="n">
        <v>45850</v>
      </c>
      <c r="G272" s="38" t="n">
        <v>523000</v>
      </c>
      <c r="H272" s="39" t="n">
        <v>0.1706</v>
      </c>
      <c r="I272" s="35" t="n">
        <v>12</v>
      </c>
      <c r="J272" s="35" t="n">
        <v>733</v>
      </c>
      <c r="K272" s="35" t="n">
        <v>0</v>
      </c>
      <c r="L272" s="40">
        <f>ROUND(PMT(H272/12,I272,-G272),0)</f>
        <v/>
      </c>
      <c r="M272" s="41">
        <f>MAX(0,(YEAR(AsOfDate)-YEAR(F272))*12+MONTH(AsOfDate)-MONTH(F272))</f>
        <v/>
      </c>
      <c r="N272" s="41">
        <f>MAX(0,MIN(I272,M272)-INT(K272/30))</f>
        <v/>
      </c>
      <c r="O272" s="40">
        <f>IF(N272&gt;=I272,0,ROUND(PV(H272/12,I272-N272,-L272),0))</f>
        <v/>
      </c>
      <c r="P272" s="40">
        <f>MIN(I272,M272)*L272-N272*L272</f>
        <v/>
      </c>
      <c r="Q272" s="41">
        <f>INDEX(DPD_Bucket,MATCH(K272,DPD_From,1))</f>
        <v/>
      </c>
      <c r="R272" s="41">
        <f>INDEX(DPD_Class,MATCH(K272,DPD_From,1))</f>
        <v/>
      </c>
      <c r="S272" s="41">
        <f>INDEX(DPD_NPA,MATCH(K272,DPD_From,1))</f>
        <v/>
      </c>
      <c r="T272" s="42">
        <f>INDEX(DPD_Prov,MATCH(K272,DPD_From,1))</f>
        <v/>
      </c>
      <c r="U272" s="40">
        <f>ROUND(O272*T272,0)</f>
        <v/>
      </c>
      <c r="V272" s="41">
        <f>INDEX(CIBIL_Grade,MATCH(J272,CIBIL_From,1))</f>
        <v/>
      </c>
      <c r="W272" s="41">
        <f>YEAR(F272)&amp;"-Q"&amp;ROUNDUP(MONTH(F272)/3,0)</f>
        <v/>
      </c>
      <c r="X272" s="41">
        <f>IF(AND(OR(Dashboard!$C$4="All",D272=Dashboard!$C$4),OR(Dashboard!$C$5="All",E272=Dashboard!$C$5)),1,0)</f>
        <v/>
      </c>
      <c r="Y272" s="43">
        <f>IF(AND(X272=1,S272="Yes"),O272+ROW()/1000000,0)</f>
        <v/>
      </c>
    </row>
    <row r="273">
      <c r="A273" s="35" t="inlineStr">
        <is>
          <t>LN100272</t>
        </is>
      </c>
      <c r="B273" s="35" t="inlineStr">
        <is>
          <t>Sneha Patel</t>
        </is>
      </c>
      <c r="C273" s="35" t="inlineStr">
        <is>
          <t>BLR-01</t>
        </is>
      </c>
      <c r="D273" s="36">
        <f>INDEX(Branches!$C$2:$C$15,MATCH(C273,Branches!$A$2:$A$15,0))</f>
        <v/>
      </c>
      <c r="E273" s="35" t="inlineStr">
        <is>
          <t>Business Loan</t>
        </is>
      </c>
      <c r="F273" s="37" t="n">
        <v>45435</v>
      </c>
      <c r="G273" s="38" t="n">
        <v>2284000</v>
      </c>
      <c r="H273" s="39" t="n">
        <v>0.1514</v>
      </c>
      <c r="I273" s="35" t="n">
        <v>12</v>
      </c>
      <c r="J273" s="35" t="n">
        <v>735</v>
      </c>
      <c r="K273" s="35" t="n">
        <v>0</v>
      </c>
      <c r="L273" s="40">
        <f>ROUND(PMT(H273/12,I273,-G273),0)</f>
        <v/>
      </c>
      <c r="M273" s="41">
        <f>MAX(0,(YEAR(AsOfDate)-YEAR(F273))*12+MONTH(AsOfDate)-MONTH(F273))</f>
        <v/>
      </c>
      <c r="N273" s="41">
        <f>MAX(0,MIN(I273,M273)-INT(K273/30))</f>
        <v/>
      </c>
      <c r="O273" s="40">
        <f>IF(N273&gt;=I273,0,ROUND(PV(H273/12,I273-N273,-L273),0))</f>
        <v/>
      </c>
      <c r="P273" s="40">
        <f>MIN(I273,M273)*L273-N273*L273</f>
        <v/>
      </c>
      <c r="Q273" s="41">
        <f>INDEX(DPD_Bucket,MATCH(K273,DPD_From,1))</f>
        <v/>
      </c>
      <c r="R273" s="41">
        <f>INDEX(DPD_Class,MATCH(K273,DPD_From,1))</f>
        <v/>
      </c>
      <c r="S273" s="41">
        <f>INDEX(DPD_NPA,MATCH(K273,DPD_From,1))</f>
        <v/>
      </c>
      <c r="T273" s="42">
        <f>INDEX(DPD_Prov,MATCH(K273,DPD_From,1))</f>
        <v/>
      </c>
      <c r="U273" s="40">
        <f>ROUND(O273*T273,0)</f>
        <v/>
      </c>
      <c r="V273" s="41">
        <f>INDEX(CIBIL_Grade,MATCH(J273,CIBIL_From,1))</f>
        <v/>
      </c>
      <c r="W273" s="41">
        <f>YEAR(F273)&amp;"-Q"&amp;ROUNDUP(MONTH(F273)/3,0)</f>
        <v/>
      </c>
      <c r="X273" s="41">
        <f>IF(AND(OR(Dashboard!$C$4="All",D273=Dashboard!$C$4),OR(Dashboard!$C$5="All",E273=Dashboard!$C$5)),1,0)</f>
        <v/>
      </c>
      <c r="Y273" s="43">
        <f>IF(AND(X273=1,S273="Yes"),O273+ROW()/1000000,0)</f>
        <v/>
      </c>
    </row>
    <row r="274">
      <c r="A274" s="35" t="inlineStr">
        <is>
          <t>LN100273</t>
        </is>
      </c>
      <c r="B274" s="35" t="inlineStr">
        <is>
          <t>Aarav Rao</t>
        </is>
      </c>
      <c r="C274" s="35" t="inlineStr">
        <is>
          <t>GUW-01</t>
        </is>
      </c>
      <c r="D274" s="36">
        <f>INDEX(Branches!$C$2:$C$15,MATCH(C274,Branches!$A$2:$A$15,0))</f>
        <v/>
      </c>
      <c r="E274" s="35" t="inlineStr">
        <is>
          <t>Personal Loan</t>
        </is>
      </c>
      <c r="F274" s="37" t="n">
        <v>45294</v>
      </c>
      <c r="G274" s="38" t="n">
        <v>269000</v>
      </c>
      <c r="H274" s="39" t="n">
        <v>0.1695</v>
      </c>
      <c r="I274" s="35" t="n">
        <v>24</v>
      </c>
      <c r="J274" s="35" t="n">
        <v>686</v>
      </c>
      <c r="K274" s="35" t="n">
        <v>0</v>
      </c>
      <c r="L274" s="40">
        <f>ROUND(PMT(H274/12,I274,-G274),0)</f>
        <v/>
      </c>
      <c r="M274" s="41">
        <f>MAX(0,(YEAR(AsOfDate)-YEAR(F274))*12+MONTH(AsOfDate)-MONTH(F274))</f>
        <v/>
      </c>
      <c r="N274" s="41">
        <f>MAX(0,MIN(I274,M274)-INT(K274/30))</f>
        <v/>
      </c>
      <c r="O274" s="40">
        <f>IF(N274&gt;=I274,0,ROUND(PV(H274/12,I274-N274,-L274),0))</f>
        <v/>
      </c>
      <c r="P274" s="40">
        <f>MIN(I274,M274)*L274-N274*L274</f>
        <v/>
      </c>
      <c r="Q274" s="41">
        <f>INDEX(DPD_Bucket,MATCH(K274,DPD_From,1))</f>
        <v/>
      </c>
      <c r="R274" s="41">
        <f>INDEX(DPD_Class,MATCH(K274,DPD_From,1))</f>
        <v/>
      </c>
      <c r="S274" s="41">
        <f>INDEX(DPD_NPA,MATCH(K274,DPD_From,1))</f>
        <v/>
      </c>
      <c r="T274" s="42">
        <f>INDEX(DPD_Prov,MATCH(K274,DPD_From,1))</f>
        <v/>
      </c>
      <c r="U274" s="40">
        <f>ROUND(O274*T274,0)</f>
        <v/>
      </c>
      <c r="V274" s="41">
        <f>INDEX(CIBIL_Grade,MATCH(J274,CIBIL_From,1))</f>
        <v/>
      </c>
      <c r="W274" s="41">
        <f>YEAR(F274)&amp;"-Q"&amp;ROUNDUP(MONTH(F274)/3,0)</f>
        <v/>
      </c>
      <c r="X274" s="41">
        <f>IF(AND(OR(Dashboard!$C$4="All",D274=Dashboard!$C$4),OR(Dashboard!$C$5="All",E274=Dashboard!$C$5)),1,0)</f>
        <v/>
      </c>
      <c r="Y274" s="43">
        <f>IF(AND(X274=1,S274="Yes"),O274+ROW()/1000000,0)</f>
        <v/>
      </c>
    </row>
    <row r="275">
      <c r="A275" s="35" t="inlineStr">
        <is>
          <t>LN100274</t>
        </is>
      </c>
      <c r="B275" s="35" t="inlineStr">
        <is>
          <t>Sai Banerjee</t>
        </is>
      </c>
      <c r="C275" s="35" t="inlineStr">
        <is>
          <t>PAT-01</t>
        </is>
      </c>
      <c r="D275" s="36">
        <f>INDEX(Branches!$C$2:$C$15,MATCH(C275,Branches!$A$2:$A$15,0))</f>
        <v/>
      </c>
      <c r="E275" s="35" t="inlineStr">
        <is>
          <t>Personal Loan</t>
        </is>
      </c>
      <c r="F275" s="37" t="n">
        <v>46028</v>
      </c>
      <c r="G275" s="38" t="n">
        <v>1239000</v>
      </c>
      <c r="H275" s="39" t="n">
        <v>0.1706</v>
      </c>
      <c r="I275" s="35" t="n">
        <v>48</v>
      </c>
      <c r="J275" s="35" t="n">
        <v>663</v>
      </c>
      <c r="K275" s="35" t="n">
        <v>86</v>
      </c>
      <c r="L275" s="40">
        <f>ROUND(PMT(H275/12,I275,-G275),0)</f>
        <v/>
      </c>
      <c r="M275" s="41">
        <f>MAX(0,(YEAR(AsOfDate)-YEAR(F275))*12+MONTH(AsOfDate)-MONTH(F275))</f>
        <v/>
      </c>
      <c r="N275" s="41">
        <f>MAX(0,MIN(I275,M275)-INT(K275/30))</f>
        <v/>
      </c>
      <c r="O275" s="40">
        <f>IF(N275&gt;=I275,0,ROUND(PV(H275/12,I275-N275,-L275),0))</f>
        <v/>
      </c>
      <c r="P275" s="40">
        <f>MIN(I275,M275)*L275-N275*L275</f>
        <v/>
      </c>
      <c r="Q275" s="41">
        <f>INDEX(DPD_Bucket,MATCH(K275,DPD_From,1))</f>
        <v/>
      </c>
      <c r="R275" s="41">
        <f>INDEX(DPD_Class,MATCH(K275,DPD_From,1))</f>
        <v/>
      </c>
      <c r="S275" s="41">
        <f>INDEX(DPD_NPA,MATCH(K275,DPD_From,1))</f>
        <v/>
      </c>
      <c r="T275" s="42">
        <f>INDEX(DPD_Prov,MATCH(K275,DPD_From,1))</f>
        <v/>
      </c>
      <c r="U275" s="40">
        <f>ROUND(O275*T275,0)</f>
        <v/>
      </c>
      <c r="V275" s="41">
        <f>INDEX(CIBIL_Grade,MATCH(J275,CIBIL_From,1))</f>
        <v/>
      </c>
      <c r="W275" s="41">
        <f>YEAR(F275)&amp;"-Q"&amp;ROUNDUP(MONTH(F275)/3,0)</f>
        <v/>
      </c>
      <c r="X275" s="41">
        <f>IF(AND(OR(Dashboard!$C$4="All",D275=Dashboard!$C$4),OR(Dashboard!$C$5="All",E275=Dashboard!$C$5)),1,0)</f>
        <v/>
      </c>
      <c r="Y275" s="43">
        <f>IF(AND(X275=1,S275="Yes"),O275+ROW()/1000000,0)</f>
        <v/>
      </c>
    </row>
    <row r="276">
      <c r="A276" s="35" t="inlineStr">
        <is>
          <t>LN100275</t>
        </is>
      </c>
      <c r="B276" s="35" t="inlineStr">
        <is>
          <t>Riya Menon</t>
        </is>
      </c>
      <c r="C276" s="35" t="inlineStr">
        <is>
          <t>BBS-01</t>
        </is>
      </c>
      <c r="D276" s="36">
        <f>INDEX(Branches!$C$2:$C$15,MATCH(C276,Branches!$A$2:$A$15,0))</f>
        <v/>
      </c>
      <c r="E276" s="35" t="inlineStr">
        <is>
          <t>Personal Loan</t>
        </is>
      </c>
      <c r="F276" s="37" t="n">
        <v>46033</v>
      </c>
      <c r="G276" s="38" t="n">
        <v>398000</v>
      </c>
      <c r="H276" s="39" t="n">
        <v>0.1611</v>
      </c>
      <c r="I276" s="35" t="n">
        <v>24</v>
      </c>
      <c r="J276" s="35" t="n">
        <v>727</v>
      </c>
      <c r="K276" s="35" t="n">
        <v>0</v>
      </c>
      <c r="L276" s="40">
        <f>ROUND(PMT(H276/12,I276,-G276),0)</f>
        <v/>
      </c>
      <c r="M276" s="41">
        <f>MAX(0,(YEAR(AsOfDate)-YEAR(F276))*12+MONTH(AsOfDate)-MONTH(F276))</f>
        <v/>
      </c>
      <c r="N276" s="41">
        <f>MAX(0,MIN(I276,M276)-INT(K276/30))</f>
        <v/>
      </c>
      <c r="O276" s="40">
        <f>IF(N276&gt;=I276,0,ROUND(PV(H276/12,I276-N276,-L276),0))</f>
        <v/>
      </c>
      <c r="P276" s="40">
        <f>MIN(I276,M276)*L276-N276*L276</f>
        <v/>
      </c>
      <c r="Q276" s="41">
        <f>INDEX(DPD_Bucket,MATCH(K276,DPD_From,1))</f>
        <v/>
      </c>
      <c r="R276" s="41">
        <f>INDEX(DPD_Class,MATCH(K276,DPD_From,1))</f>
        <v/>
      </c>
      <c r="S276" s="41">
        <f>INDEX(DPD_NPA,MATCH(K276,DPD_From,1))</f>
        <v/>
      </c>
      <c r="T276" s="42">
        <f>INDEX(DPD_Prov,MATCH(K276,DPD_From,1))</f>
        <v/>
      </c>
      <c r="U276" s="40">
        <f>ROUND(O276*T276,0)</f>
        <v/>
      </c>
      <c r="V276" s="41">
        <f>INDEX(CIBIL_Grade,MATCH(J276,CIBIL_From,1))</f>
        <v/>
      </c>
      <c r="W276" s="41">
        <f>YEAR(F276)&amp;"-Q"&amp;ROUNDUP(MONTH(F276)/3,0)</f>
        <v/>
      </c>
      <c r="X276" s="41">
        <f>IF(AND(OR(Dashboard!$C$4="All",D276=Dashboard!$C$4),OR(Dashboard!$C$5="All",E276=Dashboard!$C$5)),1,0)</f>
        <v/>
      </c>
      <c r="Y276" s="43">
        <f>IF(AND(X276=1,S276="Yes"),O276+ROW()/1000000,0)</f>
        <v/>
      </c>
    </row>
    <row r="277">
      <c r="A277" s="35" t="inlineStr">
        <is>
          <t>LN100276</t>
        </is>
      </c>
      <c r="B277" s="35" t="inlineStr">
        <is>
          <t>Arjun Reddy</t>
        </is>
      </c>
      <c r="C277" s="35" t="inlineStr">
        <is>
          <t>PAT-01</t>
        </is>
      </c>
      <c r="D277" s="36">
        <f>INDEX(Branches!$C$2:$C$15,MATCH(C277,Branches!$A$2:$A$15,0))</f>
        <v/>
      </c>
      <c r="E277" s="35" t="inlineStr">
        <is>
          <t>Gold Loan</t>
        </is>
      </c>
      <c r="F277" s="37" t="n">
        <v>45729</v>
      </c>
      <c r="G277" s="38" t="n">
        <v>105000</v>
      </c>
      <c r="H277" s="39" t="n">
        <v>0.1119</v>
      </c>
      <c r="I277" s="35" t="n">
        <v>12</v>
      </c>
      <c r="J277" s="35" t="n">
        <v>733</v>
      </c>
      <c r="K277" s="35" t="n">
        <v>0</v>
      </c>
      <c r="L277" s="40">
        <f>ROUND(PMT(H277/12,I277,-G277),0)</f>
        <v/>
      </c>
      <c r="M277" s="41">
        <f>MAX(0,(YEAR(AsOfDate)-YEAR(F277))*12+MONTH(AsOfDate)-MONTH(F277))</f>
        <v/>
      </c>
      <c r="N277" s="41">
        <f>MAX(0,MIN(I277,M277)-INT(K277/30))</f>
        <v/>
      </c>
      <c r="O277" s="40">
        <f>IF(N277&gt;=I277,0,ROUND(PV(H277/12,I277-N277,-L277),0))</f>
        <v/>
      </c>
      <c r="P277" s="40">
        <f>MIN(I277,M277)*L277-N277*L277</f>
        <v/>
      </c>
      <c r="Q277" s="41">
        <f>INDEX(DPD_Bucket,MATCH(K277,DPD_From,1))</f>
        <v/>
      </c>
      <c r="R277" s="41">
        <f>INDEX(DPD_Class,MATCH(K277,DPD_From,1))</f>
        <v/>
      </c>
      <c r="S277" s="41">
        <f>INDEX(DPD_NPA,MATCH(K277,DPD_From,1))</f>
        <v/>
      </c>
      <c r="T277" s="42">
        <f>INDEX(DPD_Prov,MATCH(K277,DPD_From,1))</f>
        <v/>
      </c>
      <c r="U277" s="40">
        <f>ROUND(O277*T277,0)</f>
        <v/>
      </c>
      <c r="V277" s="41">
        <f>INDEX(CIBIL_Grade,MATCH(J277,CIBIL_From,1))</f>
        <v/>
      </c>
      <c r="W277" s="41">
        <f>YEAR(F277)&amp;"-Q"&amp;ROUNDUP(MONTH(F277)/3,0)</f>
        <v/>
      </c>
      <c r="X277" s="41">
        <f>IF(AND(OR(Dashboard!$C$4="All",D277=Dashboard!$C$4),OR(Dashboard!$C$5="All",E277=Dashboard!$C$5)),1,0)</f>
        <v/>
      </c>
      <c r="Y277" s="43">
        <f>IF(AND(X277=1,S277="Yes"),O277+ROW()/1000000,0)</f>
        <v/>
      </c>
    </row>
    <row r="278">
      <c r="A278" s="35" t="inlineStr">
        <is>
          <t>LN100277</t>
        </is>
      </c>
      <c r="B278" s="35" t="inlineStr">
        <is>
          <t>Kabir Kulkarni</t>
        </is>
      </c>
      <c r="C278" s="35" t="inlineStr">
        <is>
          <t>JAI-01</t>
        </is>
      </c>
      <c r="D278" s="36">
        <f>INDEX(Branches!$C$2:$C$15,MATCH(C278,Branches!$A$2:$A$15,0))</f>
        <v/>
      </c>
      <c r="E278" s="35" t="inlineStr">
        <is>
          <t>Auto Loan</t>
        </is>
      </c>
      <c r="F278" s="37" t="n">
        <v>45529</v>
      </c>
      <c r="G278" s="38" t="n">
        <v>1360000</v>
      </c>
      <c r="H278" s="39" t="n">
        <v>0.1078</v>
      </c>
      <c r="I278" s="35" t="n">
        <v>84</v>
      </c>
      <c r="J278" s="35" t="n">
        <v>745</v>
      </c>
      <c r="K278" s="35" t="n">
        <v>0</v>
      </c>
      <c r="L278" s="40">
        <f>ROUND(PMT(H278/12,I278,-G278),0)</f>
        <v/>
      </c>
      <c r="M278" s="41">
        <f>MAX(0,(YEAR(AsOfDate)-YEAR(F278))*12+MONTH(AsOfDate)-MONTH(F278))</f>
        <v/>
      </c>
      <c r="N278" s="41">
        <f>MAX(0,MIN(I278,M278)-INT(K278/30))</f>
        <v/>
      </c>
      <c r="O278" s="40">
        <f>IF(N278&gt;=I278,0,ROUND(PV(H278/12,I278-N278,-L278),0))</f>
        <v/>
      </c>
      <c r="P278" s="40">
        <f>MIN(I278,M278)*L278-N278*L278</f>
        <v/>
      </c>
      <c r="Q278" s="41">
        <f>INDEX(DPD_Bucket,MATCH(K278,DPD_From,1))</f>
        <v/>
      </c>
      <c r="R278" s="41">
        <f>INDEX(DPD_Class,MATCH(K278,DPD_From,1))</f>
        <v/>
      </c>
      <c r="S278" s="41">
        <f>INDEX(DPD_NPA,MATCH(K278,DPD_From,1))</f>
        <v/>
      </c>
      <c r="T278" s="42">
        <f>INDEX(DPD_Prov,MATCH(K278,DPD_From,1))</f>
        <v/>
      </c>
      <c r="U278" s="40">
        <f>ROUND(O278*T278,0)</f>
        <v/>
      </c>
      <c r="V278" s="41">
        <f>INDEX(CIBIL_Grade,MATCH(J278,CIBIL_From,1))</f>
        <v/>
      </c>
      <c r="W278" s="41">
        <f>YEAR(F278)&amp;"-Q"&amp;ROUNDUP(MONTH(F278)/3,0)</f>
        <v/>
      </c>
      <c r="X278" s="41">
        <f>IF(AND(OR(Dashboard!$C$4="All",D278=Dashboard!$C$4),OR(Dashboard!$C$5="All",E278=Dashboard!$C$5)),1,0)</f>
        <v/>
      </c>
      <c r="Y278" s="43">
        <f>IF(AND(X278=1,S278="Yes"),O278+ROW()/1000000,0)</f>
        <v/>
      </c>
    </row>
    <row r="279">
      <c r="A279" s="35" t="inlineStr">
        <is>
          <t>LN100278</t>
        </is>
      </c>
      <c r="B279" s="35" t="inlineStr">
        <is>
          <t>Swati Mohanty</t>
        </is>
      </c>
      <c r="C279" s="35" t="inlineStr">
        <is>
          <t>DEL-01</t>
        </is>
      </c>
      <c r="D279" s="36">
        <f>INDEX(Branches!$C$2:$C$15,MATCH(C279,Branches!$A$2:$A$15,0))</f>
        <v/>
      </c>
      <c r="E279" s="35" t="inlineStr">
        <is>
          <t>Business Loan</t>
        </is>
      </c>
      <c r="F279" s="37" t="n">
        <v>45556</v>
      </c>
      <c r="G279" s="38" t="n">
        <v>2236000</v>
      </c>
      <c r="H279" s="39" t="n">
        <v>0.1469</v>
      </c>
      <c r="I279" s="35" t="n">
        <v>12</v>
      </c>
      <c r="J279" s="35" t="n">
        <v>694</v>
      </c>
      <c r="K279" s="35" t="n">
        <v>0</v>
      </c>
      <c r="L279" s="40">
        <f>ROUND(PMT(H279/12,I279,-G279),0)</f>
        <v/>
      </c>
      <c r="M279" s="41">
        <f>MAX(0,(YEAR(AsOfDate)-YEAR(F279))*12+MONTH(AsOfDate)-MONTH(F279))</f>
        <v/>
      </c>
      <c r="N279" s="41">
        <f>MAX(0,MIN(I279,M279)-INT(K279/30))</f>
        <v/>
      </c>
      <c r="O279" s="40">
        <f>IF(N279&gt;=I279,0,ROUND(PV(H279/12,I279-N279,-L279),0))</f>
        <v/>
      </c>
      <c r="P279" s="40">
        <f>MIN(I279,M279)*L279-N279*L279</f>
        <v/>
      </c>
      <c r="Q279" s="41">
        <f>INDEX(DPD_Bucket,MATCH(K279,DPD_From,1))</f>
        <v/>
      </c>
      <c r="R279" s="41">
        <f>INDEX(DPD_Class,MATCH(K279,DPD_From,1))</f>
        <v/>
      </c>
      <c r="S279" s="41">
        <f>INDEX(DPD_NPA,MATCH(K279,DPD_From,1))</f>
        <v/>
      </c>
      <c r="T279" s="42">
        <f>INDEX(DPD_Prov,MATCH(K279,DPD_From,1))</f>
        <v/>
      </c>
      <c r="U279" s="40">
        <f>ROUND(O279*T279,0)</f>
        <v/>
      </c>
      <c r="V279" s="41">
        <f>INDEX(CIBIL_Grade,MATCH(J279,CIBIL_From,1))</f>
        <v/>
      </c>
      <c r="W279" s="41">
        <f>YEAR(F279)&amp;"-Q"&amp;ROUNDUP(MONTH(F279)/3,0)</f>
        <v/>
      </c>
      <c r="X279" s="41">
        <f>IF(AND(OR(Dashboard!$C$4="All",D279=Dashboard!$C$4),OR(Dashboard!$C$5="All",E279=Dashboard!$C$5)),1,0)</f>
        <v/>
      </c>
      <c r="Y279" s="43">
        <f>IF(AND(X279=1,S279="Yes"),O279+ROW()/1000000,0)</f>
        <v/>
      </c>
    </row>
    <row r="280">
      <c r="A280" s="35" t="inlineStr">
        <is>
          <t>LN100279</t>
        </is>
      </c>
      <c r="B280" s="35" t="inlineStr">
        <is>
          <t>Gaurav Mishra</t>
        </is>
      </c>
      <c r="C280" s="35" t="inlineStr">
        <is>
          <t>AMD-01</t>
        </is>
      </c>
      <c r="D280" s="36">
        <f>INDEX(Branches!$C$2:$C$15,MATCH(C280,Branches!$A$2:$A$15,0))</f>
        <v/>
      </c>
      <c r="E280" s="35" t="inlineStr">
        <is>
          <t>Personal Loan</t>
        </is>
      </c>
      <c r="F280" s="37" t="n">
        <v>46149</v>
      </c>
      <c r="G280" s="38" t="n">
        <v>612000</v>
      </c>
      <c r="H280" s="39" t="n">
        <v>0.1562</v>
      </c>
      <c r="I280" s="35" t="n">
        <v>12</v>
      </c>
      <c r="J280" s="35" t="n">
        <v>862</v>
      </c>
      <c r="K280" s="35" t="n">
        <v>0</v>
      </c>
      <c r="L280" s="40">
        <f>ROUND(PMT(H280/12,I280,-G280),0)</f>
        <v/>
      </c>
      <c r="M280" s="41">
        <f>MAX(0,(YEAR(AsOfDate)-YEAR(F280))*12+MONTH(AsOfDate)-MONTH(F280))</f>
        <v/>
      </c>
      <c r="N280" s="41">
        <f>MAX(0,MIN(I280,M280)-INT(K280/30))</f>
        <v/>
      </c>
      <c r="O280" s="40">
        <f>IF(N280&gt;=I280,0,ROUND(PV(H280/12,I280-N280,-L280),0))</f>
        <v/>
      </c>
      <c r="P280" s="40">
        <f>MIN(I280,M280)*L280-N280*L280</f>
        <v/>
      </c>
      <c r="Q280" s="41">
        <f>INDEX(DPD_Bucket,MATCH(K280,DPD_From,1))</f>
        <v/>
      </c>
      <c r="R280" s="41">
        <f>INDEX(DPD_Class,MATCH(K280,DPD_From,1))</f>
        <v/>
      </c>
      <c r="S280" s="41">
        <f>INDEX(DPD_NPA,MATCH(K280,DPD_From,1))</f>
        <v/>
      </c>
      <c r="T280" s="42">
        <f>INDEX(DPD_Prov,MATCH(K280,DPD_From,1))</f>
        <v/>
      </c>
      <c r="U280" s="40">
        <f>ROUND(O280*T280,0)</f>
        <v/>
      </c>
      <c r="V280" s="41">
        <f>INDEX(CIBIL_Grade,MATCH(J280,CIBIL_From,1))</f>
        <v/>
      </c>
      <c r="W280" s="41">
        <f>YEAR(F280)&amp;"-Q"&amp;ROUNDUP(MONTH(F280)/3,0)</f>
        <v/>
      </c>
      <c r="X280" s="41">
        <f>IF(AND(OR(Dashboard!$C$4="All",D280=Dashboard!$C$4),OR(Dashboard!$C$5="All",E280=Dashboard!$C$5)),1,0)</f>
        <v/>
      </c>
      <c r="Y280" s="43">
        <f>IF(AND(X280=1,S280="Yes"),O280+ROW()/1000000,0)</f>
        <v/>
      </c>
    </row>
    <row r="281">
      <c r="A281" s="35" t="inlineStr">
        <is>
          <t>LN100280</t>
        </is>
      </c>
      <c r="B281" s="35" t="inlineStr">
        <is>
          <t>Aarav Gupta</t>
        </is>
      </c>
      <c r="C281" s="35" t="inlineStr">
        <is>
          <t>KOC-01</t>
        </is>
      </c>
      <c r="D281" s="36">
        <f>INDEX(Branches!$C$2:$C$15,MATCH(C281,Branches!$A$2:$A$15,0))</f>
        <v/>
      </c>
      <c r="E281" s="35" t="inlineStr">
        <is>
          <t>Business Loan</t>
        </is>
      </c>
      <c r="F281" s="37" t="n">
        <v>46139</v>
      </c>
      <c r="G281" s="38" t="n">
        <v>679000</v>
      </c>
      <c r="H281" s="39" t="n">
        <v>0.1342</v>
      </c>
      <c r="I281" s="35" t="n">
        <v>12</v>
      </c>
      <c r="J281" s="35" t="n">
        <v>724</v>
      </c>
      <c r="K281" s="35" t="n">
        <v>0</v>
      </c>
      <c r="L281" s="40">
        <f>ROUND(PMT(H281/12,I281,-G281),0)</f>
        <v/>
      </c>
      <c r="M281" s="41">
        <f>MAX(0,(YEAR(AsOfDate)-YEAR(F281))*12+MONTH(AsOfDate)-MONTH(F281))</f>
        <v/>
      </c>
      <c r="N281" s="41">
        <f>MAX(0,MIN(I281,M281)-INT(K281/30))</f>
        <v/>
      </c>
      <c r="O281" s="40">
        <f>IF(N281&gt;=I281,0,ROUND(PV(H281/12,I281-N281,-L281),0))</f>
        <v/>
      </c>
      <c r="P281" s="40">
        <f>MIN(I281,M281)*L281-N281*L281</f>
        <v/>
      </c>
      <c r="Q281" s="41">
        <f>INDEX(DPD_Bucket,MATCH(K281,DPD_From,1))</f>
        <v/>
      </c>
      <c r="R281" s="41">
        <f>INDEX(DPD_Class,MATCH(K281,DPD_From,1))</f>
        <v/>
      </c>
      <c r="S281" s="41">
        <f>INDEX(DPD_NPA,MATCH(K281,DPD_From,1))</f>
        <v/>
      </c>
      <c r="T281" s="42">
        <f>INDEX(DPD_Prov,MATCH(K281,DPD_From,1))</f>
        <v/>
      </c>
      <c r="U281" s="40">
        <f>ROUND(O281*T281,0)</f>
        <v/>
      </c>
      <c r="V281" s="41">
        <f>INDEX(CIBIL_Grade,MATCH(J281,CIBIL_From,1))</f>
        <v/>
      </c>
      <c r="W281" s="41">
        <f>YEAR(F281)&amp;"-Q"&amp;ROUNDUP(MONTH(F281)/3,0)</f>
        <v/>
      </c>
      <c r="X281" s="41">
        <f>IF(AND(OR(Dashboard!$C$4="All",D281=Dashboard!$C$4),OR(Dashboard!$C$5="All",E281=Dashboard!$C$5)),1,0)</f>
        <v/>
      </c>
      <c r="Y281" s="43">
        <f>IF(AND(X281=1,S281="Yes"),O281+ROW()/1000000,0)</f>
        <v/>
      </c>
    </row>
    <row r="282">
      <c r="A282" s="35" t="inlineStr">
        <is>
          <t>LN100281</t>
        </is>
      </c>
      <c r="B282" s="35" t="inlineStr">
        <is>
          <t>Lakshmi Kulkarni</t>
        </is>
      </c>
      <c r="C282" s="35" t="inlineStr">
        <is>
          <t>LKO-01</t>
        </is>
      </c>
      <c r="D282" s="36">
        <f>INDEX(Branches!$C$2:$C$15,MATCH(C282,Branches!$A$2:$A$15,0))</f>
        <v/>
      </c>
      <c r="E282" s="35" t="inlineStr">
        <is>
          <t>Business Loan</t>
        </is>
      </c>
      <c r="F282" s="37" t="n">
        <v>45147</v>
      </c>
      <c r="G282" s="38" t="n">
        <v>3272000</v>
      </c>
      <c r="H282" s="39" t="n">
        <v>0.1494</v>
      </c>
      <c r="I282" s="35" t="n">
        <v>36</v>
      </c>
      <c r="J282" s="35" t="n">
        <v>741</v>
      </c>
      <c r="K282" s="35" t="n">
        <v>0</v>
      </c>
      <c r="L282" s="40">
        <f>ROUND(PMT(H282/12,I282,-G282),0)</f>
        <v/>
      </c>
      <c r="M282" s="41">
        <f>MAX(0,(YEAR(AsOfDate)-YEAR(F282))*12+MONTH(AsOfDate)-MONTH(F282))</f>
        <v/>
      </c>
      <c r="N282" s="41">
        <f>MAX(0,MIN(I282,M282)-INT(K282/30))</f>
        <v/>
      </c>
      <c r="O282" s="40">
        <f>IF(N282&gt;=I282,0,ROUND(PV(H282/12,I282-N282,-L282),0))</f>
        <v/>
      </c>
      <c r="P282" s="40">
        <f>MIN(I282,M282)*L282-N282*L282</f>
        <v/>
      </c>
      <c r="Q282" s="41">
        <f>INDEX(DPD_Bucket,MATCH(K282,DPD_From,1))</f>
        <v/>
      </c>
      <c r="R282" s="41">
        <f>INDEX(DPD_Class,MATCH(K282,DPD_From,1))</f>
        <v/>
      </c>
      <c r="S282" s="41">
        <f>INDEX(DPD_NPA,MATCH(K282,DPD_From,1))</f>
        <v/>
      </c>
      <c r="T282" s="42">
        <f>INDEX(DPD_Prov,MATCH(K282,DPD_From,1))</f>
        <v/>
      </c>
      <c r="U282" s="40">
        <f>ROUND(O282*T282,0)</f>
        <v/>
      </c>
      <c r="V282" s="41">
        <f>INDEX(CIBIL_Grade,MATCH(J282,CIBIL_From,1))</f>
        <v/>
      </c>
      <c r="W282" s="41">
        <f>YEAR(F282)&amp;"-Q"&amp;ROUNDUP(MONTH(F282)/3,0)</f>
        <v/>
      </c>
      <c r="X282" s="41">
        <f>IF(AND(OR(Dashboard!$C$4="All",D282=Dashboard!$C$4),OR(Dashboard!$C$5="All",E282=Dashboard!$C$5)),1,0)</f>
        <v/>
      </c>
      <c r="Y282" s="43">
        <f>IF(AND(X282=1,S282="Yes"),O282+ROW()/1000000,0)</f>
        <v/>
      </c>
    </row>
    <row r="283">
      <c r="A283" s="35" t="inlineStr">
        <is>
          <t>LN100282</t>
        </is>
      </c>
      <c r="B283" s="35" t="inlineStr">
        <is>
          <t>Kavya Mishra</t>
        </is>
      </c>
      <c r="C283" s="35" t="inlineStr">
        <is>
          <t>KOL-01</t>
        </is>
      </c>
      <c r="D283" s="36">
        <f>INDEX(Branches!$C$2:$C$15,MATCH(C283,Branches!$A$2:$A$15,0))</f>
        <v/>
      </c>
      <c r="E283" s="35" t="inlineStr">
        <is>
          <t>Auto Loan</t>
        </is>
      </c>
      <c r="F283" s="37" t="n">
        <v>45855</v>
      </c>
      <c r="G283" s="38" t="n">
        <v>1621000</v>
      </c>
      <c r="H283" s="39" t="n">
        <v>0.1091</v>
      </c>
      <c r="I283" s="35" t="n">
        <v>48</v>
      </c>
      <c r="J283" s="35" t="n">
        <v>677</v>
      </c>
      <c r="K283" s="35" t="n">
        <v>0</v>
      </c>
      <c r="L283" s="40">
        <f>ROUND(PMT(H283/12,I283,-G283),0)</f>
        <v/>
      </c>
      <c r="M283" s="41">
        <f>MAX(0,(YEAR(AsOfDate)-YEAR(F283))*12+MONTH(AsOfDate)-MONTH(F283))</f>
        <v/>
      </c>
      <c r="N283" s="41">
        <f>MAX(0,MIN(I283,M283)-INT(K283/30))</f>
        <v/>
      </c>
      <c r="O283" s="40">
        <f>IF(N283&gt;=I283,0,ROUND(PV(H283/12,I283-N283,-L283),0))</f>
        <v/>
      </c>
      <c r="P283" s="40">
        <f>MIN(I283,M283)*L283-N283*L283</f>
        <v/>
      </c>
      <c r="Q283" s="41">
        <f>INDEX(DPD_Bucket,MATCH(K283,DPD_From,1))</f>
        <v/>
      </c>
      <c r="R283" s="41">
        <f>INDEX(DPD_Class,MATCH(K283,DPD_From,1))</f>
        <v/>
      </c>
      <c r="S283" s="41">
        <f>INDEX(DPD_NPA,MATCH(K283,DPD_From,1))</f>
        <v/>
      </c>
      <c r="T283" s="42">
        <f>INDEX(DPD_Prov,MATCH(K283,DPD_From,1))</f>
        <v/>
      </c>
      <c r="U283" s="40">
        <f>ROUND(O283*T283,0)</f>
        <v/>
      </c>
      <c r="V283" s="41">
        <f>INDEX(CIBIL_Grade,MATCH(J283,CIBIL_From,1))</f>
        <v/>
      </c>
      <c r="W283" s="41">
        <f>YEAR(F283)&amp;"-Q"&amp;ROUNDUP(MONTH(F283)/3,0)</f>
        <v/>
      </c>
      <c r="X283" s="41">
        <f>IF(AND(OR(Dashboard!$C$4="All",D283=Dashboard!$C$4),OR(Dashboard!$C$5="All",E283=Dashboard!$C$5)),1,0)</f>
        <v/>
      </c>
      <c r="Y283" s="43">
        <f>IF(AND(X283=1,S283="Yes"),O283+ROW()/1000000,0)</f>
        <v/>
      </c>
    </row>
    <row r="284">
      <c r="A284" s="35" t="inlineStr">
        <is>
          <t>LN100283</t>
        </is>
      </c>
      <c r="B284" s="35" t="inlineStr">
        <is>
          <t>Diya Patel</t>
        </is>
      </c>
      <c r="C284" s="35" t="inlineStr">
        <is>
          <t>CHN-01</t>
        </is>
      </c>
      <c r="D284" s="36">
        <f>INDEX(Branches!$C$2:$C$15,MATCH(C284,Branches!$A$2:$A$15,0))</f>
        <v/>
      </c>
      <c r="E284" s="35" t="inlineStr">
        <is>
          <t>Personal Loan</t>
        </is>
      </c>
      <c r="F284" s="37" t="n">
        <v>45278</v>
      </c>
      <c r="G284" s="38" t="n">
        <v>118000</v>
      </c>
      <c r="H284" s="39" t="n">
        <v>0.1153</v>
      </c>
      <c r="I284" s="35" t="n">
        <v>36</v>
      </c>
      <c r="J284" s="35" t="n">
        <v>721</v>
      </c>
      <c r="K284" s="35" t="n">
        <v>3</v>
      </c>
      <c r="L284" s="40">
        <f>ROUND(PMT(H284/12,I284,-G284),0)</f>
        <v/>
      </c>
      <c r="M284" s="41">
        <f>MAX(0,(YEAR(AsOfDate)-YEAR(F284))*12+MONTH(AsOfDate)-MONTH(F284))</f>
        <v/>
      </c>
      <c r="N284" s="41">
        <f>MAX(0,MIN(I284,M284)-INT(K284/30))</f>
        <v/>
      </c>
      <c r="O284" s="40">
        <f>IF(N284&gt;=I284,0,ROUND(PV(H284/12,I284-N284,-L284),0))</f>
        <v/>
      </c>
      <c r="P284" s="40">
        <f>MIN(I284,M284)*L284-N284*L284</f>
        <v/>
      </c>
      <c r="Q284" s="41">
        <f>INDEX(DPD_Bucket,MATCH(K284,DPD_From,1))</f>
        <v/>
      </c>
      <c r="R284" s="41">
        <f>INDEX(DPD_Class,MATCH(K284,DPD_From,1))</f>
        <v/>
      </c>
      <c r="S284" s="41">
        <f>INDEX(DPD_NPA,MATCH(K284,DPD_From,1))</f>
        <v/>
      </c>
      <c r="T284" s="42">
        <f>INDEX(DPD_Prov,MATCH(K284,DPD_From,1))</f>
        <v/>
      </c>
      <c r="U284" s="40">
        <f>ROUND(O284*T284,0)</f>
        <v/>
      </c>
      <c r="V284" s="41">
        <f>INDEX(CIBIL_Grade,MATCH(J284,CIBIL_From,1))</f>
        <v/>
      </c>
      <c r="W284" s="41">
        <f>YEAR(F284)&amp;"-Q"&amp;ROUNDUP(MONTH(F284)/3,0)</f>
        <v/>
      </c>
      <c r="X284" s="41">
        <f>IF(AND(OR(Dashboard!$C$4="All",D284=Dashboard!$C$4),OR(Dashboard!$C$5="All",E284=Dashboard!$C$5)),1,0)</f>
        <v/>
      </c>
      <c r="Y284" s="43">
        <f>IF(AND(X284=1,S284="Yes"),O284+ROW()/1000000,0)</f>
        <v/>
      </c>
    </row>
    <row r="285">
      <c r="A285" s="35" t="inlineStr">
        <is>
          <t>LN100284</t>
        </is>
      </c>
      <c r="B285" s="35" t="inlineStr">
        <is>
          <t>Nikhil Gupta</t>
        </is>
      </c>
      <c r="C285" s="35" t="inlineStr">
        <is>
          <t>HYD-01</t>
        </is>
      </c>
      <c r="D285" s="36">
        <f>INDEX(Branches!$C$2:$C$15,MATCH(C285,Branches!$A$2:$A$15,0))</f>
        <v/>
      </c>
      <c r="E285" s="35" t="inlineStr">
        <is>
          <t>Home Loan</t>
        </is>
      </c>
      <c r="F285" s="37" t="n">
        <v>45463</v>
      </c>
      <c r="G285" s="38" t="n">
        <v>6834000</v>
      </c>
      <c r="H285" s="39" t="n">
        <v>0.0945</v>
      </c>
      <c r="I285" s="35" t="n">
        <v>180</v>
      </c>
      <c r="J285" s="35" t="n">
        <v>629</v>
      </c>
      <c r="K285" s="35" t="n">
        <v>0</v>
      </c>
      <c r="L285" s="40">
        <f>ROUND(PMT(H285/12,I285,-G285),0)</f>
        <v/>
      </c>
      <c r="M285" s="41">
        <f>MAX(0,(YEAR(AsOfDate)-YEAR(F285))*12+MONTH(AsOfDate)-MONTH(F285))</f>
        <v/>
      </c>
      <c r="N285" s="41">
        <f>MAX(0,MIN(I285,M285)-INT(K285/30))</f>
        <v/>
      </c>
      <c r="O285" s="40">
        <f>IF(N285&gt;=I285,0,ROUND(PV(H285/12,I285-N285,-L285),0))</f>
        <v/>
      </c>
      <c r="P285" s="40">
        <f>MIN(I285,M285)*L285-N285*L285</f>
        <v/>
      </c>
      <c r="Q285" s="41">
        <f>INDEX(DPD_Bucket,MATCH(K285,DPD_From,1))</f>
        <v/>
      </c>
      <c r="R285" s="41">
        <f>INDEX(DPD_Class,MATCH(K285,DPD_From,1))</f>
        <v/>
      </c>
      <c r="S285" s="41">
        <f>INDEX(DPD_NPA,MATCH(K285,DPD_From,1))</f>
        <v/>
      </c>
      <c r="T285" s="42">
        <f>INDEX(DPD_Prov,MATCH(K285,DPD_From,1))</f>
        <v/>
      </c>
      <c r="U285" s="40">
        <f>ROUND(O285*T285,0)</f>
        <v/>
      </c>
      <c r="V285" s="41">
        <f>INDEX(CIBIL_Grade,MATCH(J285,CIBIL_From,1))</f>
        <v/>
      </c>
      <c r="W285" s="41">
        <f>YEAR(F285)&amp;"-Q"&amp;ROUNDUP(MONTH(F285)/3,0)</f>
        <v/>
      </c>
      <c r="X285" s="41">
        <f>IF(AND(OR(Dashboard!$C$4="All",D285=Dashboard!$C$4),OR(Dashboard!$C$5="All",E285=Dashboard!$C$5)),1,0)</f>
        <v/>
      </c>
      <c r="Y285" s="43">
        <f>IF(AND(X285=1,S285="Yes"),O285+ROW()/1000000,0)</f>
        <v/>
      </c>
    </row>
    <row r="286">
      <c r="A286" s="35" t="inlineStr">
        <is>
          <t>LN100285</t>
        </is>
      </c>
      <c r="B286" s="35" t="inlineStr">
        <is>
          <t>Ananya Mishra</t>
        </is>
      </c>
      <c r="C286" s="35" t="inlineStr">
        <is>
          <t>KOL-01</t>
        </is>
      </c>
      <c r="D286" s="36">
        <f>INDEX(Branches!$C$2:$C$15,MATCH(C286,Branches!$A$2:$A$15,0))</f>
        <v/>
      </c>
      <c r="E286" s="35" t="inlineStr">
        <is>
          <t>Business Loan</t>
        </is>
      </c>
      <c r="F286" s="37" t="n">
        <v>46113</v>
      </c>
      <c r="G286" s="38" t="n">
        <v>847000</v>
      </c>
      <c r="H286" s="39" t="n">
        <v>0.1619</v>
      </c>
      <c r="I286" s="35" t="n">
        <v>12</v>
      </c>
      <c r="J286" s="35" t="n">
        <v>705</v>
      </c>
      <c r="K286" s="35" t="n">
        <v>0</v>
      </c>
      <c r="L286" s="40">
        <f>ROUND(PMT(H286/12,I286,-G286),0)</f>
        <v/>
      </c>
      <c r="M286" s="41">
        <f>MAX(0,(YEAR(AsOfDate)-YEAR(F286))*12+MONTH(AsOfDate)-MONTH(F286))</f>
        <v/>
      </c>
      <c r="N286" s="41">
        <f>MAX(0,MIN(I286,M286)-INT(K286/30))</f>
        <v/>
      </c>
      <c r="O286" s="40">
        <f>IF(N286&gt;=I286,0,ROUND(PV(H286/12,I286-N286,-L286),0))</f>
        <v/>
      </c>
      <c r="P286" s="40">
        <f>MIN(I286,M286)*L286-N286*L286</f>
        <v/>
      </c>
      <c r="Q286" s="41">
        <f>INDEX(DPD_Bucket,MATCH(K286,DPD_From,1))</f>
        <v/>
      </c>
      <c r="R286" s="41">
        <f>INDEX(DPD_Class,MATCH(K286,DPD_From,1))</f>
        <v/>
      </c>
      <c r="S286" s="41">
        <f>INDEX(DPD_NPA,MATCH(K286,DPD_From,1))</f>
        <v/>
      </c>
      <c r="T286" s="42">
        <f>INDEX(DPD_Prov,MATCH(K286,DPD_From,1))</f>
        <v/>
      </c>
      <c r="U286" s="40">
        <f>ROUND(O286*T286,0)</f>
        <v/>
      </c>
      <c r="V286" s="41">
        <f>INDEX(CIBIL_Grade,MATCH(J286,CIBIL_From,1))</f>
        <v/>
      </c>
      <c r="W286" s="41">
        <f>YEAR(F286)&amp;"-Q"&amp;ROUNDUP(MONTH(F286)/3,0)</f>
        <v/>
      </c>
      <c r="X286" s="41">
        <f>IF(AND(OR(Dashboard!$C$4="All",D286=Dashboard!$C$4),OR(Dashboard!$C$5="All",E286=Dashboard!$C$5)),1,0)</f>
        <v/>
      </c>
      <c r="Y286" s="43">
        <f>IF(AND(X286=1,S286="Yes"),O286+ROW()/1000000,0)</f>
        <v/>
      </c>
    </row>
    <row r="287">
      <c r="A287" s="35" t="inlineStr">
        <is>
          <t>LN100286</t>
        </is>
      </c>
      <c r="B287" s="35" t="inlineStr">
        <is>
          <t>Ananya Nair</t>
        </is>
      </c>
      <c r="C287" s="35" t="inlineStr">
        <is>
          <t>JAI-01</t>
        </is>
      </c>
      <c r="D287" s="36">
        <f>INDEX(Branches!$C$2:$C$15,MATCH(C287,Branches!$A$2:$A$15,0))</f>
        <v/>
      </c>
      <c r="E287" s="35" t="inlineStr">
        <is>
          <t>Auto Loan</t>
        </is>
      </c>
      <c r="F287" s="37" t="n">
        <v>45832</v>
      </c>
      <c r="G287" s="38" t="n">
        <v>1479000</v>
      </c>
      <c r="H287" s="39" t="n">
        <v>0.0926</v>
      </c>
      <c r="I287" s="35" t="n">
        <v>84</v>
      </c>
      <c r="J287" s="35" t="n">
        <v>785</v>
      </c>
      <c r="K287" s="35" t="n">
        <v>0</v>
      </c>
      <c r="L287" s="40">
        <f>ROUND(PMT(H287/12,I287,-G287),0)</f>
        <v/>
      </c>
      <c r="M287" s="41">
        <f>MAX(0,(YEAR(AsOfDate)-YEAR(F287))*12+MONTH(AsOfDate)-MONTH(F287))</f>
        <v/>
      </c>
      <c r="N287" s="41">
        <f>MAX(0,MIN(I287,M287)-INT(K287/30))</f>
        <v/>
      </c>
      <c r="O287" s="40">
        <f>IF(N287&gt;=I287,0,ROUND(PV(H287/12,I287-N287,-L287),0))</f>
        <v/>
      </c>
      <c r="P287" s="40">
        <f>MIN(I287,M287)*L287-N287*L287</f>
        <v/>
      </c>
      <c r="Q287" s="41">
        <f>INDEX(DPD_Bucket,MATCH(K287,DPD_From,1))</f>
        <v/>
      </c>
      <c r="R287" s="41">
        <f>INDEX(DPD_Class,MATCH(K287,DPD_From,1))</f>
        <v/>
      </c>
      <c r="S287" s="41">
        <f>INDEX(DPD_NPA,MATCH(K287,DPD_From,1))</f>
        <v/>
      </c>
      <c r="T287" s="42">
        <f>INDEX(DPD_Prov,MATCH(K287,DPD_From,1))</f>
        <v/>
      </c>
      <c r="U287" s="40">
        <f>ROUND(O287*T287,0)</f>
        <v/>
      </c>
      <c r="V287" s="41">
        <f>INDEX(CIBIL_Grade,MATCH(J287,CIBIL_From,1))</f>
        <v/>
      </c>
      <c r="W287" s="41">
        <f>YEAR(F287)&amp;"-Q"&amp;ROUNDUP(MONTH(F287)/3,0)</f>
        <v/>
      </c>
      <c r="X287" s="41">
        <f>IF(AND(OR(Dashboard!$C$4="All",D287=Dashboard!$C$4),OR(Dashboard!$C$5="All",E287=Dashboard!$C$5)),1,0)</f>
        <v/>
      </c>
      <c r="Y287" s="43">
        <f>IF(AND(X287=1,S287="Yes"),O287+ROW()/1000000,0)</f>
        <v/>
      </c>
    </row>
    <row r="288">
      <c r="A288" s="35" t="inlineStr">
        <is>
          <t>LN100287</t>
        </is>
      </c>
      <c r="B288" s="35" t="inlineStr">
        <is>
          <t>Harsh Khan</t>
        </is>
      </c>
      <c r="C288" s="35" t="inlineStr">
        <is>
          <t>KOC-01</t>
        </is>
      </c>
      <c r="D288" s="36">
        <f>INDEX(Branches!$C$2:$C$15,MATCH(C288,Branches!$A$2:$A$15,0))</f>
        <v/>
      </c>
      <c r="E288" s="35" t="inlineStr">
        <is>
          <t>Business Loan</t>
        </is>
      </c>
      <c r="F288" s="37" t="n">
        <v>46083</v>
      </c>
      <c r="G288" s="38" t="n">
        <v>1948000</v>
      </c>
      <c r="H288" s="39" t="n">
        <v>0.1591</v>
      </c>
      <c r="I288" s="35" t="n">
        <v>12</v>
      </c>
      <c r="J288" s="35" t="n">
        <v>740</v>
      </c>
      <c r="K288" s="35" t="n">
        <v>75</v>
      </c>
      <c r="L288" s="40">
        <f>ROUND(PMT(H288/12,I288,-G288),0)</f>
        <v/>
      </c>
      <c r="M288" s="41">
        <f>MAX(0,(YEAR(AsOfDate)-YEAR(F288))*12+MONTH(AsOfDate)-MONTH(F288))</f>
        <v/>
      </c>
      <c r="N288" s="41">
        <f>MAX(0,MIN(I288,M288)-INT(K288/30))</f>
        <v/>
      </c>
      <c r="O288" s="40">
        <f>IF(N288&gt;=I288,0,ROUND(PV(H288/12,I288-N288,-L288),0))</f>
        <v/>
      </c>
      <c r="P288" s="40">
        <f>MIN(I288,M288)*L288-N288*L288</f>
        <v/>
      </c>
      <c r="Q288" s="41">
        <f>INDEX(DPD_Bucket,MATCH(K288,DPD_From,1))</f>
        <v/>
      </c>
      <c r="R288" s="41">
        <f>INDEX(DPD_Class,MATCH(K288,DPD_From,1))</f>
        <v/>
      </c>
      <c r="S288" s="41">
        <f>INDEX(DPD_NPA,MATCH(K288,DPD_From,1))</f>
        <v/>
      </c>
      <c r="T288" s="42">
        <f>INDEX(DPD_Prov,MATCH(K288,DPD_From,1))</f>
        <v/>
      </c>
      <c r="U288" s="40">
        <f>ROUND(O288*T288,0)</f>
        <v/>
      </c>
      <c r="V288" s="41">
        <f>INDEX(CIBIL_Grade,MATCH(J288,CIBIL_From,1))</f>
        <v/>
      </c>
      <c r="W288" s="41">
        <f>YEAR(F288)&amp;"-Q"&amp;ROUNDUP(MONTH(F288)/3,0)</f>
        <v/>
      </c>
      <c r="X288" s="41">
        <f>IF(AND(OR(Dashboard!$C$4="All",D288=Dashboard!$C$4),OR(Dashboard!$C$5="All",E288=Dashboard!$C$5)),1,0)</f>
        <v/>
      </c>
      <c r="Y288" s="43">
        <f>IF(AND(X288=1,S288="Yes"),O288+ROW()/1000000,0)</f>
        <v/>
      </c>
    </row>
    <row r="289">
      <c r="A289" s="35" t="inlineStr">
        <is>
          <t>LN100288</t>
        </is>
      </c>
      <c r="B289" s="35" t="inlineStr">
        <is>
          <t>Arjun Chatterjee</t>
        </is>
      </c>
      <c r="C289" s="35" t="inlineStr">
        <is>
          <t>KOL-01</t>
        </is>
      </c>
      <c r="D289" s="36">
        <f>INDEX(Branches!$C$2:$C$15,MATCH(C289,Branches!$A$2:$A$15,0))</f>
        <v/>
      </c>
      <c r="E289" s="35" t="inlineStr">
        <is>
          <t>Business Loan</t>
        </is>
      </c>
      <c r="F289" s="37" t="n">
        <v>46014</v>
      </c>
      <c r="G289" s="38" t="n">
        <v>4559000</v>
      </c>
      <c r="H289" s="39" t="n">
        <v>0.1426</v>
      </c>
      <c r="I289" s="35" t="n">
        <v>36</v>
      </c>
      <c r="J289" s="35" t="n">
        <v>728</v>
      </c>
      <c r="K289" s="35" t="n">
        <v>0</v>
      </c>
      <c r="L289" s="40">
        <f>ROUND(PMT(H289/12,I289,-G289),0)</f>
        <v/>
      </c>
      <c r="M289" s="41">
        <f>MAX(0,(YEAR(AsOfDate)-YEAR(F289))*12+MONTH(AsOfDate)-MONTH(F289))</f>
        <v/>
      </c>
      <c r="N289" s="41">
        <f>MAX(0,MIN(I289,M289)-INT(K289/30))</f>
        <v/>
      </c>
      <c r="O289" s="40">
        <f>IF(N289&gt;=I289,0,ROUND(PV(H289/12,I289-N289,-L289),0))</f>
        <v/>
      </c>
      <c r="P289" s="40">
        <f>MIN(I289,M289)*L289-N289*L289</f>
        <v/>
      </c>
      <c r="Q289" s="41">
        <f>INDEX(DPD_Bucket,MATCH(K289,DPD_From,1))</f>
        <v/>
      </c>
      <c r="R289" s="41">
        <f>INDEX(DPD_Class,MATCH(K289,DPD_From,1))</f>
        <v/>
      </c>
      <c r="S289" s="41">
        <f>INDEX(DPD_NPA,MATCH(K289,DPD_From,1))</f>
        <v/>
      </c>
      <c r="T289" s="42">
        <f>INDEX(DPD_Prov,MATCH(K289,DPD_From,1))</f>
        <v/>
      </c>
      <c r="U289" s="40">
        <f>ROUND(O289*T289,0)</f>
        <v/>
      </c>
      <c r="V289" s="41">
        <f>INDEX(CIBIL_Grade,MATCH(J289,CIBIL_From,1))</f>
        <v/>
      </c>
      <c r="W289" s="41">
        <f>YEAR(F289)&amp;"-Q"&amp;ROUNDUP(MONTH(F289)/3,0)</f>
        <v/>
      </c>
      <c r="X289" s="41">
        <f>IF(AND(OR(Dashboard!$C$4="All",D289=Dashboard!$C$4),OR(Dashboard!$C$5="All",E289=Dashboard!$C$5)),1,0)</f>
        <v/>
      </c>
      <c r="Y289" s="43">
        <f>IF(AND(X289=1,S289="Yes"),O289+ROW()/1000000,0)</f>
        <v/>
      </c>
    </row>
    <row r="290">
      <c r="A290" s="35" t="inlineStr">
        <is>
          <t>LN100289</t>
        </is>
      </c>
      <c r="B290" s="35" t="inlineStr">
        <is>
          <t>Gaurav Singh</t>
        </is>
      </c>
      <c r="C290" s="35" t="inlineStr">
        <is>
          <t>PUN-01</t>
        </is>
      </c>
      <c r="D290" s="36">
        <f>INDEX(Branches!$C$2:$C$15,MATCH(C290,Branches!$A$2:$A$15,0))</f>
        <v/>
      </c>
      <c r="E290" s="35" t="inlineStr">
        <is>
          <t>Business Loan</t>
        </is>
      </c>
      <c r="F290" s="37" t="n">
        <v>45352</v>
      </c>
      <c r="G290" s="38" t="n">
        <v>889000</v>
      </c>
      <c r="H290" s="39" t="n">
        <v>0.162</v>
      </c>
      <c r="I290" s="35" t="n">
        <v>12</v>
      </c>
      <c r="J290" s="35" t="n">
        <v>790</v>
      </c>
      <c r="K290" s="35" t="n">
        <v>0</v>
      </c>
      <c r="L290" s="40">
        <f>ROUND(PMT(H290/12,I290,-G290),0)</f>
        <v/>
      </c>
      <c r="M290" s="41">
        <f>MAX(0,(YEAR(AsOfDate)-YEAR(F290))*12+MONTH(AsOfDate)-MONTH(F290))</f>
        <v/>
      </c>
      <c r="N290" s="41">
        <f>MAX(0,MIN(I290,M290)-INT(K290/30))</f>
        <v/>
      </c>
      <c r="O290" s="40">
        <f>IF(N290&gt;=I290,0,ROUND(PV(H290/12,I290-N290,-L290),0))</f>
        <v/>
      </c>
      <c r="P290" s="40">
        <f>MIN(I290,M290)*L290-N290*L290</f>
        <v/>
      </c>
      <c r="Q290" s="41">
        <f>INDEX(DPD_Bucket,MATCH(K290,DPD_From,1))</f>
        <v/>
      </c>
      <c r="R290" s="41">
        <f>INDEX(DPD_Class,MATCH(K290,DPD_From,1))</f>
        <v/>
      </c>
      <c r="S290" s="41">
        <f>INDEX(DPD_NPA,MATCH(K290,DPD_From,1))</f>
        <v/>
      </c>
      <c r="T290" s="42">
        <f>INDEX(DPD_Prov,MATCH(K290,DPD_From,1))</f>
        <v/>
      </c>
      <c r="U290" s="40">
        <f>ROUND(O290*T290,0)</f>
        <v/>
      </c>
      <c r="V290" s="41">
        <f>INDEX(CIBIL_Grade,MATCH(J290,CIBIL_From,1))</f>
        <v/>
      </c>
      <c r="W290" s="41">
        <f>YEAR(F290)&amp;"-Q"&amp;ROUNDUP(MONTH(F290)/3,0)</f>
        <v/>
      </c>
      <c r="X290" s="41">
        <f>IF(AND(OR(Dashboard!$C$4="All",D290=Dashboard!$C$4),OR(Dashboard!$C$5="All",E290=Dashboard!$C$5)),1,0)</f>
        <v/>
      </c>
      <c r="Y290" s="43">
        <f>IF(AND(X290=1,S290="Yes"),O290+ROW()/1000000,0)</f>
        <v/>
      </c>
    </row>
    <row r="291">
      <c r="A291" s="35" t="inlineStr">
        <is>
          <t>LN100290</t>
        </is>
      </c>
      <c r="B291" s="35" t="inlineStr">
        <is>
          <t>Kabir Joshi</t>
        </is>
      </c>
      <c r="C291" s="35" t="inlineStr">
        <is>
          <t>PUN-01</t>
        </is>
      </c>
      <c r="D291" s="36">
        <f>INDEX(Branches!$C$2:$C$15,MATCH(C291,Branches!$A$2:$A$15,0))</f>
        <v/>
      </c>
      <c r="E291" s="35" t="inlineStr">
        <is>
          <t>Auto Loan</t>
        </is>
      </c>
      <c r="F291" s="37" t="n">
        <v>45551</v>
      </c>
      <c r="G291" s="38" t="n">
        <v>1347000</v>
      </c>
      <c r="H291" s="39" t="n">
        <v>0.1043</v>
      </c>
      <c r="I291" s="35" t="n">
        <v>60</v>
      </c>
      <c r="J291" s="35" t="n">
        <v>760</v>
      </c>
      <c r="K291" s="35" t="n">
        <v>0</v>
      </c>
      <c r="L291" s="40">
        <f>ROUND(PMT(H291/12,I291,-G291),0)</f>
        <v/>
      </c>
      <c r="M291" s="41">
        <f>MAX(0,(YEAR(AsOfDate)-YEAR(F291))*12+MONTH(AsOfDate)-MONTH(F291))</f>
        <v/>
      </c>
      <c r="N291" s="41">
        <f>MAX(0,MIN(I291,M291)-INT(K291/30))</f>
        <v/>
      </c>
      <c r="O291" s="40">
        <f>IF(N291&gt;=I291,0,ROUND(PV(H291/12,I291-N291,-L291),0))</f>
        <v/>
      </c>
      <c r="P291" s="40">
        <f>MIN(I291,M291)*L291-N291*L291</f>
        <v/>
      </c>
      <c r="Q291" s="41">
        <f>INDEX(DPD_Bucket,MATCH(K291,DPD_From,1))</f>
        <v/>
      </c>
      <c r="R291" s="41">
        <f>INDEX(DPD_Class,MATCH(K291,DPD_From,1))</f>
        <v/>
      </c>
      <c r="S291" s="41">
        <f>INDEX(DPD_NPA,MATCH(K291,DPD_From,1))</f>
        <v/>
      </c>
      <c r="T291" s="42">
        <f>INDEX(DPD_Prov,MATCH(K291,DPD_From,1))</f>
        <v/>
      </c>
      <c r="U291" s="40">
        <f>ROUND(O291*T291,0)</f>
        <v/>
      </c>
      <c r="V291" s="41">
        <f>INDEX(CIBIL_Grade,MATCH(J291,CIBIL_From,1))</f>
        <v/>
      </c>
      <c r="W291" s="41">
        <f>YEAR(F291)&amp;"-Q"&amp;ROUNDUP(MONTH(F291)/3,0)</f>
        <v/>
      </c>
      <c r="X291" s="41">
        <f>IF(AND(OR(Dashboard!$C$4="All",D291=Dashboard!$C$4),OR(Dashboard!$C$5="All",E291=Dashboard!$C$5)),1,0)</f>
        <v/>
      </c>
      <c r="Y291" s="43">
        <f>IF(AND(X291=1,S291="Yes"),O291+ROW()/1000000,0)</f>
        <v/>
      </c>
    </row>
    <row r="292">
      <c r="A292" s="35" t="inlineStr">
        <is>
          <t>LN100291</t>
        </is>
      </c>
      <c r="B292" s="35" t="inlineStr">
        <is>
          <t>Gaurav Singh</t>
        </is>
      </c>
      <c r="C292" s="35" t="inlineStr">
        <is>
          <t>CHN-01</t>
        </is>
      </c>
      <c r="D292" s="36">
        <f>INDEX(Branches!$C$2:$C$15,MATCH(C292,Branches!$A$2:$A$15,0))</f>
        <v/>
      </c>
      <c r="E292" s="35" t="inlineStr">
        <is>
          <t>Business Loan</t>
        </is>
      </c>
      <c r="F292" s="37" t="n">
        <v>45671</v>
      </c>
      <c r="G292" s="38" t="n">
        <v>1423000</v>
      </c>
      <c r="H292" s="39" t="n">
        <v>0.1988</v>
      </c>
      <c r="I292" s="35" t="n">
        <v>24</v>
      </c>
      <c r="J292" s="35" t="n">
        <v>809</v>
      </c>
      <c r="K292" s="35" t="n">
        <v>95</v>
      </c>
      <c r="L292" s="40">
        <f>ROUND(PMT(H292/12,I292,-G292),0)</f>
        <v/>
      </c>
      <c r="M292" s="41">
        <f>MAX(0,(YEAR(AsOfDate)-YEAR(F292))*12+MONTH(AsOfDate)-MONTH(F292))</f>
        <v/>
      </c>
      <c r="N292" s="41">
        <f>MAX(0,MIN(I292,M292)-INT(K292/30))</f>
        <v/>
      </c>
      <c r="O292" s="40">
        <f>IF(N292&gt;=I292,0,ROUND(PV(H292/12,I292-N292,-L292),0))</f>
        <v/>
      </c>
      <c r="P292" s="40">
        <f>MIN(I292,M292)*L292-N292*L292</f>
        <v/>
      </c>
      <c r="Q292" s="41">
        <f>INDEX(DPD_Bucket,MATCH(K292,DPD_From,1))</f>
        <v/>
      </c>
      <c r="R292" s="41">
        <f>INDEX(DPD_Class,MATCH(K292,DPD_From,1))</f>
        <v/>
      </c>
      <c r="S292" s="41">
        <f>INDEX(DPD_NPA,MATCH(K292,DPD_From,1))</f>
        <v/>
      </c>
      <c r="T292" s="42">
        <f>INDEX(DPD_Prov,MATCH(K292,DPD_From,1))</f>
        <v/>
      </c>
      <c r="U292" s="40">
        <f>ROUND(O292*T292,0)</f>
        <v/>
      </c>
      <c r="V292" s="41">
        <f>INDEX(CIBIL_Grade,MATCH(J292,CIBIL_From,1))</f>
        <v/>
      </c>
      <c r="W292" s="41">
        <f>YEAR(F292)&amp;"-Q"&amp;ROUNDUP(MONTH(F292)/3,0)</f>
        <v/>
      </c>
      <c r="X292" s="41">
        <f>IF(AND(OR(Dashboard!$C$4="All",D292=Dashboard!$C$4),OR(Dashboard!$C$5="All",E292=Dashboard!$C$5)),1,0)</f>
        <v/>
      </c>
      <c r="Y292" s="43">
        <f>IF(AND(X292=1,S292="Yes"),O292+ROW()/1000000,0)</f>
        <v/>
      </c>
    </row>
    <row r="293">
      <c r="A293" s="35" t="inlineStr">
        <is>
          <t>LN100292</t>
        </is>
      </c>
      <c r="B293" s="35" t="inlineStr">
        <is>
          <t>Aditya Verma</t>
        </is>
      </c>
      <c r="C293" s="35" t="inlineStr">
        <is>
          <t>KOC-01</t>
        </is>
      </c>
      <c r="D293" s="36">
        <f>INDEX(Branches!$C$2:$C$15,MATCH(C293,Branches!$A$2:$A$15,0))</f>
        <v/>
      </c>
      <c r="E293" s="35" t="inlineStr">
        <is>
          <t>Auto Loan</t>
        </is>
      </c>
      <c r="F293" s="37" t="n">
        <v>45882</v>
      </c>
      <c r="G293" s="38" t="n">
        <v>1836000</v>
      </c>
      <c r="H293" s="39" t="n">
        <v>0.1051</v>
      </c>
      <c r="I293" s="35" t="n">
        <v>36</v>
      </c>
      <c r="J293" s="35" t="n">
        <v>838</v>
      </c>
      <c r="K293" s="35" t="n">
        <v>0</v>
      </c>
      <c r="L293" s="40">
        <f>ROUND(PMT(H293/12,I293,-G293),0)</f>
        <v/>
      </c>
      <c r="M293" s="41">
        <f>MAX(0,(YEAR(AsOfDate)-YEAR(F293))*12+MONTH(AsOfDate)-MONTH(F293))</f>
        <v/>
      </c>
      <c r="N293" s="41">
        <f>MAX(0,MIN(I293,M293)-INT(K293/30))</f>
        <v/>
      </c>
      <c r="O293" s="40">
        <f>IF(N293&gt;=I293,0,ROUND(PV(H293/12,I293-N293,-L293),0))</f>
        <v/>
      </c>
      <c r="P293" s="40">
        <f>MIN(I293,M293)*L293-N293*L293</f>
        <v/>
      </c>
      <c r="Q293" s="41">
        <f>INDEX(DPD_Bucket,MATCH(K293,DPD_From,1))</f>
        <v/>
      </c>
      <c r="R293" s="41">
        <f>INDEX(DPD_Class,MATCH(K293,DPD_From,1))</f>
        <v/>
      </c>
      <c r="S293" s="41">
        <f>INDEX(DPD_NPA,MATCH(K293,DPD_From,1))</f>
        <v/>
      </c>
      <c r="T293" s="42">
        <f>INDEX(DPD_Prov,MATCH(K293,DPD_From,1))</f>
        <v/>
      </c>
      <c r="U293" s="40">
        <f>ROUND(O293*T293,0)</f>
        <v/>
      </c>
      <c r="V293" s="41">
        <f>INDEX(CIBIL_Grade,MATCH(J293,CIBIL_From,1))</f>
        <v/>
      </c>
      <c r="W293" s="41">
        <f>YEAR(F293)&amp;"-Q"&amp;ROUNDUP(MONTH(F293)/3,0)</f>
        <v/>
      </c>
      <c r="X293" s="41">
        <f>IF(AND(OR(Dashboard!$C$4="All",D293=Dashboard!$C$4),OR(Dashboard!$C$5="All",E293=Dashboard!$C$5)),1,0)</f>
        <v/>
      </c>
      <c r="Y293" s="43">
        <f>IF(AND(X293=1,S293="Yes"),O293+ROW()/1000000,0)</f>
        <v/>
      </c>
    </row>
    <row r="294">
      <c r="A294" s="35" t="inlineStr">
        <is>
          <t>LN100293</t>
        </is>
      </c>
      <c r="B294" s="35" t="inlineStr">
        <is>
          <t>Meera Reddy</t>
        </is>
      </c>
      <c r="C294" s="35" t="inlineStr">
        <is>
          <t>KOC-01</t>
        </is>
      </c>
      <c r="D294" s="36">
        <f>INDEX(Branches!$C$2:$C$15,MATCH(C294,Branches!$A$2:$A$15,0))</f>
        <v/>
      </c>
      <c r="E294" s="35" t="inlineStr">
        <is>
          <t>Business Loan</t>
        </is>
      </c>
      <c r="F294" s="37" t="n">
        <v>45235</v>
      </c>
      <c r="G294" s="38" t="n">
        <v>1813000</v>
      </c>
      <c r="H294" s="39" t="n">
        <v>0.1896</v>
      </c>
      <c r="I294" s="35" t="n">
        <v>36</v>
      </c>
      <c r="J294" s="35" t="n">
        <v>757</v>
      </c>
      <c r="K294" s="35" t="n">
        <v>5</v>
      </c>
      <c r="L294" s="40">
        <f>ROUND(PMT(H294/12,I294,-G294),0)</f>
        <v/>
      </c>
      <c r="M294" s="41">
        <f>MAX(0,(YEAR(AsOfDate)-YEAR(F294))*12+MONTH(AsOfDate)-MONTH(F294))</f>
        <v/>
      </c>
      <c r="N294" s="41">
        <f>MAX(0,MIN(I294,M294)-INT(K294/30))</f>
        <v/>
      </c>
      <c r="O294" s="40">
        <f>IF(N294&gt;=I294,0,ROUND(PV(H294/12,I294-N294,-L294),0))</f>
        <v/>
      </c>
      <c r="P294" s="40">
        <f>MIN(I294,M294)*L294-N294*L294</f>
        <v/>
      </c>
      <c r="Q294" s="41">
        <f>INDEX(DPD_Bucket,MATCH(K294,DPD_From,1))</f>
        <v/>
      </c>
      <c r="R294" s="41">
        <f>INDEX(DPD_Class,MATCH(K294,DPD_From,1))</f>
        <v/>
      </c>
      <c r="S294" s="41">
        <f>INDEX(DPD_NPA,MATCH(K294,DPD_From,1))</f>
        <v/>
      </c>
      <c r="T294" s="42">
        <f>INDEX(DPD_Prov,MATCH(K294,DPD_From,1))</f>
        <v/>
      </c>
      <c r="U294" s="40">
        <f>ROUND(O294*T294,0)</f>
        <v/>
      </c>
      <c r="V294" s="41">
        <f>INDEX(CIBIL_Grade,MATCH(J294,CIBIL_From,1))</f>
        <v/>
      </c>
      <c r="W294" s="41">
        <f>YEAR(F294)&amp;"-Q"&amp;ROUNDUP(MONTH(F294)/3,0)</f>
        <v/>
      </c>
      <c r="X294" s="41">
        <f>IF(AND(OR(Dashboard!$C$4="All",D294=Dashboard!$C$4),OR(Dashboard!$C$5="All",E294=Dashboard!$C$5)),1,0)</f>
        <v/>
      </c>
      <c r="Y294" s="43">
        <f>IF(AND(X294=1,S294="Yes"),O294+ROW()/1000000,0)</f>
        <v/>
      </c>
    </row>
    <row r="295">
      <c r="A295" s="35" t="inlineStr">
        <is>
          <t>LN100294</t>
        </is>
      </c>
      <c r="B295" s="35" t="inlineStr">
        <is>
          <t>Ananya Mohanty</t>
        </is>
      </c>
      <c r="C295" s="35" t="inlineStr">
        <is>
          <t>CHN-01</t>
        </is>
      </c>
      <c r="D295" s="36">
        <f>INDEX(Branches!$C$2:$C$15,MATCH(C295,Branches!$A$2:$A$15,0))</f>
        <v/>
      </c>
      <c r="E295" s="35" t="inlineStr">
        <is>
          <t>Gold Loan</t>
        </is>
      </c>
      <c r="F295" s="37" t="n">
        <v>45505</v>
      </c>
      <c r="G295" s="38" t="n">
        <v>475000</v>
      </c>
      <c r="H295" s="39" t="n">
        <v>0.0941</v>
      </c>
      <c r="I295" s="35" t="n">
        <v>12</v>
      </c>
      <c r="J295" s="35" t="n">
        <v>731</v>
      </c>
      <c r="K295" s="35" t="n">
        <v>0</v>
      </c>
      <c r="L295" s="40">
        <f>ROUND(PMT(H295/12,I295,-G295),0)</f>
        <v/>
      </c>
      <c r="M295" s="41">
        <f>MAX(0,(YEAR(AsOfDate)-YEAR(F295))*12+MONTH(AsOfDate)-MONTH(F295))</f>
        <v/>
      </c>
      <c r="N295" s="41">
        <f>MAX(0,MIN(I295,M295)-INT(K295/30))</f>
        <v/>
      </c>
      <c r="O295" s="40">
        <f>IF(N295&gt;=I295,0,ROUND(PV(H295/12,I295-N295,-L295),0))</f>
        <v/>
      </c>
      <c r="P295" s="40">
        <f>MIN(I295,M295)*L295-N295*L295</f>
        <v/>
      </c>
      <c r="Q295" s="41">
        <f>INDEX(DPD_Bucket,MATCH(K295,DPD_From,1))</f>
        <v/>
      </c>
      <c r="R295" s="41">
        <f>INDEX(DPD_Class,MATCH(K295,DPD_From,1))</f>
        <v/>
      </c>
      <c r="S295" s="41">
        <f>INDEX(DPD_NPA,MATCH(K295,DPD_From,1))</f>
        <v/>
      </c>
      <c r="T295" s="42">
        <f>INDEX(DPD_Prov,MATCH(K295,DPD_From,1))</f>
        <v/>
      </c>
      <c r="U295" s="40">
        <f>ROUND(O295*T295,0)</f>
        <v/>
      </c>
      <c r="V295" s="41">
        <f>INDEX(CIBIL_Grade,MATCH(J295,CIBIL_From,1))</f>
        <v/>
      </c>
      <c r="W295" s="41">
        <f>YEAR(F295)&amp;"-Q"&amp;ROUNDUP(MONTH(F295)/3,0)</f>
        <v/>
      </c>
      <c r="X295" s="41">
        <f>IF(AND(OR(Dashboard!$C$4="All",D295=Dashboard!$C$4),OR(Dashboard!$C$5="All",E295=Dashboard!$C$5)),1,0)</f>
        <v/>
      </c>
      <c r="Y295" s="43">
        <f>IF(AND(X295=1,S295="Yes"),O295+ROW()/1000000,0)</f>
        <v/>
      </c>
    </row>
    <row r="296">
      <c r="A296" s="35" t="inlineStr">
        <is>
          <t>LN100295</t>
        </is>
      </c>
      <c r="B296" s="35" t="inlineStr">
        <is>
          <t>Arjun Kulkarni</t>
        </is>
      </c>
      <c r="C296" s="35" t="inlineStr">
        <is>
          <t>PUN-01</t>
        </is>
      </c>
      <c r="D296" s="36">
        <f>INDEX(Branches!$C$2:$C$15,MATCH(C296,Branches!$A$2:$A$15,0))</f>
        <v/>
      </c>
      <c r="E296" s="35" t="inlineStr">
        <is>
          <t>Business Loan</t>
        </is>
      </c>
      <c r="F296" s="37" t="n">
        <v>45855</v>
      </c>
      <c r="G296" s="38" t="n">
        <v>4841000</v>
      </c>
      <c r="H296" s="39" t="n">
        <v>0.1445</v>
      </c>
      <c r="I296" s="35" t="n">
        <v>12</v>
      </c>
      <c r="J296" s="35" t="n">
        <v>782</v>
      </c>
      <c r="K296" s="35" t="n">
        <v>0</v>
      </c>
      <c r="L296" s="40">
        <f>ROUND(PMT(H296/12,I296,-G296),0)</f>
        <v/>
      </c>
      <c r="M296" s="41">
        <f>MAX(0,(YEAR(AsOfDate)-YEAR(F296))*12+MONTH(AsOfDate)-MONTH(F296))</f>
        <v/>
      </c>
      <c r="N296" s="41">
        <f>MAX(0,MIN(I296,M296)-INT(K296/30))</f>
        <v/>
      </c>
      <c r="O296" s="40">
        <f>IF(N296&gt;=I296,0,ROUND(PV(H296/12,I296-N296,-L296),0))</f>
        <v/>
      </c>
      <c r="P296" s="40">
        <f>MIN(I296,M296)*L296-N296*L296</f>
        <v/>
      </c>
      <c r="Q296" s="41">
        <f>INDEX(DPD_Bucket,MATCH(K296,DPD_From,1))</f>
        <v/>
      </c>
      <c r="R296" s="41">
        <f>INDEX(DPD_Class,MATCH(K296,DPD_From,1))</f>
        <v/>
      </c>
      <c r="S296" s="41">
        <f>INDEX(DPD_NPA,MATCH(K296,DPD_From,1))</f>
        <v/>
      </c>
      <c r="T296" s="42">
        <f>INDEX(DPD_Prov,MATCH(K296,DPD_From,1))</f>
        <v/>
      </c>
      <c r="U296" s="40">
        <f>ROUND(O296*T296,0)</f>
        <v/>
      </c>
      <c r="V296" s="41">
        <f>INDEX(CIBIL_Grade,MATCH(J296,CIBIL_From,1))</f>
        <v/>
      </c>
      <c r="W296" s="41">
        <f>YEAR(F296)&amp;"-Q"&amp;ROUNDUP(MONTH(F296)/3,0)</f>
        <v/>
      </c>
      <c r="X296" s="41">
        <f>IF(AND(OR(Dashboard!$C$4="All",D296=Dashboard!$C$4),OR(Dashboard!$C$5="All",E296=Dashboard!$C$5)),1,0)</f>
        <v/>
      </c>
      <c r="Y296" s="43">
        <f>IF(AND(X296=1,S296="Yes"),O296+ROW()/1000000,0)</f>
        <v/>
      </c>
    </row>
    <row r="297">
      <c r="A297" s="35" t="inlineStr">
        <is>
          <t>LN100296</t>
        </is>
      </c>
      <c r="B297" s="35" t="inlineStr">
        <is>
          <t>Nikhil Singh</t>
        </is>
      </c>
      <c r="C297" s="35" t="inlineStr">
        <is>
          <t>GUW-01</t>
        </is>
      </c>
      <c r="D297" s="36">
        <f>INDEX(Branches!$C$2:$C$15,MATCH(C297,Branches!$A$2:$A$15,0))</f>
        <v/>
      </c>
      <c r="E297" s="35" t="inlineStr">
        <is>
          <t>Auto Loan</t>
        </is>
      </c>
      <c r="F297" s="37" t="n">
        <v>45928</v>
      </c>
      <c r="G297" s="38" t="n">
        <v>1528000</v>
      </c>
      <c r="H297" s="39" t="n">
        <v>0.1077</v>
      </c>
      <c r="I297" s="35" t="n">
        <v>60</v>
      </c>
      <c r="J297" s="35" t="n">
        <v>772</v>
      </c>
      <c r="K297" s="35" t="n">
        <v>0</v>
      </c>
      <c r="L297" s="40">
        <f>ROUND(PMT(H297/12,I297,-G297),0)</f>
        <v/>
      </c>
      <c r="M297" s="41">
        <f>MAX(0,(YEAR(AsOfDate)-YEAR(F297))*12+MONTH(AsOfDate)-MONTH(F297))</f>
        <v/>
      </c>
      <c r="N297" s="41">
        <f>MAX(0,MIN(I297,M297)-INT(K297/30))</f>
        <v/>
      </c>
      <c r="O297" s="40">
        <f>IF(N297&gt;=I297,0,ROUND(PV(H297/12,I297-N297,-L297),0))</f>
        <v/>
      </c>
      <c r="P297" s="40">
        <f>MIN(I297,M297)*L297-N297*L297</f>
        <v/>
      </c>
      <c r="Q297" s="41">
        <f>INDEX(DPD_Bucket,MATCH(K297,DPD_From,1))</f>
        <v/>
      </c>
      <c r="R297" s="41">
        <f>INDEX(DPD_Class,MATCH(K297,DPD_From,1))</f>
        <v/>
      </c>
      <c r="S297" s="41">
        <f>INDEX(DPD_NPA,MATCH(K297,DPD_From,1))</f>
        <v/>
      </c>
      <c r="T297" s="42">
        <f>INDEX(DPD_Prov,MATCH(K297,DPD_From,1))</f>
        <v/>
      </c>
      <c r="U297" s="40">
        <f>ROUND(O297*T297,0)</f>
        <v/>
      </c>
      <c r="V297" s="41">
        <f>INDEX(CIBIL_Grade,MATCH(J297,CIBIL_From,1))</f>
        <v/>
      </c>
      <c r="W297" s="41">
        <f>YEAR(F297)&amp;"-Q"&amp;ROUNDUP(MONTH(F297)/3,0)</f>
        <v/>
      </c>
      <c r="X297" s="41">
        <f>IF(AND(OR(Dashboard!$C$4="All",D297=Dashboard!$C$4),OR(Dashboard!$C$5="All",E297=Dashboard!$C$5)),1,0)</f>
        <v/>
      </c>
      <c r="Y297" s="43">
        <f>IF(AND(X297=1,S297="Yes"),O297+ROW()/1000000,0)</f>
        <v/>
      </c>
    </row>
    <row r="298">
      <c r="A298" s="35" t="inlineStr">
        <is>
          <t>LN100297</t>
        </is>
      </c>
      <c r="B298" s="35" t="inlineStr">
        <is>
          <t>Rahul Verma</t>
        </is>
      </c>
      <c r="C298" s="35" t="inlineStr">
        <is>
          <t>KOL-01</t>
        </is>
      </c>
      <c r="D298" s="36">
        <f>INDEX(Branches!$C$2:$C$15,MATCH(C298,Branches!$A$2:$A$15,0))</f>
        <v/>
      </c>
      <c r="E298" s="35" t="inlineStr">
        <is>
          <t>Home Loan</t>
        </is>
      </c>
      <c r="F298" s="37" t="n">
        <v>45870</v>
      </c>
      <c r="G298" s="38" t="n">
        <v>5885000</v>
      </c>
      <c r="H298" s="39" t="n">
        <v>0.0955</v>
      </c>
      <c r="I298" s="35" t="n">
        <v>180</v>
      </c>
      <c r="J298" s="35" t="n">
        <v>769</v>
      </c>
      <c r="K298" s="35" t="n">
        <v>0</v>
      </c>
      <c r="L298" s="40">
        <f>ROUND(PMT(H298/12,I298,-G298),0)</f>
        <v/>
      </c>
      <c r="M298" s="41">
        <f>MAX(0,(YEAR(AsOfDate)-YEAR(F298))*12+MONTH(AsOfDate)-MONTH(F298))</f>
        <v/>
      </c>
      <c r="N298" s="41">
        <f>MAX(0,MIN(I298,M298)-INT(K298/30))</f>
        <v/>
      </c>
      <c r="O298" s="40">
        <f>IF(N298&gt;=I298,0,ROUND(PV(H298/12,I298-N298,-L298),0))</f>
        <v/>
      </c>
      <c r="P298" s="40">
        <f>MIN(I298,M298)*L298-N298*L298</f>
        <v/>
      </c>
      <c r="Q298" s="41">
        <f>INDEX(DPD_Bucket,MATCH(K298,DPD_From,1))</f>
        <v/>
      </c>
      <c r="R298" s="41">
        <f>INDEX(DPD_Class,MATCH(K298,DPD_From,1))</f>
        <v/>
      </c>
      <c r="S298" s="41">
        <f>INDEX(DPD_NPA,MATCH(K298,DPD_From,1))</f>
        <v/>
      </c>
      <c r="T298" s="42">
        <f>INDEX(DPD_Prov,MATCH(K298,DPD_From,1))</f>
        <v/>
      </c>
      <c r="U298" s="40">
        <f>ROUND(O298*T298,0)</f>
        <v/>
      </c>
      <c r="V298" s="41">
        <f>INDEX(CIBIL_Grade,MATCH(J298,CIBIL_From,1))</f>
        <v/>
      </c>
      <c r="W298" s="41">
        <f>YEAR(F298)&amp;"-Q"&amp;ROUNDUP(MONTH(F298)/3,0)</f>
        <v/>
      </c>
      <c r="X298" s="41">
        <f>IF(AND(OR(Dashboard!$C$4="All",D298=Dashboard!$C$4),OR(Dashboard!$C$5="All",E298=Dashboard!$C$5)),1,0)</f>
        <v/>
      </c>
      <c r="Y298" s="43">
        <f>IF(AND(X298=1,S298="Yes"),O298+ROW()/1000000,0)</f>
        <v/>
      </c>
    </row>
    <row r="299">
      <c r="A299" s="35" t="inlineStr">
        <is>
          <t>LN100298</t>
        </is>
      </c>
      <c r="B299" s="35" t="inlineStr">
        <is>
          <t>Rohan Mohanty</t>
        </is>
      </c>
      <c r="C299" s="35" t="inlineStr">
        <is>
          <t>CHN-01</t>
        </is>
      </c>
      <c r="D299" s="36">
        <f>INDEX(Branches!$C$2:$C$15,MATCH(C299,Branches!$A$2:$A$15,0))</f>
        <v/>
      </c>
      <c r="E299" s="35" t="inlineStr">
        <is>
          <t>Home Loan</t>
        </is>
      </c>
      <c r="F299" s="37" t="n">
        <v>45247</v>
      </c>
      <c r="G299" s="38" t="n">
        <v>8007000</v>
      </c>
      <c r="H299" s="39" t="n">
        <v>0.0953</v>
      </c>
      <c r="I299" s="35" t="n">
        <v>180</v>
      </c>
      <c r="J299" s="35" t="n">
        <v>757</v>
      </c>
      <c r="K299" s="35" t="n">
        <v>0</v>
      </c>
      <c r="L299" s="40">
        <f>ROUND(PMT(H299/12,I299,-G299),0)</f>
        <v/>
      </c>
      <c r="M299" s="41">
        <f>MAX(0,(YEAR(AsOfDate)-YEAR(F299))*12+MONTH(AsOfDate)-MONTH(F299))</f>
        <v/>
      </c>
      <c r="N299" s="41">
        <f>MAX(0,MIN(I299,M299)-INT(K299/30))</f>
        <v/>
      </c>
      <c r="O299" s="40">
        <f>IF(N299&gt;=I299,0,ROUND(PV(H299/12,I299-N299,-L299),0))</f>
        <v/>
      </c>
      <c r="P299" s="40">
        <f>MIN(I299,M299)*L299-N299*L299</f>
        <v/>
      </c>
      <c r="Q299" s="41">
        <f>INDEX(DPD_Bucket,MATCH(K299,DPD_From,1))</f>
        <v/>
      </c>
      <c r="R299" s="41">
        <f>INDEX(DPD_Class,MATCH(K299,DPD_From,1))</f>
        <v/>
      </c>
      <c r="S299" s="41">
        <f>INDEX(DPD_NPA,MATCH(K299,DPD_From,1))</f>
        <v/>
      </c>
      <c r="T299" s="42">
        <f>INDEX(DPD_Prov,MATCH(K299,DPD_From,1))</f>
        <v/>
      </c>
      <c r="U299" s="40">
        <f>ROUND(O299*T299,0)</f>
        <v/>
      </c>
      <c r="V299" s="41">
        <f>INDEX(CIBIL_Grade,MATCH(J299,CIBIL_From,1))</f>
        <v/>
      </c>
      <c r="W299" s="41">
        <f>YEAR(F299)&amp;"-Q"&amp;ROUNDUP(MONTH(F299)/3,0)</f>
        <v/>
      </c>
      <c r="X299" s="41">
        <f>IF(AND(OR(Dashboard!$C$4="All",D299=Dashboard!$C$4),OR(Dashboard!$C$5="All",E299=Dashboard!$C$5)),1,0)</f>
        <v/>
      </c>
      <c r="Y299" s="43">
        <f>IF(AND(X299=1,S299="Yes"),O299+ROW()/1000000,0)</f>
        <v/>
      </c>
    </row>
    <row r="300">
      <c r="A300" s="35" t="inlineStr">
        <is>
          <t>LN100299</t>
        </is>
      </c>
      <c r="B300" s="35" t="inlineStr">
        <is>
          <t>Tanvi Banerjee</t>
        </is>
      </c>
      <c r="C300" s="35" t="inlineStr">
        <is>
          <t>PUN-01</t>
        </is>
      </c>
      <c r="D300" s="36">
        <f>INDEX(Branches!$C$2:$C$15,MATCH(C300,Branches!$A$2:$A$15,0))</f>
        <v/>
      </c>
      <c r="E300" s="35" t="inlineStr">
        <is>
          <t>Home Loan</t>
        </is>
      </c>
      <c r="F300" s="37" t="n">
        <v>46047</v>
      </c>
      <c r="G300" s="38" t="n">
        <v>10922000</v>
      </c>
      <c r="H300" s="39" t="n">
        <v>0.09710000000000001</v>
      </c>
      <c r="I300" s="35" t="n">
        <v>120</v>
      </c>
      <c r="J300" s="35" t="n">
        <v>810</v>
      </c>
      <c r="K300" s="35" t="n">
        <v>0</v>
      </c>
      <c r="L300" s="40">
        <f>ROUND(PMT(H300/12,I300,-G300),0)</f>
        <v/>
      </c>
      <c r="M300" s="41">
        <f>MAX(0,(YEAR(AsOfDate)-YEAR(F300))*12+MONTH(AsOfDate)-MONTH(F300))</f>
        <v/>
      </c>
      <c r="N300" s="41">
        <f>MAX(0,MIN(I300,M300)-INT(K300/30))</f>
        <v/>
      </c>
      <c r="O300" s="40">
        <f>IF(N300&gt;=I300,0,ROUND(PV(H300/12,I300-N300,-L300),0))</f>
        <v/>
      </c>
      <c r="P300" s="40">
        <f>MIN(I300,M300)*L300-N300*L300</f>
        <v/>
      </c>
      <c r="Q300" s="41">
        <f>INDEX(DPD_Bucket,MATCH(K300,DPD_From,1))</f>
        <v/>
      </c>
      <c r="R300" s="41">
        <f>INDEX(DPD_Class,MATCH(K300,DPD_From,1))</f>
        <v/>
      </c>
      <c r="S300" s="41">
        <f>INDEX(DPD_NPA,MATCH(K300,DPD_From,1))</f>
        <v/>
      </c>
      <c r="T300" s="42">
        <f>INDEX(DPD_Prov,MATCH(K300,DPD_From,1))</f>
        <v/>
      </c>
      <c r="U300" s="40">
        <f>ROUND(O300*T300,0)</f>
        <v/>
      </c>
      <c r="V300" s="41">
        <f>INDEX(CIBIL_Grade,MATCH(J300,CIBIL_From,1))</f>
        <v/>
      </c>
      <c r="W300" s="41">
        <f>YEAR(F300)&amp;"-Q"&amp;ROUNDUP(MONTH(F300)/3,0)</f>
        <v/>
      </c>
      <c r="X300" s="41">
        <f>IF(AND(OR(Dashboard!$C$4="All",D300=Dashboard!$C$4),OR(Dashboard!$C$5="All",E300=Dashboard!$C$5)),1,0)</f>
        <v/>
      </c>
      <c r="Y300" s="43">
        <f>IF(AND(X300=1,S300="Yes"),O300+ROW()/1000000,0)</f>
        <v/>
      </c>
    </row>
    <row r="301">
      <c r="A301" s="35" t="inlineStr">
        <is>
          <t>LN100300</t>
        </is>
      </c>
      <c r="B301" s="35" t="inlineStr">
        <is>
          <t>Aditya Sharma</t>
        </is>
      </c>
      <c r="C301" s="35" t="inlineStr">
        <is>
          <t>CHN-01</t>
        </is>
      </c>
      <c r="D301" s="36">
        <f>INDEX(Branches!$C$2:$C$15,MATCH(C301,Branches!$A$2:$A$15,0))</f>
        <v/>
      </c>
      <c r="E301" s="35" t="inlineStr">
        <is>
          <t>Home Loan</t>
        </is>
      </c>
      <c r="F301" s="37" t="n">
        <v>45643</v>
      </c>
      <c r="G301" s="38" t="n">
        <v>4571000</v>
      </c>
      <c r="H301" s="39" t="n">
        <v>0.093</v>
      </c>
      <c r="I301" s="35" t="n">
        <v>240</v>
      </c>
      <c r="J301" s="35" t="n">
        <v>598</v>
      </c>
      <c r="K301" s="35" t="n">
        <v>0</v>
      </c>
      <c r="L301" s="40">
        <f>ROUND(PMT(H301/12,I301,-G301),0)</f>
        <v/>
      </c>
      <c r="M301" s="41">
        <f>MAX(0,(YEAR(AsOfDate)-YEAR(F301))*12+MONTH(AsOfDate)-MONTH(F301))</f>
        <v/>
      </c>
      <c r="N301" s="41">
        <f>MAX(0,MIN(I301,M301)-INT(K301/30))</f>
        <v/>
      </c>
      <c r="O301" s="40">
        <f>IF(N301&gt;=I301,0,ROUND(PV(H301/12,I301-N301,-L301),0))</f>
        <v/>
      </c>
      <c r="P301" s="40">
        <f>MIN(I301,M301)*L301-N301*L301</f>
        <v/>
      </c>
      <c r="Q301" s="41">
        <f>INDEX(DPD_Bucket,MATCH(K301,DPD_From,1))</f>
        <v/>
      </c>
      <c r="R301" s="41">
        <f>INDEX(DPD_Class,MATCH(K301,DPD_From,1))</f>
        <v/>
      </c>
      <c r="S301" s="41">
        <f>INDEX(DPD_NPA,MATCH(K301,DPD_From,1))</f>
        <v/>
      </c>
      <c r="T301" s="42">
        <f>INDEX(DPD_Prov,MATCH(K301,DPD_From,1))</f>
        <v/>
      </c>
      <c r="U301" s="40">
        <f>ROUND(O301*T301,0)</f>
        <v/>
      </c>
      <c r="V301" s="41">
        <f>INDEX(CIBIL_Grade,MATCH(J301,CIBIL_From,1))</f>
        <v/>
      </c>
      <c r="W301" s="41">
        <f>YEAR(F301)&amp;"-Q"&amp;ROUNDUP(MONTH(F301)/3,0)</f>
        <v/>
      </c>
      <c r="X301" s="41">
        <f>IF(AND(OR(Dashboard!$C$4="All",D301=Dashboard!$C$4),OR(Dashboard!$C$5="All",E301=Dashboard!$C$5)),1,0)</f>
        <v/>
      </c>
      <c r="Y301" s="43">
        <f>IF(AND(X301=1,S301="Yes"),O301+ROW()/1000000,0)</f>
        <v/>
      </c>
    </row>
    <row r="302">
      <c r="A302" s="35" t="inlineStr">
        <is>
          <t>LN100301</t>
        </is>
      </c>
      <c r="B302" s="35" t="inlineStr">
        <is>
          <t>Meera Patel</t>
        </is>
      </c>
      <c r="C302" s="35" t="inlineStr">
        <is>
          <t>PUN-01</t>
        </is>
      </c>
      <c r="D302" s="36">
        <f>INDEX(Branches!$C$2:$C$15,MATCH(C302,Branches!$A$2:$A$15,0))</f>
        <v/>
      </c>
      <c r="E302" s="35" t="inlineStr">
        <is>
          <t>Business Loan</t>
        </is>
      </c>
      <c r="F302" s="37" t="n">
        <v>45494</v>
      </c>
      <c r="G302" s="38" t="n">
        <v>1466000</v>
      </c>
      <c r="H302" s="39" t="n">
        <v>0.1431</v>
      </c>
      <c r="I302" s="35" t="n">
        <v>12</v>
      </c>
      <c r="J302" s="35" t="n">
        <v>829</v>
      </c>
      <c r="K302" s="35" t="n">
        <v>0</v>
      </c>
      <c r="L302" s="40">
        <f>ROUND(PMT(H302/12,I302,-G302),0)</f>
        <v/>
      </c>
      <c r="M302" s="41">
        <f>MAX(0,(YEAR(AsOfDate)-YEAR(F302))*12+MONTH(AsOfDate)-MONTH(F302))</f>
        <v/>
      </c>
      <c r="N302" s="41">
        <f>MAX(0,MIN(I302,M302)-INT(K302/30))</f>
        <v/>
      </c>
      <c r="O302" s="40">
        <f>IF(N302&gt;=I302,0,ROUND(PV(H302/12,I302-N302,-L302),0))</f>
        <v/>
      </c>
      <c r="P302" s="40">
        <f>MIN(I302,M302)*L302-N302*L302</f>
        <v/>
      </c>
      <c r="Q302" s="41">
        <f>INDEX(DPD_Bucket,MATCH(K302,DPD_From,1))</f>
        <v/>
      </c>
      <c r="R302" s="41">
        <f>INDEX(DPD_Class,MATCH(K302,DPD_From,1))</f>
        <v/>
      </c>
      <c r="S302" s="41">
        <f>INDEX(DPD_NPA,MATCH(K302,DPD_From,1))</f>
        <v/>
      </c>
      <c r="T302" s="42">
        <f>INDEX(DPD_Prov,MATCH(K302,DPD_From,1))</f>
        <v/>
      </c>
      <c r="U302" s="40">
        <f>ROUND(O302*T302,0)</f>
        <v/>
      </c>
      <c r="V302" s="41">
        <f>INDEX(CIBIL_Grade,MATCH(J302,CIBIL_From,1))</f>
        <v/>
      </c>
      <c r="W302" s="41">
        <f>YEAR(F302)&amp;"-Q"&amp;ROUNDUP(MONTH(F302)/3,0)</f>
        <v/>
      </c>
      <c r="X302" s="41">
        <f>IF(AND(OR(Dashboard!$C$4="All",D302=Dashboard!$C$4),OR(Dashboard!$C$5="All",E302=Dashboard!$C$5)),1,0)</f>
        <v/>
      </c>
      <c r="Y302" s="43">
        <f>IF(AND(X302=1,S302="Yes"),O302+ROW()/1000000,0)</f>
        <v/>
      </c>
    </row>
    <row r="303">
      <c r="A303" s="35" t="inlineStr">
        <is>
          <t>LN100302</t>
        </is>
      </c>
      <c r="B303" s="35" t="inlineStr">
        <is>
          <t>Suresh Mohanty</t>
        </is>
      </c>
      <c r="C303" s="35" t="inlineStr">
        <is>
          <t>KOL-01</t>
        </is>
      </c>
      <c r="D303" s="36">
        <f>INDEX(Branches!$C$2:$C$15,MATCH(C303,Branches!$A$2:$A$15,0))</f>
        <v/>
      </c>
      <c r="E303" s="35" t="inlineStr">
        <is>
          <t>Auto Loan</t>
        </is>
      </c>
      <c r="F303" s="37" t="n">
        <v>46103</v>
      </c>
      <c r="G303" s="38" t="n">
        <v>872000</v>
      </c>
      <c r="H303" s="39" t="n">
        <v>0.1018</v>
      </c>
      <c r="I303" s="35" t="n">
        <v>48</v>
      </c>
      <c r="J303" s="35" t="n">
        <v>826</v>
      </c>
      <c r="K303" s="35" t="n">
        <v>0</v>
      </c>
      <c r="L303" s="40">
        <f>ROUND(PMT(H303/12,I303,-G303),0)</f>
        <v/>
      </c>
      <c r="M303" s="41">
        <f>MAX(0,(YEAR(AsOfDate)-YEAR(F303))*12+MONTH(AsOfDate)-MONTH(F303))</f>
        <v/>
      </c>
      <c r="N303" s="41">
        <f>MAX(0,MIN(I303,M303)-INT(K303/30))</f>
        <v/>
      </c>
      <c r="O303" s="40">
        <f>IF(N303&gt;=I303,0,ROUND(PV(H303/12,I303-N303,-L303),0))</f>
        <v/>
      </c>
      <c r="P303" s="40">
        <f>MIN(I303,M303)*L303-N303*L303</f>
        <v/>
      </c>
      <c r="Q303" s="41">
        <f>INDEX(DPD_Bucket,MATCH(K303,DPD_From,1))</f>
        <v/>
      </c>
      <c r="R303" s="41">
        <f>INDEX(DPD_Class,MATCH(K303,DPD_From,1))</f>
        <v/>
      </c>
      <c r="S303" s="41">
        <f>INDEX(DPD_NPA,MATCH(K303,DPD_From,1))</f>
        <v/>
      </c>
      <c r="T303" s="42">
        <f>INDEX(DPD_Prov,MATCH(K303,DPD_From,1))</f>
        <v/>
      </c>
      <c r="U303" s="40">
        <f>ROUND(O303*T303,0)</f>
        <v/>
      </c>
      <c r="V303" s="41">
        <f>INDEX(CIBIL_Grade,MATCH(J303,CIBIL_From,1))</f>
        <v/>
      </c>
      <c r="W303" s="41">
        <f>YEAR(F303)&amp;"-Q"&amp;ROUNDUP(MONTH(F303)/3,0)</f>
        <v/>
      </c>
      <c r="X303" s="41">
        <f>IF(AND(OR(Dashboard!$C$4="All",D303=Dashboard!$C$4),OR(Dashboard!$C$5="All",E303=Dashboard!$C$5)),1,0)</f>
        <v/>
      </c>
      <c r="Y303" s="43">
        <f>IF(AND(X303=1,S303="Yes"),O303+ROW()/1000000,0)</f>
        <v/>
      </c>
    </row>
    <row r="304">
      <c r="A304" s="35" t="inlineStr">
        <is>
          <t>LN100303</t>
        </is>
      </c>
      <c r="B304" s="35" t="inlineStr">
        <is>
          <t>Swati Chatterjee</t>
        </is>
      </c>
      <c r="C304" s="35" t="inlineStr">
        <is>
          <t>KOC-01</t>
        </is>
      </c>
      <c r="D304" s="36">
        <f>INDEX(Branches!$C$2:$C$15,MATCH(C304,Branches!$A$2:$A$15,0))</f>
        <v/>
      </c>
      <c r="E304" s="35" t="inlineStr">
        <is>
          <t>Personal Loan</t>
        </is>
      </c>
      <c r="F304" s="37" t="n">
        <v>45994</v>
      </c>
      <c r="G304" s="38" t="n">
        <v>983000</v>
      </c>
      <c r="H304" s="39" t="n">
        <v>0.1652</v>
      </c>
      <c r="I304" s="35" t="n">
        <v>12</v>
      </c>
      <c r="J304" s="35" t="n">
        <v>729</v>
      </c>
      <c r="K304" s="35" t="n">
        <v>0</v>
      </c>
      <c r="L304" s="40">
        <f>ROUND(PMT(H304/12,I304,-G304),0)</f>
        <v/>
      </c>
      <c r="M304" s="41">
        <f>MAX(0,(YEAR(AsOfDate)-YEAR(F304))*12+MONTH(AsOfDate)-MONTH(F304))</f>
        <v/>
      </c>
      <c r="N304" s="41">
        <f>MAX(0,MIN(I304,M304)-INT(K304/30))</f>
        <v/>
      </c>
      <c r="O304" s="40">
        <f>IF(N304&gt;=I304,0,ROUND(PV(H304/12,I304-N304,-L304),0))</f>
        <v/>
      </c>
      <c r="P304" s="40">
        <f>MIN(I304,M304)*L304-N304*L304</f>
        <v/>
      </c>
      <c r="Q304" s="41">
        <f>INDEX(DPD_Bucket,MATCH(K304,DPD_From,1))</f>
        <v/>
      </c>
      <c r="R304" s="41">
        <f>INDEX(DPD_Class,MATCH(K304,DPD_From,1))</f>
        <v/>
      </c>
      <c r="S304" s="41">
        <f>INDEX(DPD_NPA,MATCH(K304,DPD_From,1))</f>
        <v/>
      </c>
      <c r="T304" s="42">
        <f>INDEX(DPD_Prov,MATCH(K304,DPD_From,1))</f>
        <v/>
      </c>
      <c r="U304" s="40">
        <f>ROUND(O304*T304,0)</f>
        <v/>
      </c>
      <c r="V304" s="41">
        <f>INDEX(CIBIL_Grade,MATCH(J304,CIBIL_From,1))</f>
        <v/>
      </c>
      <c r="W304" s="41">
        <f>YEAR(F304)&amp;"-Q"&amp;ROUNDUP(MONTH(F304)/3,0)</f>
        <v/>
      </c>
      <c r="X304" s="41">
        <f>IF(AND(OR(Dashboard!$C$4="All",D304=Dashboard!$C$4),OR(Dashboard!$C$5="All",E304=Dashboard!$C$5)),1,0)</f>
        <v/>
      </c>
      <c r="Y304" s="43">
        <f>IF(AND(X304=1,S304="Yes"),O304+ROW()/1000000,0)</f>
        <v/>
      </c>
    </row>
    <row r="305">
      <c r="A305" s="35" t="inlineStr">
        <is>
          <t>LN100304</t>
        </is>
      </c>
      <c r="B305" s="35" t="inlineStr">
        <is>
          <t>Nikhil Pillai</t>
        </is>
      </c>
      <c r="C305" s="35" t="inlineStr">
        <is>
          <t>PUN-01</t>
        </is>
      </c>
      <c r="D305" s="36">
        <f>INDEX(Branches!$C$2:$C$15,MATCH(C305,Branches!$A$2:$A$15,0))</f>
        <v/>
      </c>
      <c r="E305" s="35" t="inlineStr">
        <is>
          <t>Business Loan</t>
        </is>
      </c>
      <c r="F305" s="37" t="n">
        <v>45438</v>
      </c>
      <c r="G305" s="38" t="n">
        <v>4607000</v>
      </c>
      <c r="H305" s="39" t="n">
        <v>0.1652</v>
      </c>
      <c r="I305" s="35" t="n">
        <v>60</v>
      </c>
      <c r="J305" s="35" t="n">
        <v>764</v>
      </c>
      <c r="K305" s="35" t="n">
        <v>0</v>
      </c>
      <c r="L305" s="40">
        <f>ROUND(PMT(H305/12,I305,-G305),0)</f>
        <v/>
      </c>
      <c r="M305" s="41">
        <f>MAX(0,(YEAR(AsOfDate)-YEAR(F305))*12+MONTH(AsOfDate)-MONTH(F305))</f>
        <v/>
      </c>
      <c r="N305" s="41">
        <f>MAX(0,MIN(I305,M305)-INT(K305/30))</f>
        <v/>
      </c>
      <c r="O305" s="40">
        <f>IF(N305&gt;=I305,0,ROUND(PV(H305/12,I305-N305,-L305),0))</f>
        <v/>
      </c>
      <c r="P305" s="40">
        <f>MIN(I305,M305)*L305-N305*L305</f>
        <v/>
      </c>
      <c r="Q305" s="41">
        <f>INDEX(DPD_Bucket,MATCH(K305,DPD_From,1))</f>
        <v/>
      </c>
      <c r="R305" s="41">
        <f>INDEX(DPD_Class,MATCH(K305,DPD_From,1))</f>
        <v/>
      </c>
      <c r="S305" s="41">
        <f>INDEX(DPD_NPA,MATCH(K305,DPD_From,1))</f>
        <v/>
      </c>
      <c r="T305" s="42">
        <f>INDEX(DPD_Prov,MATCH(K305,DPD_From,1))</f>
        <v/>
      </c>
      <c r="U305" s="40">
        <f>ROUND(O305*T305,0)</f>
        <v/>
      </c>
      <c r="V305" s="41">
        <f>INDEX(CIBIL_Grade,MATCH(J305,CIBIL_From,1))</f>
        <v/>
      </c>
      <c r="W305" s="41">
        <f>YEAR(F305)&amp;"-Q"&amp;ROUNDUP(MONTH(F305)/3,0)</f>
        <v/>
      </c>
      <c r="X305" s="41">
        <f>IF(AND(OR(Dashboard!$C$4="All",D305=Dashboard!$C$4),OR(Dashboard!$C$5="All",E305=Dashboard!$C$5)),1,0)</f>
        <v/>
      </c>
      <c r="Y305" s="43">
        <f>IF(AND(X305=1,S305="Yes"),O305+ROW()/1000000,0)</f>
        <v/>
      </c>
    </row>
    <row r="306">
      <c r="A306" s="35" t="inlineStr">
        <is>
          <t>LN100305</t>
        </is>
      </c>
      <c r="B306" s="35" t="inlineStr">
        <is>
          <t>Manish Gupta</t>
        </is>
      </c>
      <c r="C306" s="35" t="inlineStr">
        <is>
          <t>BLR-01</t>
        </is>
      </c>
      <c r="D306" s="36">
        <f>INDEX(Branches!$C$2:$C$15,MATCH(C306,Branches!$A$2:$A$15,0))</f>
        <v/>
      </c>
      <c r="E306" s="35" t="inlineStr">
        <is>
          <t>Auto Loan</t>
        </is>
      </c>
      <c r="F306" s="37" t="n">
        <v>46120</v>
      </c>
      <c r="G306" s="38" t="n">
        <v>1694000</v>
      </c>
      <c r="H306" s="39" t="n">
        <v>0.1036</v>
      </c>
      <c r="I306" s="35" t="n">
        <v>48</v>
      </c>
      <c r="J306" s="35" t="n">
        <v>718</v>
      </c>
      <c r="K306" s="35" t="n">
        <v>0</v>
      </c>
      <c r="L306" s="40">
        <f>ROUND(PMT(H306/12,I306,-G306),0)</f>
        <v/>
      </c>
      <c r="M306" s="41">
        <f>MAX(0,(YEAR(AsOfDate)-YEAR(F306))*12+MONTH(AsOfDate)-MONTH(F306))</f>
        <v/>
      </c>
      <c r="N306" s="41">
        <f>MAX(0,MIN(I306,M306)-INT(K306/30))</f>
        <v/>
      </c>
      <c r="O306" s="40">
        <f>IF(N306&gt;=I306,0,ROUND(PV(H306/12,I306-N306,-L306),0))</f>
        <v/>
      </c>
      <c r="P306" s="40">
        <f>MIN(I306,M306)*L306-N306*L306</f>
        <v/>
      </c>
      <c r="Q306" s="41">
        <f>INDEX(DPD_Bucket,MATCH(K306,DPD_From,1))</f>
        <v/>
      </c>
      <c r="R306" s="41">
        <f>INDEX(DPD_Class,MATCH(K306,DPD_From,1))</f>
        <v/>
      </c>
      <c r="S306" s="41">
        <f>INDEX(DPD_NPA,MATCH(K306,DPD_From,1))</f>
        <v/>
      </c>
      <c r="T306" s="42">
        <f>INDEX(DPD_Prov,MATCH(K306,DPD_From,1))</f>
        <v/>
      </c>
      <c r="U306" s="40">
        <f>ROUND(O306*T306,0)</f>
        <v/>
      </c>
      <c r="V306" s="41">
        <f>INDEX(CIBIL_Grade,MATCH(J306,CIBIL_From,1))</f>
        <v/>
      </c>
      <c r="W306" s="41">
        <f>YEAR(F306)&amp;"-Q"&amp;ROUNDUP(MONTH(F306)/3,0)</f>
        <v/>
      </c>
      <c r="X306" s="41">
        <f>IF(AND(OR(Dashboard!$C$4="All",D306=Dashboard!$C$4),OR(Dashboard!$C$5="All",E306=Dashboard!$C$5)),1,0)</f>
        <v/>
      </c>
      <c r="Y306" s="43">
        <f>IF(AND(X306=1,S306="Yes"),O306+ROW()/1000000,0)</f>
        <v/>
      </c>
    </row>
    <row r="307">
      <c r="A307" s="35" t="inlineStr">
        <is>
          <t>LN100306</t>
        </is>
      </c>
      <c r="B307" s="35" t="inlineStr">
        <is>
          <t>Deepa Mohanty</t>
        </is>
      </c>
      <c r="C307" s="35" t="inlineStr">
        <is>
          <t>MUM-01</t>
        </is>
      </c>
      <c r="D307" s="36">
        <f>INDEX(Branches!$C$2:$C$15,MATCH(C307,Branches!$A$2:$A$15,0))</f>
        <v/>
      </c>
      <c r="E307" s="35" t="inlineStr">
        <is>
          <t>Auto Loan</t>
        </is>
      </c>
      <c r="F307" s="37" t="n">
        <v>45847</v>
      </c>
      <c r="G307" s="38" t="n">
        <v>1254000</v>
      </c>
      <c r="H307" s="39" t="n">
        <v>0.1135</v>
      </c>
      <c r="I307" s="35" t="n">
        <v>48</v>
      </c>
      <c r="J307" s="35" t="n">
        <v>770</v>
      </c>
      <c r="K307" s="35" t="n">
        <v>0</v>
      </c>
      <c r="L307" s="40">
        <f>ROUND(PMT(H307/12,I307,-G307),0)</f>
        <v/>
      </c>
      <c r="M307" s="41">
        <f>MAX(0,(YEAR(AsOfDate)-YEAR(F307))*12+MONTH(AsOfDate)-MONTH(F307))</f>
        <v/>
      </c>
      <c r="N307" s="41">
        <f>MAX(0,MIN(I307,M307)-INT(K307/30))</f>
        <v/>
      </c>
      <c r="O307" s="40">
        <f>IF(N307&gt;=I307,0,ROUND(PV(H307/12,I307-N307,-L307),0))</f>
        <v/>
      </c>
      <c r="P307" s="40">
        <f>MIN(I307,M307)*L307-N307*L307</f>
        <v/>
      </c>
      <c r="Q307" s="41">
        <f>INDEX(DPD_Bucket,MATCH(K307,DPD_From,1))</f>
        <v/>
      </c>
      <c r="R307" s="41">
        <f>INDEX(DPD_Class,MATCH(K307,DPD_From,1))</f>
        <v/>
      </c>
      <c r="S307" s="41">
        <f>INDEX(DPD_NPA,MATCH(K307,DPD_From,1))</f>
        <v/>
      </c>
      <c r="T307" s="42">
        <f>INDEX(DPD_Prov,MATCH(K307,DPD_From,1))</f>
        <v/>
      </c>
      <c r="U307" s="40">
        <f>ROUND(O307*T307,0)</f>
        <v/>
      </c>
      <c r="V307" s="41">
        <f>INDEX(CIBIL_Grade,MATCH(J307,CIBIL_From,1))</f>
        <v/>
      </c>
      <c r="W307" s="41">
        <f>YEAR(F307)&amp;"-Q"&amp;ROUNDUP(MONTH(F307)/3,0)</f>
        <v/>
      </c>
      <c r="X307" s="41">
        <f>IF(AND(OR(Dashboard!$C$4="All",D307=Dashboard!$C$4),OR(Dashboard!$C$5="All",E307=Dashboard!$C$5)),1,0)</f>
        <v/>
      </c>
      <c r="Y307" s="43">
        <f>IF(AND(X307=1,S307="Yes"),O307+ROW()/1000000,0)</f>
        <v/>
      </c>
    </row>
    <row r="308">
      <c r="A308" s="35" t="inlineStr">
        <is>
          <t>LN100307</t>
        </is>
      </c>
      <c r="B308" s="35" t="inlineStr">
        <is>
          <t>Reyansh Mohanty</t>
        </is>
      </c>
      <c r="C308" s="35" t="inlineStr">
        <is>
          <t>JAI-01</t>
        </is>
      </c>
      <c r="D308" s="36">
        <f>INDEX(Branches!$C$2:$C$15,MATCH(C308,Branches!$A$2:$A$15,0))</f>
        <v/>
      </c>
      <c r="E308" s="35" t="inlineStr">
        <is>
          <t>Business Loan</t>
        </is>
      </c>
      <c r="F308" s="37" t="n">
        <v>45378</v>
      </c>
      <c r="G308" s="38" t="n">
        <v>1931000</v>
      </c>
      <c r="H308" s="39" t="n">
        <v>0.1817</v>
      </c>
      <c r="I308" s="35" t="n">
        <v>24</v>
      </c>
      <c r="J308" s="35" t="n">
        <v>670</v>
      </c>
      <c r="K308" s="35" t="n">
        <v>0</v>
      </c>
      <c r="L308" s="40">
        <f>ROUND(PMT(H308/12,I308,-G308),0)</f>
        <v/>
      </c>
      <c r="M308" s="41">
        <f>MAX(0,(YEAR(AsOfDate)-YEAR(F308))*12+MONTH(AsOfDate)-MONTH(F308))</f>
        <v/>
      </c>
      <c r="N308" s="41">
        <f>MAX(0,MIN(I308,M308)-INT(K308/30))</f>
        <v/>
      </c>
      <c r="O308" s="40">
        <f>IF(N308&gt;=I308,0,ROUND(PV(H308/12,I308-N308,-L308),0))</f>
        <v/>
      </c>
      <c r="P308" s="40">
        <f>MIN(I308,M308)*L308-N308*L308</f>
        <v/>
      </c>
      <c r="Q308" s="41">
        <f>INDEX(DPD_Bucket,MATCH(K308,DPD_From,1))</f>
        <v/>
      </c>
      <c r="R308" s="41">
        <f>INDEX(DPD_Class,MATCH(K308,DPD_From,1))</f>
        <v/>
      </c>
      <c r="S308" s="41">
        <f>INDEX(DPD_NPA,MATCH(K308,DPD_From,1))</f>
        <v/>
      </c>
      <c r="T308" s="42">
        <f>INDEX(DPD_Prov,MATCH(K308,DPD_From,1))</f>
        <v/>
      </c>
      <c r="U308" s="40">
        <f>ROUND(O308*T308,0)</f>
        <v/>
      </c>
      <c r="V308" s="41">
        <f>INDEX(CIBIL_Grade,MATCH(J308,CIBIL_From,1))</f>
        <v/>
      </c>
      <c r="W308" s="41">
        <f>YEAR(F308)&amp;"-Q"&amp;ROUNDUP(MONTH(F308)/3,0)</f>
        <v/>
      </c>
      <c r="X308" s="41">
        <f>IF(AND(OR(Dashboard!$C$4="All",D308=Dashboard!$C$4),OR(Dashboard!$C$5="All",E308=Dashboard!$C$5)),1,0)</f>
        <v/>
      </c>
      <c r="Y308" s="43">
        <f>IF(AND(X308=1,S308="Yes"),O308+ROW()/1000000,0)</f>
        <v/>
      </c>
    </row>
    <row r="309">
      <c r="A309" s="35" t="inlineStr">
        <is>
          <t>LN100308</t>
        </is>
      </c>
      <c r="B309" s="35" t="inlineStr">
        <is>
          <t>Karthik Reddy</t>
        </is>
      </c>
      <c r="C309" s="35" t="inlineStr">
        <is>
          <t>JAI-01</t>
        </is>
      </c>
      <c r="D309" s="36">
        <f>INDEX(Branches!$C$2:$C$15,MATCH(C309,Branches!$A$2:$A$15,0))</f>
        <v/>
      </c>
      <c r="E309" s="35" t="inlineStr">
        <is>
          <t>Auto Loan</t>
        </is>
      </c>
      <c r="F309" s="37" t="n">
        <v>45453</v>
      </c>
      <c r="G309" s="38" t="n">
        <v>1917000</v>
      </c>
      <c r="H309" s="39" t="n">
        <v>0.1149</v>
      </c>
      <c r="I309" s="35" t="n">
        <v>36</v>
      </c>
      <c r="J309" s="35" t="n">
        <v>818</v>
      </c>
      <c r="K309" s="35" t="n">
        <v>0</v>
      </c>
      <c r="L309" s="40">
        <f>ROUND(PMT(H309/12,I309,-G309),0)</f>
        <v/>
      </c>
      <c r="M309" s="41">
        <f>MAX(0,(YEAR(AsOfDate)-YEAR(F309))*12+MONTH(AsOfDate)-MONTH(F309))</f>
        <v/>
      </c>
      <c r="N309" s="41">
        <f>MAX(0,MIN(I309,M309)-INT(K309/30))</f>
        <v/>
      </c>
      <c r="O309" s="40">
        <f>IF(N309&gt;=I309,0,ROUND(PV(H309/12,I309-N309,-L309),0))</f>
        <v/>
      </c>
      <c r="P309" s="40">
        <f>MIN(I309,M309)*L309-N309*L309</f>
        <v/>
      </c>
      <c r="Q309" s="41">
        <f>INDEX(DPD_Bucket,MATCH(K309,DPD_From,1))</f>
        <v/>
      </c>
      <c r="R309" s="41">
        <f>INDEX(DPD_Class,MATCH(K309,DPD_From,1))</f>
        <v/>
      </c>
      <c r="S309" s="41">
        <f>INDEX(DPD_NPA,MATCH(K309,DPD_From,1))</f>
        <v/>
      </c>
      <c r="T309" s="42">
        <f>INDEX(DPD_Prov,MATCH(K309,DPD_From,1))</f>
        <v/>
      </c>
      <c r="U309" s="40">
        <f>ROUND(O309*T309,0)</f>
        <v/>
      </c>
      <c r="V309" s="41">
        <f>INDEX(CIBIL_Grade,MATCH(J309,CIBIL_From,1))</f>
        <v/>
      </c>
      <c r="W309" s="41">
        <f>YEAR(F309)&amp;"-Q"&amp;ROUNDUP(MONTH(F309)/3,0)</f>
        <v/>
      </c>
      <c r="X309" s="41">
        <f>IF(AND(OR(Dashboard!$C$4="All",D309=Dashboard!$C$4),OR(Dashboard!$C$5="All",E309=Dashboard!$C$5)),1,0)</f>
        <v/>
      </c>
      <c r="Y309" s="43">
        <f>IF(AND(X309=1,S309="Yes"),O309+ROW()/1000000,0)</f>
        <v/>
      </c>
    </row>
    <row r="310">
      <c r="A310" s="35" t="inlineStr">
        <is>
          <t>LN100309</t>
        </is>
      </c>
      <c r="B310" s="35" t="inlineStr">
        <is>
          <t>Ishaan Reddy</t>
        </is>
      </c>
      <c r="C310" s="35" t="inlineStr">
        <is>
          <t>PUN-01</t>
        </is>
      </c>
      <c r="D310" s="36">
        <f>INDEX(Branches!$C$2:$C$15,MATCH(C310,Branches!$A$2:$A$15,0))</f>
        <v/>
      </c>
      <c r="E310" s="35" t="inlineStr">
        <is>
          <t>Business Loan</t>
        </is>
      </c>
      <c r="F310" s="37" t="n">
        <v>45541</v>
      </c>
      <c r="G310" s="38" t="n">
        <v>3726000</v>
      </c>
      <c r="H310" s="39" t="n">
        <v>0.1943</v>
      </c>
      <c r="I310" s="35" t="n">
        <v>60</v>
      </c>
      <c r="J310" s="35" t="n">
        <v>741</v>
      </c>
      <c r="K310" s="35" t="n">
        <v>335</v>
      </c>
      <c r="L310" s="40">
        <f>ROUND(PMT(H310/12,I310,-G310),0)</f>
        <v/>
      </c>
      <c r="M310" s="41">
        <f>MAX(0,(YEAR(AsOfDate)-YEAR(F310))*12+MONTH(AsOfDate)-MONTH(F310))</f>
        <v/>
      </c>
      <c r="N310" s="41">
        <f>MAX(0,MIN(I310,M310)-INT(K310/30))</f>
        <v/>
      </c>
      <c r="O310" s="40">
        <f>IF(N310&gt;=I310,0,ROUND(PV(H310/12,I310-N310,-L310),0))</f>
        <v/>
      </c>
      <c r="P310" s="40">
        <f>MIN(I310,M310)*L310-N310*L310</f>
        <v/>
      </c>
      <c r="Q310" s="41">
        <f>INDEX(DPD_Bucket,MATCH(K310,DPD_From,1))</f>
        <v/>
      </c>
      <c r="R310" s="41">
        <f>INDEX(DPD_Class,MATCH(K310,DPD_From,1))</f>
        <v/>
      </c>
      <c r="S310" s="41">
        <f>INDEX(DPD_NPA,MATCH(K310,DPD_From,1))</f>
        <v/>
      </c>
      <c r="T310" s="42">
        <f>INDEX(DPD_Prov,MATCH(K310,DPD_From,1))</f>
        <v/>
      </c>
      <c r="U310" s="40">
        <f>ROUND(O310*T310,0)</f>
        <v/>
      </c>
      <c r="V310" s="41">
        <f>INDEX(CIBIL_Grade,MATCH(J310,CIBIL_From,1))</f>
        <v/>
      </c>
      <c r="W310" s="41">
        <f>YEAR(F310)&amp;"-Q"&amp;ROUNDUP(MONTH(F310)/3,0)</f>
        <v/>
      </c>
      <c r="X310" s="41">
        <f>IF(AND(OR(Dashboard!$C$4="All",D310=Dashboard!$C$4),OR(Dashboard!$C$5="All",E310=Dashboard!$C$5)),1,0)</f>
        <v/>
      </c>
      <c r="Y310" s="43">
        <f>IF(AND(X310=1,S310="Yes"),O310+ROW()/1000000,0)</f>
        <v/>
      </c>
    </row>
    <row r="311">
      <c r="A311" s="35" t="inlineStr">
        <is>
          <t>LN100310</t>
        </is>
      </c>
      <c r="B311" s="35" t="inlineStr">
        <is>
          <t>Sneha Banerjee</t>
        </is>
      </c>
      <c r="C311" s="35" t="inlineStr">
        <is>
          <t>JAI-01</t>
        </is>
      </c>
      <c r="D311" s="36">
        <f>INDEX(Branches!$C$2:$C$15,MATCH(C311,Branches!$A$2:$A$15,0))</f>
        <v/>
      </c>
      <c r="E311" s="35" t="inlineStr">
        <is>
          <t>Business Loan</t>
        </is>
      </c>
      <c r="F311" s="37" t="n">
        <v>46052</v>
      </c>
      <c r="G311" s="38" t="n">
        <v>955000</v>
      </c>
      <c r="H311" s="39" t="n">
        <v>0.1511</v>
      </c>
      <c r="I311" s="35" t="n">
        <v>36</v>
      </c>
      <c r="J311" s="35" t="n">
        <v>748</v>
      </c>
      <c r="K311" s="35" t="n">
        <v>19</v>
      </c>
      <c r="L311" s="40">
        <f>ROUND(PMT(H311/12,I311,-G311),0)</f>
        <v/>
      </c>
      <c r="M311" s="41">
        <f>MAX(0,(YEAR(AsOfDate)-YEAR(F311))*12+MONTH(AsOfDate)-MONTH(F311))</f>
        <v/>
      </c>
      <c r="N311" s="41">
        <f>MAX(0,MIN(I311,M311)-INT(K311/30))</f>
        <v/>
      </c>
      <c r="O311" s="40">
        <f>IF(N311&gt;=I311,0,ROUND(PV(H311/12,I311-N311,-L311),0))</f>
        <v/>
      </c>
      <c r="P311" s="40">
        <f>MIN(I311,M311)*L311-N311*L311</f>
        <v/>
      </c>
      <c r="Q311" s="41">
        <f>INDEX(DPD_Bucket,MATCH(K311,DPD_From,1))</f>
        <v/>
      </c>
      <c r="R311" s="41">
        <f>INDEX(DPD_Class,MATCH(K311,DPD_From,1))</f>
        <v/>
      </c>
      <c r="S311" s="41">
        <f>INDEX(DPD_NPA,MATCH(K311,DPD_From,1))</f>
        <v/>
      </c>
      <c r="T311" s="42">
        <f>INDEX(DPD_Prov,MATCH(K311,DPD_From,1))</f>
        <v/>
      </c>
      <c r="U311" s="40">
        <f>ROUND(O311*T311,0)</f>
        <v/>
      </c>
      <c r="V311" s="41">
        <f>INDEX(CIBIL_Grade,MATCH(J311,CIBIL_From,1))</f>
        <v/>
      </c>
      <c r="W311" s="41">
        <f>YEAR(F311)&amp;"-Q"&amp;ROUNDUP(MONTH(F311)/3,0)</f>
        <v/>
      </c>
      <c r="X311" s="41">
        <f>IF(AND(OR(Dashboard!$C$4="All",D311=Dashboard!$C$4),OR(Dashboard!$C$5="All",E311=Dashboard!$C$5)),1,0)</f>
        <v/>
      </c>
      <c r="Y311" s="43">
        <f>IF(AND(X311=1,S311="Yes"),O311+ROW()/1000000,0)</f>
        <v/>
      </c>
    </row>
    <row r="312">
      <c r="A312" s="35" t="inlineStr">
        <is>
          <t>LN100311</t>
        </is>
      </c>
      <c r="B312" s="35" t="inlineStr">
        <is>
          <t>Reyansh Kulkarni</t>
        </is>
      </c>
      <c r="C312" s="35" t="inlineStr">
        <is>
          <t>BBS-01</t>
        </is>
      </c>
      <c r="D312" s="36">
        <f>INDEX(Branches!$C$2:$C$15,MATCH(C312,Branches!$A$2:$A$15,0))</f>
        <v/>
      </c>
      <c r="E312" s="35" t="inlineStr">
        <is>
          <t>Home Loan</t>
        </is>
      </c>
      <c r="F312" s="37" t="n">
        <v>45279</v>
      </c>
      <c r="G312" s="38" t="n">
        <v>13565000</v>
      </c>
      <c r="H312" s="39" t="n">
        <v>0.0926</v>
      </c>
      <c r="I312" s="35" t="n">
        <v>120</v>
      </c>
      <c r="J312" s="35" t="n">
        <v>771</v>
      </c>
      <c r="K312" s="35" t="n">
        <v>0</v>
      </c>
      <c r="L312" s="40">
        <f>ROUND(PMT(H312/12,I312,-G312),0)</f>
        <v/>
      </c>
      <c r="M312" s="41">
        <f>MAX(0,(YEAR(AsOfDate)-YEAR(F312))*12+MONTH(AsOfDate)-MONTH(F312))</f>
        <v/>
      </c>
      <c r="N312" s="41">
        <f>MAX(0,MIN(I312,M312)-INT(K312/30))</f>
        <v/>
      </c>
      <c r="O312" s="40">
        <f>IF(N312&gt;=I312,0,ROUND(PV(H312/12,I312-N312,-L312),0))</f>
        <v/>
      </c>
      <c r="P312" s="40">
        <f>MIN(I312,M312)*L312-N312*L312</f>
        <v/>
      </c>
      <c r="Q312" s="41">
        <f>INDEX(DPD_Bucket,MATCH(K312,DPD_From,1))</f>
        <v/>
      </c>
      <c r="R312" s="41">
        <f>INDEX(DPD_Class,MATCH(K312,DPD_From,1))</f>
        <v/>
      </c>
      <c r="S312" s="41">
        <f>INDEX(DPD_NPA,MATCH(K312,DPD_From,1))</f>
        <v/>
      </c>
      <c r="T312" s="42">
        <f>INDEX(DPD_Prov,MATCH(K312,DPD_From,1))</f>
        <v/>
      </c>
      <c r="U312" s="40">
        <f>ROUND(O312*T312,0)</f>
        <v/>
      </c>
      <c r="V312" s="41">
        <f>INDEX(CIBIL_Grade,MATCH(J312,CIBIL_From,1))</f>
        <v/>
      </c>
      <c r="W312" s="41">
        <f>YEAR(F312)&amp;"-Q"&amp;ROUNDUP(MONTH(F312)/3,0)</f>
        <v/>
      </c>
      <c r="X312" s="41">
        <f>IF(AND(OR(Dashboard!$C$4="All",D312=Dashboard!$C$4),OR(Dashboard!$C$5="All",E312=Dashboard!$C$5)),1,0)</f>
        <v/>
      </c>
      <c r="Y312" s="43">
        <f>IF(AND(X312=1,S312="Yes"),O312+ROW()/1000000,0)</f>
        <v/>
      </c>
    </row>
    <row r="313">
      <c r="A313" s="35" t="inlineStr">
        <is>
          <t>LN100312</t>
        </is>
      </c>
      <c r="B313" s="35" t="inlineStr">
        <is>
          <t>Farhan Singh</t>
        </is>
      </c>
      <c r="C313" s="35" t="inlineStr">
        <is>
          <t>HYD-01</t>
        </is>
      </c>
      <c r="D313" s="36">
        <f>INDEX(Branches!$C$2:$C$15,MATCH(C313,Branches!$A$2:$A$15,0))</f>
        <v/>
      </c>
      <c r="E313" s="35" t="inlineStr">
        <is>
          <t>Auto Loan</t>
        </is>
      </c>
      <c r="F313" s="37" t="n">
        <v>45399</v>
      </c>
      <c r="G313" s="38" t="n">
        <v>684000</v>
      </c>
      <c r="H313" s="39" t="n">
        <v>0.0891</v>
      </c>
      <c r="I313" s="35" t="n">
        <v>48</v>
      </c>
      <c r="J313" s="35" t="n">
        <v>599</v>
      </c>
      <c r="K313" s="35" t="n">
        <v>0</v>
      </c>
      <c r="L313" s="40">
        <f>ROUND(PMT(H313/12,I313,-G313),0)</f>
        <v/>
      </c>
      <c r="M313" s="41">
        <f>MAX(0,(YEAR(AsOfDate)-YEAR(F313))*12+MONTH(AsOfDate)-MONTH(F313))</f>
        <v/>
      </c>
      <c r="N313" s="41">
        <f>MAX(0,MIN(I313,M313)-INT(K313/30))</f>
        <v/>
      </c>
      <c r="O313" s="40">
        <f>IF(N313&gt;=I313,0,ROUND(PV(H313/12,I313-N313,-L313),0))</f>
        <v/>
      </c>
      <c r="P313" s="40">
        <f>MIN(I313,M313)*L313-N313*L313</f>
        <v/>
      </c>
      <c r="Q313" s="41">
        <f>INDEX(DPD_Bucket,MATCH(K313,DPD_From,1))</f>
        <v/>
      </c>
      <c r="R313" s="41">
        <f>INDEX(DPD_Class,MATCH(K313,DPD_From,1))</f>
        <v/>
      </c>
      <c r="S313" s="41">
        <f>INDEX(DPD_NPA,MATCH(K313,DPD_From,1))</f>
        <v/>
      </c>
      <c r="T313" s="42">
        <f>INDEX(DPD_Prov,MATCH(K313,DPD_From,1))</f>
        <v/>
      </c>
      <c r="U313" s="40">
        <f>ROUND(O313*T313,0)</f>
        <v/>
      </c>
      <c r="V313" s="41">
        <f>INDEX(CIBIL_Grade,MATCH(J313,CIBIL_From,1))</f>
        <v/>
      </c>
      <c r="W313" s="41">
        <f>YEAR(F313)&amp;"-Q"&amp;ROUNDUP(MONTH(F313)/3,0)</f>
        <v/>
      </c>
      <c r="X313" s="41">
        <f>IF(AND(OR(Dashboard!$C$4="All",D313=Dashboard!$C$4),OR(Dashboard!$C$5="All",E313=Dashboard!$C$5)),1,0)</f>
        <v/>
      </c>
      <c r="Y313" s="43">
        <f>IF(AND(X313=1,S313="Yes"),O313+ROW()/1000000,0)</f>
        <v/>
      </c>
    </row>
    <row r="314">
      <c r="A314" s="35" t="inlineStr">
        <is>
          <t>LN100313</t>
        </is>
      </c>
      <c r="B314" s="35" t="inlineStr">
        <is>
          <t>Suresh Mohanty</t>
        </is>
      </c>
      <c r="C314" s="35" t="inlineStr">
        <is>
          <t>KOL-01</t>
        </is>
      </c>
      <c r="D314" s="36">
        <f>INDEX(Branches!$C$2:$C$15,MATCH(C314,Branches!$A$2:$A$15,0))</f>
        <v/>
      </c>
      <c r="E314" s="35" t="inlineStr">
        <is>
          <t>Business Loan</t>
        </is>
      </c>
      <c r="F314" s="37" t="n">
        <v>46107</v>
      </c>
      <c r="G314" s="38" t="n">
        <v>3045000</v>
      </c>
      <c r="H314" s="39" t="n">
        <v>0.1956</v>
      </c>
      <c r="I314" s="35" t="n">
        <v>60</v>
      </c>
      <c r="J314" s="35" t="n">
        <v>754</v>
      </c>
      <c r="K314" s="35" t="n">
        <v>0</v>
      </c>
      <c r="L314" s="40">
        <f>ROUND(PMT(H314/12,I314,-G314),0)</f>
        <v/>
      </c>
      <c r="M314" s="41">
        <f>MAX(0,(YEAR(AsOfDate)-YEAR(F314))*12+MONTH(AsOfDate)-MONTH(F314))</f>
        <v/>
      </c>
      <c r="N314" s="41">
        <f>MAX(0,MIN(I314,M314)-INT(K314/30))</f>
        <v/>
      </c>
      <c r="O314" s="40">
        <f>IF(N314&gt;=I314,0,ROUND(PV(H314/12,I314-N314,-L314),0))</f>
        <v/>
      </c>
      <c r="P314" s="40">
        <f>MIN(I314,M314)*L314-N314*L314</f>
        <v/>
      </c>
      <c r="Q314" s="41">
        <f>INDEX(DPD_Bucket,MATCH(K314,DPD_From,1))</f>
        <v/>
      </c>
      <c r="R314" s="41">
        <f>INDEX(DPD_Class,MATCH(K314,DPD_From,1))</f>
        <v/>
      </c>
      <c r="S314" s="41">
        <f>INDEX(DPD_NPA,MATCH(K314,DPD_From,1))</f>
        <v/>
      </c>
      <c r="T314" s="42">
        <f>INDEX(DPD_Prov,MATCH(K314,DPD_From,1))</f>
        <v/>
      </c>
      <c r="U314" s="40">
        <f>ROUND(O314*T314,0)</f>
        <v/>
      </c>
      <c r="V314" s="41">
        <f>INDEX(CIBIL_Grade,MATCH(J314,CIBIL_From,1))</f>
        <v/>
      </c>
      <c r="W314" s="41">
        <f>YEAR(F314)&amp;"-Q"&amp;ROUNDUP(MONTH(F314)/3,0)</f>
        <v/>
      </c>
      <c r="X314" s="41">
        <f>IF(AND(OR(Dashboard!$C$4="All",D314=Dashboard!$C$4),OR(Dashboard!$C$5="All",E314=Dashboard!$C$5)),1,0)</f>
        <v/>
      </c>
      <c r="Y314" s="43">
        <f>IF(AND(X314=1,S314="Yes"),O314+ROW()/1000000,0)</f>
        <v/>
      </c>
    </row>
    <row r="315">
      <c r="A315" s="35" t="inlineStr">
        <is>
          <t>LN100314</t>
        </is>
      </c>
      <c r="B315" s="35" t="inlineStr">
        <is>
          <t>Priya Patel</t>
        </is>
      </c>
      <c r="C315" s="35" t="inlineStr">
        <is>
          <t>KOL-01</t>
        </is>
      </c>
      <c r="D315" s="36">
        <f>INDEX(Branches!$C$2:$C$15,MATCH(C315,Branches!$A$2:$A$15,0))</f>
        <v/>
      </c>
      <c r="E315" s="35" t="inlineStr">
        <is>
          <t>Home Loan</t>
        </is>
      </c>
      <c r="F315" s="37" t="n">
        <v>46014</v>
      </c>
      <c r="G315" s="38" t="n">
        <v>13509000</v>
      </c>
      <c r="H315" s="39" t="n">
        <v>0.0852</v>
      </c>
      <c r="I315" s="35" t="n">
        <v>240</v>
      </c>
      <c r="J315" s="35" t="n">
        <v>778</v>
      </c>
      <c r="K315" s="35" t="n">
        <v>0</v>
      </c>
      <c r="L315" s="40">
        <f>ROUND(PMT(H315/12,I315,-G315),0)</f>
        <v/>
      </c>
      <c r="M315" s="41">
        <f>MAX(0,(YEAR(AsOfDate)-YEAR(F315))*12+MONTH(AsOfDate)-MONTH(F315))</f>
        <v/>
      </c>
      <c r="N315" s="41">
        <f>MAX(0,MIN(I315,M315)-INT(K315/30))</f>
        <v/>
      </c>
      <c r="O315" s="40">
        <f>IF(N315&gt;=I315,0,ROUND(PV(H315/12,I315-N315,-L315),0))</f>
        <v/>
      </c>
      <c r="P315" s="40">
        <f>MIN(I315,M315)*L315-N315*L315</f>
        <v/>
      </c>
      <c r="Q315" s="41">
        <f>INDEX(DPD_Bucket,MATCH(K315,DPD_From,1))</f>
        <v/>
      </c>
      <c r="R315" s="41">
        <f>INDEX(DPD_Class,MATCH(K315,DPD_From,1))</f>
        <v/>
      </c>
      <c r="S315" s="41">
        <f>INDEX(DPD_NPA,MATCH(K315,DPD_From,1))</f>
        <v/>
      </c>
      <c r="T315" s="42">
        <f>INDEX(DPD_Prov,MATCH(K315,DPD_From,1))</f>
        <v/>
      </c>
      <c r="U315" s="40">
        <f>ROUND(O315*T315,0)</f>
        <v/>
      </c>
      <c r="V315" s="41">
        <f>INDEX(CIBIL_Grade,MATCH(J315,CIBIL_From,1))</f>
        <v/>
      </c>
      <c r="W315" s="41">
        <f>YEAR(F315)&amp;"-Q"&amp;ROUNDUP(MONTH(F315)/3,0)</f>
        <v/>
      </c>
      <c r="X315" s="41">
        <f>IF(AND(OR(Dashboard!$C$4="All",D315=Dashboard!$C$4),OR(Dashboard!$C$5="All",E315=Dashboard!$C$5)),1,0)</f>
        <v/>
      </c>
      <c r="Y315" s="43">
        <f>IF(AND(X315=1,S315="Yes"),O315+ROW()/1000000,0)</f>
        <v/>
      </c>
    </row>
    <row r="316">
      <c r="A316" s="35" t="inlineStr">
        <is>
          <t>LN100315</t>
        </is>
      </c>
      <c r="B316" s="35" t="inlineStr">
        <is>
          <t>Sneha Gupta</t>
        </is>
      </c>
      <c r="C316" s="35" t="inlineStr">
        <is>
          <t>PAT-01</t>
        </is>
      </c>
      <c r="D316" s="36">
        <f>INDEX(Branches!$C$2:$C$15,MATCH(C316,Branches!$A$2:$A$15,0))</f>
        <v/>
      </c>
      <c r="E316" s="35" t="inlineStr">
        <is>
          <t>Business Loan</t>
        </is>
      </c>
      <c r="F316" s="37" t="n">
        <v>45259</v>
      </c>
      <c r="G316" s="38" t="n">
        <v>986000</v>
      </c>
      <c r="H316" s="39" t="n">
        <v>0.1301</v>
      </c>
      <c r="I316" s="35" t="n">
        <v>36</v>
      </c>
      <c r="J316" s="35" t="n">
        <v>772</v>
      </c>
      <c r="K316" s="35" t="n">
        <v>0</v>
      </c>
      <c r="L316" s="40">
        <f>ROUND(PMT(H316/12,I316,-G316),0)</f>
        <v/>
      </c>
      <c r="M316" s="41">
        <f>MAX(0,(YEAR(AsOfDate)-YEAR(F316))*12+MONTH(AsOfDate)-MONTH(F316))</f>
        <v/>
      </c>
      <c r="N316" s="41">
        <f>MAX(0,MIN(I316,M316)-INT(K316/30))</f>
        <v/>
      </c>
      <c r="O316" s="40">
        <f>IF(N316&gt;=I316,0,ROUND(PV(H316/12,I316-N316,-L316),0))</f>
        <v/>
      </c>
      <c r="P316" s="40">
        <f>MIN(I316,M316)*L316-N316*L316</f>
        <v/>
      </c>
      <c r="Q316" s="41">
        <f>INDEX(DPD_Bucket,MATCH(K316,DPD_From,1))</f>
        <v/>
      </c>
      <c r="R316" s="41">
        <f>INDEX(DPD_Class,MATCH(K316,DPD_From,1))</f>
        <v/>
      </c>
      <c r="S316" s="41">
        <f>INDEX(DPD_NPA,MATCH(K316,DPD_From,1))</f>
        <v/>
      </c>
      <c r="T316" s="42">
        <f>INDEX(DPD_Prov,MATCH(K316,DPD_From,1))</f>
        <v/>
      </c>
      <c r="U316" s="40">
        <f>ROUND(O316*T316,0)</f>
        <v/>
      </c>
      <c r="V316" s="41">
        <f>INDEX(CIBIL_Grade,MATCH(J316,CIBIL_From,1))</f>
        <v/>
      </c>
      <c r="W316" s="41">
        <f>YEAR(F316)&amp;"-Q"&amp;ROUNDUP(MONTH(F316)/3,0)</f>
        <v/>
      </c>
      <c r="X316" s="41">
        <f>IF(AND(OR(Dashboard!$C$4="All",D316=Dashboard!$C$4),OR(Dashboard!$C$5="All",E316=Dashboard!$C$5)),1,0)</f>
        <v/>
      </c>
      <c r="Y316" s="43">
        <f>IF(AND(X316=1,S316="Yes"),O316+ROW()/1000000,0)</f>
        <v/>
      </c>
    </row>
    <row r="317">
      <c r="A317" s="35" t="inlineStr">
        <is>
          <t>LN100316</t>
        </is>
      </c>
      <c r="B317" s="35" t="inlineStr">
        <is>
          <t>Pooja Banerjee</t>
        </is>
      </c>
      <c r="C317" s="35" t="inlineStr">
        <is>
          <t>PUN-01</t>
        </is>
      </c>
      <c r="D317" s="36">
        <f>INDEX(Branches!$C$2:$C$15,MATCH(C317,Branches!$A$2:$A$15,0))</f>
        <v/>
      </c>
      <c r="E317" s="35" t="inlineStr">
        <is>
          <t>Auto Loan</t>
        </is>
      </c>
      <c r="F317" s="37" t="n">
        <v>45833</v>
      </c>
      <c r="G317" s="38" t="n">
        <v>1274000</v>
      </c>
      <c r="H317" s="39" t="n">
        <v>0.0921</v>
      </c>
      <c r="I317" s="35" t="n">
        <v>84</v>
      </c>
      <c r="J317" s="35" t="n">
        <v>737</v>
      </c>
      <c r="K317" s="35" t="n">
        <v>0</v>
      </c>
      <c r="L317" s="40">
        <f>ROUND(PMT(H317/12,I317,-G317),0)</f>
        <v/>
      </c>
      <c r="M317" s="41">
        <f>MAX(0,(YEAR(AsOfDate)-YEAR(F317))*12+MONTH(AsOfDate)-MONTH(F317))</f>
        <v/>
      </c>
      <c r="N317" s="41">
        <f>MAX(0,MIN(I317,M317)-INT(K317/30))</f>
        <v/>
      </c>
      <c r="O317" s="40">
        <f>IF(N317&gt;=I317,0,ROUND(PV(H317/12,I317-N317,-L317),0))</f>
        <v/>
      </c>
      <c r="P317" s="40">
        <f>MIN(I317,M317)*L317-N317*L317</f>
        <v/>
      </c>
      <c r="Q317" s="41">
        <f>INDEX(DPD_Bucket,MATCH(K317,DPD_From,1))</f>
        <v/>
      </c>
      <c r="R317" s="41">
        <f>INDEX(DPD_Class,MATCH(K317,DPD_From,1))</f>
        <v/>
      </c>
      <c r="S317" s="41">
        <f>INDEX(DPD_NPA,MATCH(K317,DPD_From,1))</f>
        <v/>
      </c>
      <c r="T317" s="42">
        <f>INDEX(DPD_Prov,MATCH(K317,DPD_From,1))</f>
        <v/>
      </c>
      <c r="U317" s="40">
        <f>ROUND(O317*T317,0)</f>
        <v/>
      </c>
      <c r="V317" s="41">
        <f>INDEX(CIBIL_Grade,MATCH(J317,CIBIL_From,1))</f>
        <v/>
      </c>
      <c r="W317" s="41">
        <f>YEAR(F317)&amp;"-Q"&amp;ROUNDUP(MONTH(F317)/3,0)</f>
        <v/>
      </c>
      <c r="X317" s="41">
        <f>IF(AND(OR(Dashboard!$C$4="All",D317=Dashboard!$C$4),OR(Dashboard!$C$5="All",E317=Dashboard!$C$5)),1,0)</f>
        <v/>
      </c>
      <c r="Y317" s="43">
        <f>IF(AND(X317=1,S317="Yes"),O317+ROW()/1000000,0)</f>
        <v/>
      </c>
    </row>
    <row r="318">
      <c r="A318" s="35" t="inlineStr">
        <is>
          <t>LN100317</t>
        </is>
      </c>
      <c r="B318" s="35" t="inlineStr">
        <is>
          <t>Diya Sharma</t>
        </is>
      </c>
      <c r="C318" s="35" t="inlineStr">
        <is>
          <t>PUN-01</t>
        </is>
      </c>
      <c r="D318" s="36">
        <f>INDEX(Branches!$C$2:$C$15,MATCH(C318,Branches!$A$2:$A$15,0))</f>
        <v/>
      </c>
      <c r="E318" s="35" t="inlineStr">
        <is>
          <t>Personal Loan</t>
        </is>
      </c>
      <c r="F318" s="37" t="n">
        <v>45712</v>
      </c>
      <c r="G318" s="38" t="n">
        <v>466000</v>
      </c>
      <c r="H318" s="39" t="n">
        <v>0.1129</v>
      </c>
      <c r="I318" s="35" t="n">
        <v>60</v>
      </c>
      <c r="J318" s="35" t="n">
        <v>746</v>
      </c>
      <c r="K318" s="35" t="n">
        <v>0</v>
      </c>
      <c r="L318" s="40">
        <f>ROUND(PMT(H318/12,I318,-G318),0)</f>
        <v/>
      </c>
      <c r="M318" s="41">
        <f>MAX(0,(YEAR(AsOfDate)-YEAR(F318))*12+MONTH(AsOfDate)-MONTH(F318))</f>
        <v/>
      </c>
      <c r="N318" s="41">
        <f>MAX(0,MIN(I318,M318)-INT(K318/30))</f>
        <v/>
      </c>
      <c r="O318" s="40">
        <f>IF(N318&gt;=I318,0,ROUND(PV(H318/12,I318-N318,-L318),0))</f>
        <v/>
      </c>
      <c r="P318" s="40">
        <f>MIN(I318,M318)*L318-N318*L318</f>
        <v/>
      </c>
      <c r="Q318" s="41">
        <f>INDEX(DPD_Bucket,MATCH(K318,DPD_From,1))</f>
        <v/>
      </c>
      <c r="R318" s="41">
        <f>INDEX(DPD_Class,MATCH(K318,DPD_From,1))</f>
        <v/>
      </c>
      <c r="S318" s="41">
        <f>INDEX(DPD_NPA,MATCH(K318,DPD_From,1))</f>
        <v/>
      </c>
      <c r="T318" s="42">
        <f>INDEX(DPD_Prov,MATCH(K318,DPD_From,1))</f>
        <v/>
      </c>
      <c r="U318" s="40">
        <f>ROUND(O318*T318,0)</f>
        <v/>
      </c>
      <c r="V318" s="41">
        <f>INDEX(CIBIL_Grade,MATCH(J318,CIBIL_From,1))</f>
        <v/>
      </c>
      <c r="W318" s="41">
        <f>YEAR(F318)&amp;"-Q"&amp;ROUNDUP(MONTH(F318)/3,0)</f>
        <v/>
      </c>
      <c r="X318" s="41">
        <f>IF(AND(OR(Dashboard!$C$4="All",D318=Dashboard!$C$4),OR(Dashboard!$C$5="All",E318=Dashboard!$C$5)),1,0)</f>
        <v/>
      </c>
      <c r="Y318" s="43">
        <f>IF(AND(X318=1,S318="Yes"),O318+ROW()/1000000,0)</f>
        <v/>
      </c>
    </row>
    <row r="319">
      <c r="A319" s="35" t="inlineStr">
        <is>
          <t>LN100318</t>
        </is>
      </c>
      <c r="B319" s="35" t="inlineStr">
        <is>
          <t>Rohan Iyer</t>
        </is>
      </c>
      <c r="C319" s="35" t="inlineStr">
        <is>
          <t>PUN-01</t>
        </is>
      </c>
      <c r="D319" s="36">
        <f>INDEX(Branches!$C$2:$C$15,MATCH(C319,Branches!$A$2:$A$15,0))</f>
        <v/>
      </c>
      <c r="E319" s="35" t="inlineStr">
        <is>
          <t>Auto Loan</t>
        </is>
      </c>
      <c r="F319" s="37" t="n">
        <v>45844</v>
      </c>
      <c r="G319" s="38" t="n">
        <v>1350000</v>
      </c>
      <c r="H319" s="39" t="n">
        <v>0.108</v>
      </c>
      <c r="I319" s="35" t="n">
        <v>84</v>
      </c>
      <c r="J319" s="35" t="n">
        <v>753</v>
      </c>
      <c r="K319" s="35" t="n">
        <v>0</v>
      </c>
      <c r="L319" s="40">
        <f>ROUND(PMT(H319/12,I319,-G319),0)</f>
        <v/>
      </c>
      <c r="M319" s="41">
        <f>MAX(0,(YEAR(AsOfDate)-YEAR(F319))*12+MONTH(AsOfDate)-MONTH(F319))</f>
        <v/>
      </c>
      <c r="N319" s="41">
        <f>MAX(0,MIN(I319,M319)-INT(K319/30))</f>
        <v/>
      </c>
      <c r="O319" s="40">
        <f>IF(N319&gt;=I319,0,ROUND(PV(H319/12,I319-N319,-L319),0))</f>
        <v/>
      </c>
      <c r="P319" s="40">
        <f>MIN(I319,M319)*L319-N319*L319</f>
        <v/>
      </c>
      <c r="Q319" s="41">
        <f>INDEX(DPD_Bucket,MATCH(K319,DPD_From,1))</f>
        <v/>
      </c>
      <c r="R319" s="41">
        <f>INDEX(DPD_Class,MATCH(K319,DPD_From,1))</f>
        <v/>
      </c>
      <c r="S319" s="41">
        <f>INDEX(DPD_NPA,MATCH(K319,DPD_From,1))</f>
        <v/>
      </c>
      <c r="T319" s="42">
        <f>INDEX(DPD_Prov,MATCH(K319,DPD_From,1))</f>
        <v/>
      </c>
      <c r="U319" s="40">
        <f>ROUND(O319*T319,0)</f>
        <v/>
      </c>
      <c r="V319" s="41">
        <f>INDEX(CIBIL_Grade,MATCH(J319,CIBIL_From,1))</f>
        <v/>
      </c>
      <c r="W319" s="41">
        <f>YEAR(F319)&amp;"-Q"&amp;ROUNDUP(MONTH(F319)/3,0)</f>
        <v/>
      </c>
      <c r="X319" s="41">
        <f>IF(AND(OR(Dashboard!$C$4="All",D319=Dashboard!$C$4),OR(Dashboard!$C$5="All",E319=Dashboard!$C$5)),1,0)</f>
        <v/>
      </c>
      <c r="Y319" s="43">
        <f>IF(AND(X319=1,S319="Yes"),O319+ROW()/1000000,0)</f>
        <v/>
      </c>
    </row>
    <row r="320">
      <c r="A320" s="35" t="inlineStr">
        <is>
          <t>LN100319</t>
        </is>
      </c>
      <c r="B320" s="35" t="inlineStr">
        <is>
          <t>Reyansh Verma</t>
        </is>
      </c>
      <c r="C320" s="35" t="inlineStr">
        <is>
          <t>CHN-01</t>
        </is>
      </c>
      <c r="D320" s="36">
        <f>INDEX(Branches!$C$2:$C$15,MATCH(C320,Branches!$A$2:$A$15,0))</f>
        <v/>
      </c>
      <c r="E320" s="35" t="inlineStr">
        <is>
          <t>Personal Loan</t>
        </is>
      </c>
      <c r="F320" s="37" t="n">
        <v>45290</v>
      </c>
      <c r="G320" s="38" t="n">
        <v>564000</v>
      </c>
      <c r="H320" s="39" t="n">
        <v>0.1781</v>
      </c>
      <c r="I320" s="35" t="n">
        <v>12</v>
      </c>
      <c r="J320" s="35" t="n">
        <v>765</v>
      </c>
      <c r="K320" s="35" t="n">
        <v>0</v>
      </c>
      <c r="L320" s="40">
        <f>ROUND(PMT(H320/12,I320,-G320),0)</f>
        <v/>
      </c>
      <c r="M320" s="41">
        <f>MAX(0,(YEAR(AsOfDate)-YEAR(F320))*12+MONTH(AsOfDate)-MONTH(F320))</f>
        <v/>
      </c>
      <c r="N320" s="41">
        <f>MAX(0,MIN(I320,M320)-INT(K320/30))</f>
        <v/>
      </c>
      <c r="O320" s="40">
        <f>IF(N320&gt;=I320,0,ROUND(PV(H320/12,I320-N320,-L320),0))</f>
        <v/>
      </c>
      <c r="P320" s="40">
        <f>MIN(I320,M320)*L320-N320*L320</f>
        <v/>
      </c>
      <c r="Q320" s="41">
        <f>INDEX(DPD_Bucket,MATCH(K320,DPD_From,1))</f>
        <v/>
      </c>
      <c r="R320" s="41">
        <f>INDEX(DPD_Class,MATCH(K320,DPD_From,1))</f>
        <v/>
      </c>
      <c r="S320" s="41">
        <f>INDEX(DPD_NPA,MATCH(K320,DPD_From,1))</f>
        <v/>
      </c>
      <c r="T320" s="42">
        <f>INDEX(DPD_Prov,MATCH(K320,DPD_From,1))</f>
        <v/>
      </c>
      <c r="U320" s="40">
        <f>ROUND(O320*T320,0)</f>
        <v/>
      </c>
      <c r="V320" s="41">
        <f>INDEX(CIBIL_Grade,MATCH(J320,CIBIL_From,1))</f>
        <v/>
      </c>
      <c r="W320" s="41">
        <f>YEAR(F320)&amp;"-Q"&amp;ROUNDUP(MONTH(F320)/3,0)</f>
        <v/>
      </c>
      <c r="X320" s="41">
        <f>IF(AND(OR(Dashboard!$C$4="All",D320=Dashboard!$C$4),OR(Dashboard!$C$5="All",E320=Dashboard!$C$5)),1,0)</f>
        <v/>
      </c>
      <c r="Y320" s="43">
        <f>IF(AND(X320=1,S320="Yes"),O320+ROW()/1000000,0)</f>
        <v/>
      </c>
    </row>
    <row r="321">
      <c r="A321" s="35" t="inlineStr">
        <is>
          <t>LN100320</t>
        </is>
      </c>
      <c r="B321" s="35" t="inlineStr">
        <is>
          <t>Arjun Verma</t>
        </is>
      </c>
      <c r="C321" s="35" t="inlineStr">
        <is>
          <t>AMD-01</t>
        </is>
      </c>
      <c r="D321" s="36">
        <f>INDEX(Branches!$C$2:$C$15,MATCH(C321,Branches!$A$2:$A$15,0))</f>
        <v/>
      </c>
      <c r="E321" s="35" t="inlineStr">
        <is>
          <t>Auto Loan</t>
        </is>
      </c>
      <c r="F321" s="37" t="n">
        <v>45597</v>
      </c>
      <c r="G321" s="38" t="n">
        <v>1315000</v>
      </c>
      <c r="H321" s="39" t="n">
        <v>0.115</v>
      </c>
      <c r="I321" s="35" t="n">
        <v>60</v>
      </c>
      <c r="J321" s="35" t="n">
        <v>723</v>
      </c>
      <c r="K321" s="35" t="n">
        <v>0</v>
      </c>
      <c r="L321" s="40">
        <f>ROUND(PMT(H321/12,I321,-G321),0)</f>
        <v/>
      </c>
      <c r="M321" s="41">
        <f>MAX(0,(YEAR(AsOfDate)-YEAR(F321))*12+MONTH(AsOfDate)-MONTH(F321))</f>
        <v/>
      </c>
      <c r="N321" s="41">
        <f>MAX(0,MIN(I321,M321)-INT(K321/30))</f>
        <v/>
      </c>
      <c r="O321" s="40">
        <f>IF(N321&gt;=I321,0,ROUND(PV(H321/12,I321-N321,-L321),0))</f>
        <v/>
      </c>
      <c r="P321" s="40">
        <f>MIN(I321,M321)*L321-N321*L321</f>
        <v/>
      </c>
      <c r="Q321" s="41">
        <f>INDEX(DPD_Bucket,MATCH(K321,DPD_From,1))</f>
        <v/>
      </c>
      <c r="R321" s="41">
        <f>INDEX(DPD_Class,MATCH(K321,DPD_From,1))</f>
        <v/>
      </c>
      <c r="S321" s="41">
        <f>INDEX(DPD_NPA,MATCH(K321,DPD_From,1))</f>
        <v/>
      </c>
      <c r="T321" s="42">
        <f>INDEX(DPD_Prov,MATCH(K321,DPD_From,1))</f>
        <v/>
      </c>
      <c r="U321" s="40">
        <f>ROUND(O321*T321,0)</f>
        <v/>
      </c>
      <c r="V321" s="41">
        <f>INDEX(CIBIL_Grade,MATCH(J321,CIBIL_From,1))</f>
        <v/>
      </c>
      <c r="W321" s="41">
        <f>YEAR(F321)&amp;"-Q"&amp;ROUNDUP(MONTH(F321)/3,0)</f>
        <v/>
      </c>
      <c r="X321" s="41">
        <f>IF(AND(OR(Dashboard!$C$4="All",D321=Dashboard!$C$4),OR(Dashboard!$C$5="All",E321=Dashboard!$C$5)),1,0)</f>
        <v/>
      </c>
      <c r="Y321" s="43">
        <f>IF(AND(X321=1,S321="Yes"),O321+ROW()/1000000,0)</f>
        <v/>
      </c>
    </row>
    <row r="322">
      <c r="A322" s="35" t="inlineStr">
        <is>
          <t>LN100321</t>
        </is>
      </c>
      <c r="B322" s="35" t="inlineStr">
        <is>
          <t>Suresh Pillai</t>
        </is>
      </c>
      <c r="C322" s="35" t="inlineStr">
        <is>
          <t>KOC-01</t>
        </is>
      </c>
      <c r="D322" s="36">
        <f>INDEX(Branches!$C$2:$C$15,MATCH(C322,Branches!$A$2:$A$15,0))</f>
        <v/>
      </c>
      <c r="E322" s="35" t="inlineStr">
        <is>
          <t>Home Loan</t>
        </is>
      </c>
      <c r="F322" s="37" t="n">
        <v>46166</v>
      </c>
      <c r="G322" s="38" t="n">
        <v>3261000</v>
      </c>
      <c r="H322" s="39" t="n">
        <v>0.08690000000000001</v>
      </c>
      <c r="I322" s="35" t="n">
        <v>180</v>
      </c>
      <c r="J322" s="35" t="n">
        <v>693</v>
      </c>
      <c r="K322" s="35" t="n">
        <v>0</v>
      </c>
      <c r="L322" s="40">
        <f>ROUND(PMT(H322/12,I322,-G322),0)</f>
        <v/>
      </c>
      <c r="M322" s="41">
        <f>MAX(0,(YEAR(AsOfDate)-YEAR(F322))*12+MONTH(AsOfDate)-MONTH(F322))</f>
        <v/>
      </c>
      <c r="N322" s="41">
        <f>MAX(0,MIN(I322,M322)-INT(K322/30))</f>
        <v/>
      </c>
      <c r="O322" s="40">
        <f>IF(N322&gt;=I322,0,ROUND(PV(H322/12,I322-N322,-L322),0))</f>
        <v/>
      </c>
      <c r="P322" s="40">
        <f>MIN(I322,M322)*L322-N322*L322</f>
        <v/>
      </c>
      <c r="Q322" s="41">
        <f>INDEX(DPD_Bucket,MATCH(K322,DPD_From,1))</f>
        <v/>
      </c>
      <c r="R322" s="41">
        <f>INDEX(DPD_Class,MATCH(K322,DPD_From,1))</f>
        <v/>
      </c>
      <c r="S322" s="41">
        <f>INDEX(DPD_NPA,MATCH(K322,DPD_From,1))</f>
        <v/>
      </c>
      <c r="T322" s="42">
        <f>INDEX(DPD_Prov,MATCH(K322,DPD_From,1))</f>
        <v/>
      </c>
      <c r="U322" s="40">
        <f>ROUND(O322*T322,0)</f>
        <v/>
      </c>
      <c r="V322" s="41">
        <f>INDEX(CIBIL_Grade,MATCH(J322,CIBIL_From,1))</f>
        <v/>
      </c>
      <c r="W322" s="41">
        <f>YEAR(F322)&amp;"-Q"&amp;ROUNDUP(MONTH(F322)/3,0)</f>
        <v/>
      </c>
      <c r="X322" s="41">
        <f>IF(AND(OR(Dashboard!$C$4="All",D322=Dashboard!$C$4),OR(Dashboard!$C$5="All",E322=Dashboard!$C$5)),1,0)</f>
        <v/>
      </c>
      <c r="Y322" s="43">
        <f>IF(AND(X322=1,S322="Yes"),O322+ROW()/1000000,0)</f>
        <v/>
      </c>
    </row>
    <row r="323">
      <c r="A323" s="35" t="inlineStr">
        <is>
          <t>LN100322</t>
        </is>
      </c>
      <c r="B323" s="35" t="inlineStr">
        <is>
          <t>Diya Banerjee</t>
        </is>
      </c>
      <c r="C323" s="35" t="inlineStr">
        <is>
          <t>DEL-01</t>
        </is>
      </c>
      <c r="D323" s="36">
        <f>INDEX(Branches!$C$2:$C$15,MATCH(C323,Branches!$A$2:$A$15,0))</f>
        <v/>
      </c>
      <c r="E323" s="35" t="inlineStr">
        <is>
          <t>Personal Loan</t>
        </is>
      </c>
      <c r="F323" s="37" t="n">
        <v>45204</v>
      </c>
      <c r="G323" s="38" t="n">
        <v>785000</v>
      </c>
      <c r="H323" s="39" t="n">
        <v>0.1546</v>
      </c>
      <c r="I323" s="35" t="n">
        <v>12</v>
      </c>
      <c r="J323" s="35" t="n">
        <v>755</v>
      </c>
      <c r="K323" s="35" t="n">
        <v>0</v>
      </c>
      <c r="L323" s="40">
        <f>ROUND(PMT(H323/12,I323,-G323),0)</f>
        <v/>
      </c>
      <c r="M323" s="41">
        <f>MAX(0,(YEAR(AsOfDate)-YEAR(F323))*12+MONTH(AsOfDate)-MONTH(F323))</f>
        <v/>
      </c>
      <c r="N323" s="41">
        <f>MAX(0,MIN(I323,M323)-INT(K323/30))</f>
        <v/>
      </c>
      <c r="O323" s="40">
        <f>IF(N323&gt;=I323,0,ROUND(PV(H323/12,I323-N323,-L323),0))</f>
        <v/>
      </c>
      <c r="P323" s="40">
        <f>MIN(I323,M323)*L323-N323*L323</f>
        <v/>
      </c>
      <c r="Q323" s="41">
        <f>INDEX(DPD_Bucket,MATCH(K323,DPD_From,1))</f>
        <v/>
      </c>
      <c r="R323" s="41">
        <f>INDEX(DPD_Class,MATCH(K323,DPD_From,1))</f>
        <v/>
      </c>
      <c r="S323" s="41">
        <f>INDEX(DPD_NPA,MATCH(K323,DPD_From,1))</f>
        <v/>
      </c>
      <c r="T323" s="42">
        <f>INDEX(DPD_Prov,MATCH(K323,DPD_From,1))</f>
        <v/>
      </c>
      <c r="U323" s="40">
        <f>ROUND(O323*T323,0)</f>
        <v/>
      </c>
      <c r="V323" s="41">
        <f>INDEX(CIBIL_Grade,MATCH(J323,CIBIL_From,1))</f>
        <v/>
      </c>
      <c r="W323" s="41">
        <f>YEAR(F323)&amp;"-Q"&amp;ROUNDUP(MONTH(F323)/3,0)</f>
        <v/>
      </c>
      <c r="X323" s="41">
        <f>IF(AND(OR(Dashboard!$C$4="All",D323=Dashboard!$C$4),OR(Dashboard!$C$5="All",E323=Dashboard!$C$5)),1,0)</f>
        <v/>
      </c>
      <c r="Y323" s="43">
        <f>IF(AND(X323=1,S323="Yes"),O323+ROW()/1000000,0)</f>
        <v/>
      </c>
    </row>
    <row r="324">
      <c r="A324" s="35" t="inlineStr">
        <is>
          <t>LN100323</t>
        </is>
      </c>
      <c r="B324" s="35" t="inlineStr">
        <is>
          <t>Riya Verma</t>
        </is>
      </c>
      <c r="C324" s="35" t="inlineStr">
        <is>
          <t>MUM-01</t>
        </is>
      </c>
      <c r="D324" s="36">
        <f>INDEX(Branches!$C$2:$C$15,MATCH(C324,Branches!$A$2:$A$15,0))</f>
        <v/>
      </c>
      <c r="E324" s="35" t="inlineStr">
        <is>
          <t>Home Loan</t>
        </is>
      </c>
      <c r="F324" s="37" t="n">
        <v>45380</v>
      </c>
      <c r="G324" s="38" t="n">
        <v>7717000</v>
      </c>
      <c r="H324" s="39" t="n">
        <v>0.0877</v>
      </c>
      <c r="I324" s="35" t="n">
        <v>240</v>
      </c>
      <c r="J324" s="35" t="n">
        <v>780</v>
      </c>
      <c r="K324" s="35" t="n">
        <v>0</v>
      </c>
      <c r="L324" s="40">
        <f>ROUND(PMT(H324/12,I324,-G324),0)</f>
        <v/>
      </c>
      <c r="M324" s="41">
        <f>MAX(0,(YEAR(AsOfDate)-YEAR(F324))*12+MONTH(AsOfDate)-MONTH(F324))</f>
        <v/>
      </c>
      <c r="N324" s="41">
        <f>MAX(0,MIN(I324,M324)-INT(K324/30))</f>
        <v/>
      </c>
      <c r="O324" s="40">
        <f>IF(N324&gt;=I324,0,ROUND(PV(H324/12,I324-N324,-L324),0))</f>
        <v/>
      </c>
      <c r="P324" s="40">
        <f>MIN(I324,M324)*L324-N324*L324</f>
        <v/>
      </c>
      <c r="Q324" s="41">
        <f>INDEX(DPD_Bucket,MATCH(K324,DPD_From,1))</f>
        <v/>
      </c>
      <c r="R324" s="41">
        <f>INDEX(DPD_Class,MATCH(K324,DPD_From,1))</f>
        <v/>
      </c>
      <c r="S324" s="41">
        <f>INDEX(DPD_NPA,MATCH(K324,DPD_From,1))</f>
        <v/>
      </c>
      <c r="T324" s="42">
        <f>INDEX(DPD_Prov,MATCH(K324,DPD_From,1))</f>
        <v/>
      </c>
      <c r="U324" s="40">
        <f>ROUND(O324*T324,0)</f>
        <v/>
      </c>
      <c r="V324" s="41">
        <f>INDEX(CIBIL_Grade,MATCH(J324,CIBIL_From,1))</f>
        <v/>
      </c>
      <c r="W324" s="41">
        <f>YEAR(F324)&amp;"-Q"&amp;ROUNDUP(MONTH(F324)/3,0)</f>
        <v/>
      </c>
      <c r="X324" s="41">
        <f>IF(AND(OR(Dashboard!$C$4="All",D324=Dashboard!$C$4),OR(Dashboard!$C$5="All",E324=Dashboard!$C$5)),1,0)</f>
        <v/>
      </c>
      <c r="Y324" s="43">
        <f>IF(AND(X324=1,S324="Yes"),O324+ROW()/1000000,0)</f>
        <v/>
      </c>
    </row>
    <row r="325">
      <c r="A325" s="35" t="inlineStr">
        <is>
          <t>LN100324</t>
        </is>
      </c>
      <c r="B325" s="35" t="inlineStr">
        <is>
          <t>Deepa Nair</t>
        </is>
      </c>
      <c r="C325" s="35" t="inlineStr">
        <is>
          <t>CHN-01</t>
        </is>
      </c>
      <c r="D325" s="36">
        <f>INDEX(Branches!$C$2:$C$15,MATCH(C325,Branches!$A$2:$A$15,0))</f>
        <v/>
      </c>
      <c r="E325" s="35" t="inlineStr">
        <is>
          <t>Business Loan</t>
        </is>
      </c>
      <c r="F325" s="37" t="n">
        <v>45864</v>
      </c>
      <c r="G325" s="38" t="n">
        <v>3507000</v>
      </c>
      <c r="H325" s="39" t="n">
        <v>0.1866</v>
      </c>
      <c r="I325" s="35" t="n">
        <v>12</v>
      </c>
      <c r="J325" s="35" t="n">
        <v>840</v>
      </c>
      <c r="K325" s="35" t="n">
        <v>0</v>
      </c>
      <c r="L325" s="40">
        <f>ROUND(PMT(H325/12,I325,-G325),0)</f>
        <v/>
      </c>
      <c r="M325" s="41">
        <f>MAX(0,(YEAR(AsOfDate)-YEAR(F325))*12+MONTH(AsOfDate)-MONTH(F325))</f>
        <v/>
      </c>
      <c r="N325" s="41">
        <f>MAX(0,MIN(I325,M325)-INT(K325/30))</f>
        <v/>
      </c>
      <c r="O325" s="40">
        <f>IF(N325&gt;=I325,0,ROUND(PV(H325/12,I325-N325,-L325),0))</f>
        <v/>
      </c>
      <c r="P325" s="40">
        <f>MIN(I325,M325)*L325-N325*L325</f>
        <v/>
      </c>
      <c r="Q325" s="41">
        <f>INDEX(DPD_Bucket,MATCH(K325,DPD_From,1))</f>
        <v/>
      </c>
      <c r="R325" s="41">
        <f>INDEX(DPD_Class,MATCH(K325,DPD_From,1))</f>
        <v/>
      </c>
      <c r="S325" s="41">
        <f>INDEX(DPD_NPA,MATCH(K325,DPD_From,1))</f>
        <v/>
      </c>
      <c r="T325" s="42">
        <f>INDEX(DPD_Prov,MATCH(K325,DPD_From,1))</f>
        <v/>
      </c>
      <c r="U325" s="40">
        <f>ROUND(O325*T325,0)</f>
        <v/>
      </c>
      <c r="V325" s="41">
        <f>INDEX(CIBIL_Grade,MATCH(J325,CIBIL_From,1))</f>
        <v/>
      </c>
      <c r="W325" s="41">
        <f>YEAR(F325)&amp;"-Q"&amp;ROUNDUP(MONTH(F325)/3,0)</f>
        <v/>
      </c>
      <c r="X325" s="41">
        <f>IF(AND(OR(Dashboard!$C$4="All",D325=Dashboard!$C$4),OR(Dashboard!$C$5="All",E325=Dashboard!$C$5)),1,0)</f>
        <v/>
      </c>
      <c r="Y325" s="43">
        <f>IF(AND(X325=1,S325="Yes"),O325+ROW()/1000000,0)</f>
        <v/>
      </c>
    </row>
    <row r="326">
      <c r="A326" s="35" t="inlineStr">
        <is>
          <t>LN100325</t>
        </is>
      </c>
      <c r="B326" s="35" t="inlineStr">
        <is>
          <t>Rohan Pillai</t>
        </is>
      </c>
      <c r="C326" s="35" t="inlineStr">
        <is>
          <t>JAI-01</t>
        </is>
      </c>
      <c r="D326" s="36">
        <f>INDEX(Branches!$C$2:$C$15,MATCH(C326,Branches!$A$2:$A$15,0))</f>
        <v/>
      </c>
      <c r="E326" s="35" t="inlineStr">
        <is>
          <t>Auto Loan</t>
        </is>
      </c>
      <c r="F326" s="37" t="n">
        <v>46049</v>
      </c>
      <c r="G326" s="38" t="n">
        <v>1811000</v>
      </c>
      <c r="H326" s="39" t="n">
        <v>0.1038</v>
      </c>
      <c r="I326" s="35" t="n">
        <v>48</v>
      </c>
      <c r="J326" s="35" t="n">
        <v>789</v>
      </c>
      <c r="K326" s="35" t="n">
        <v>0</v>
      </c>
      <c r="L326" s="40">
        <f>ROUND(PMT(H326/12,I326,-G326),0)</f>
        <v/>
      </c>
      <c r="M326" s="41">
        <f>MAX(0,(YEAR(AsOfDate)-YEAR(F326))*12+MONTH(AsOfDate)-MONTH(F326))</f>
        <v/>
      </c>
      <c r="N326" s="41">
        <f>MAX(0,MIN(I326,M326)-INT(K326/30))</f>
        <v/>
      </c>
      <c r="O326" s="40">
        <f>IF(N326&gt;=I326,0,ROUND(PV(H326/12,I326-N326,-L326),0))</f>
        <v/>
      </c>
      <c r="P326" s="40">
        <f>MIN(I326,M326)*L326-N326*L326</f>
        <v/>
      </c>
      <c r="Q326" s="41">
        <f>INDEX(DPD_Bucket,MATCH(K326,DPD_From,1))</f>
        <v/>
      </c>
      <c r="R326" s="41">
        <f>INDEX(DPD_Class,MATCH(K326,DPD_From,1))</f>
        <v/>
      </c>
      <c r="S326" s="41">
        <f>INDEX(DPD_NPA,MATCH(K326,DPD_From,1))</f>
        <v/>
      </c>
      <c r="T326" s="42">
        <f>INDEX(DPD_Prov,MATCH(K326,DPD_From,1))</f>
        <v/>
      </c>
      <c r="U326" s="40">
        <f>ROUND(O326*T326,0)</f>
        <v/>
      </c>
      <c r="V326" s="41">
        <f>INDEX(CIBIL_Grade,MATCH(J326,CIBIL_From,1))</f>
        <v/>
      </c>
      <c r="W326" s="41">
        <f>YEAR(F326)&amp;"-Q"&amp;ROUNDUP(MONTH(F326)/3,0)</f>
        <v/>
      </c>
      <c r="X326" s="41">
        <f>IF(AND(OR(Dashboard!$C$4="All",D326=Dashboard!$C$4),OR(Dashboard!$C$5="All",E326=Dashboard!$C$5)),1,0)</f>
        <v/>
      </c>
      <c r="Y326" s="43">
        <f>IF(AND(X326=1,S326="Yes"),O326+ROW()/1000000,0)</f>
        <v/>
      </c>
    </row>
    <row r="327">
      <c r="A327" s="35" t="inlineStr">
        <is>
          <t>LN100326</t>
        </is>
      </c>
      <c r="B327" s="35" t="inlineStr">
        <is>
          <t>Swati Chatterjee</t>
        </is>
      </c>
      <c r="C327" s="35" t="inlineStr">
        <is>
          <t>PAT-01</t>
        </is>
      </c>
      <c r="D327" s="36">
        <f>INDEX(Branches!$C$2:$C$15,MATCH(C327,Branches!$A$2:$A$15,0))</f>
        <v/>
      </c>
      <c r="E327" s="35" t="inlineStr">
        <is>
          <t>Home Loan</t>
        </is>
      </c>
      <c r="F327" s="37" t="n">
        <v>46102</v>
      </c>
      <c r="G327" s="38" t="n">
        <v>9429000</v>
      </c>
      <c r="H327" s="39" t="n">
        <v>0.0978</v>
      </c>
      <c r="I327" s="35" t="n">
        <v>240</v>
      </c>
      <c r="J327" s="35" t="n">
        <v>649</v>
      </c>
      <c r="K327" s="35" t="n">
        <v>0</v>
      </c>
      <c r="L327" s="40">
        <f>ROUND(PMT(H327/12,I327,-G327),0)</f>
        <v/>
      </c>
      <c r="M327" s="41">
        <f>MAX(0,(YEAR(AsOfDate)-YEAR(F327))*12+MONTH(AsOfDate)-MONTH(F327))</f>
        <v/>
      </c>
      <c r="N327" s="41">
        <f>MAX(0,MIN(I327,M327)-INT(K327/30))</f>
        <v/>
      </c>
      <c r="O327" s="40">
        <f>IF(N327&gt;=I327,0,ROUND(PV(H327/12,I327-N327,-L327),0))</f>
        <v/>
      </c>
      <c r="P327" s="40">
        <f>MIN(I327,M327)*L327-N327*L327</f>
        <v/>
      </c>
      <c r="Q327" s="41">
        <f>INDEX(DPD_Bucket,MATCH(K327,DPD_From,1))</f>
        <v/>
      </c>
      <c r="R327" s="41">
        <f>INDEX(DPD_Class,MATCH(K327,DPD_From,1))</f>
        <v/>
      </c>
      <c r="S327" s="41">
        <f>INDEX(DPD_NPA,MATCH(K327,DPD_From,1))</f>
        <v/>
      </c>
      <c r="T327" s="42">
        <f>INDEX(DPD_Prov,MATCH(K327,DPD_From,1))</f>
        <v/>
      </c>
      <c r="U327" s="40">
        <f>ROUND(O327*T327,0)</f>
        <v/>
      </c>
      <c r="V327" s="41">
        <f>INDEX(CIBIL_Grade,MATCH(J327,CIBIL_From,1))</f>
        <v/>
      </c>
      <c r="W327" s="41">
        <f>YEAR(F327)&amp;"-Q"&amp;ROUNDUP(MONTH(F327)/3,0)</f>
        <v/>
      </c>
      <c r="X327" s="41">
        <f>IF(AND(OR(Dashboard!$C$4="All",D327=Dashboard!$C$4),OR(Dashboard!$C$5="All",E327=Dashboard!$C$5)),1,0)</f>
        <v/>
      </c>
      <c r="Y327" s="43">
        <f>IF(AND(X327=1,S327="Yes"),O327+ROW()/1000000,0)</f>
        <v/>
      </c>
    </row>
    <row r="328">
      <c r="A328" s="35" t="inlineStr">
        <is>
          <t>LN100327</t>
        </is>
      </c>
      <c r="B328" s="35" t="inlineStr">
        <is>
          <t>Ishaan Reddy</t>
        </is>
      </c>
      <c r="C328" s="35" t="inlineStr">
        <is>
          <t>BLR-01</t>
        </is>
      </c>
      <c r="D328" s="36">
        <f>INDEX(Branches!$C$2:$C$15,MATCH(C328,Branches!$A$2:$A$15,0))</f>
        <v/>
      </c>
      <c r="E328" s="35" t="inlineStr">
        <is>
          <t>Home Loan</t>
        </is>
      </c>
      <c r="F328" s="37" t="n">
        <v>45819</v>
      </c>
      <c r="G328" s="38" t="n">
        <v>7504000</v>
      </c>
      <c r="H328" s="39" t="n">
        <v>0.0978</v>
      </c>
      <c r="I328" s="35" t="n">
        <v>180</v>
      </c>
      <c r="J328" s="35" t="n">
        <v>766</v>
      </c>
      <c r="K328" s="35" t="n">
        <v>0</v>
      </c>
      <c r="L328" s="40">
        <f>ROUND(PMT(H328/12,I328,-G328),0)</f>
        <v/>
      </c>
      <c r="M328" s="41">
        <f>MAX(0,(YEAR(AsOfDate)-YEAR(F328))*12+MONTH(AsOfDate)-MONTH(F328))</f>
        <v/>
      </c>
      <c r="N328" s="41">
        <f>MAX(0,MIN(I328,M328)-INT(K328/30))</f>
        <v/>
      </c>
      <c r="O328" s="40">
        <f>IF(N328&gt;=I328,0,ROUND(PV(H328/12,I328-N328,-L328),0))</f>
        <v/>
      </c>
      <c r="P328" s="40">
        <f>MIN(I328,M328)*L328-N328*L328</f>
        <v/>
      </c>
      <c r="Q328" s="41">
        <f>INDEX(DPD_Bucket,MATCH(K328,DPD_From,1))</f>
        <v/>
      </c>
      <c r="R328" s="41">
        <f>INDEX(DPD_Class,MATCH(K328,DPD_From,1))</f>
        <v/>
      </c>
      <c r="S328" s="41">
        <f>INDEX(DPD_NPA,MATCH(K328,DPD_From,1))</f>
        <v/>
      </c>
      <c r="T328" s="42">
        <f>INDEX(DPD_Prov,MATCH(K328,DPD_From,1))</f>
        <v/>
      </c>
      <c r="U328" s="40">
        <f>ROUND(O328*T328,0)</f>
        <v/>
      </c>
      <c r="V328" s="41">
        <f>INDEX(CIBIL_Grade,MATCH(J328,CIBIL_From,1))</f>
        <v/>
      </c>
      <c r="W328" s="41">
        <f>YEAR(F328)&amp;"-Q"&amp;ROUNDUP(MONTH(F328)/3,0)</f>
        <v/>
      </c>
      <c r="X328" s="41">
        <f>IF(AND(OR(Dashboard!$C$4="All",D328=Dashboard!$C$4),OR(Dashboard!$C$5="All",E328=Dashboard!$C$5)),1,0)</f>
        <v/>
      </c>
      <c r="Y328" s="43">
        <f>IF(AND(X328=1,S328="Yes"),O328+ROW()/1000000,0)</f>
        <v/>
      </c>
    </row>
    <row r="329">
      <c r="A329" s="35" t="inlineStr">
        <is>
          <t>LN100328</t>
        </is>
      </c>
      <c r="B329" s="35" t="inlineStr">
        <is>
          <t>Zoya Iyer</t>
        </is>
      </c>
      <c r="C329" s="35" t="inlineStr">
        <is>
          <t>CHN-01</t>
        </is>
      </c>
      <c r="D329" s="36">
        <f>INDEX(Branches!$C$2:$C$15,MATCH(C329,Branches!$A$2:$A$15,0))</f>
        <v/>
      </c>
      <c r="E329" s="35" t="inlineStr">
        <is>
          <t>Personal Loan</t>
        </is>
      </c>
      <c r="F329" s="37" t="n">
        <v>45645</v>
      </c>
      <c r="G329" s="38" t="n">
        <v>643000</v>
      </c>
      <c r="H329" s="39" t="n">
        <v>0.1348</v>
      </c>
      <c r="I329" s="35" t="n">
        <v>24</v>
      </c>
      <c r="J329" s="35" t="n">
        <v>724</v>
      </c>
      <c r="K329" s="35" t="n">
        <v>0</v>
      </c>
      <c r="L329" s="40">
        <f>ROUND(PMT(H329/12,I329,-G329),0)</f>
        <v/>
      </c>
      <c r="M329" s="41">
        <f>MAX(0,(YEAR(AsOfDate)-YEAR(F329))*12+MONTH(AsOfDate)-MONTH(F329))</f>
        <v/>
      </c>
      <c r="N329" s="41">
        <f>MAX(0,MIN(I329,M329)-INT(K329/30))</f>
        <v/>
      </c>
      <c r="O329" s="40">
        <f>IF(N329&gt;=I329,0,ROUND(PV(H329/12,I329-N329,-L329),0))</f>
        <v/>
      </c>
      <c r="P329" s="40">
        <f>MIN(I329,M329)*L329-N329*L329</f>
        <v/>
      </c>
      <c r="Q329" s="41">
        <f>INDEX(DPD_Bucket,MATCH(K329,DPD_From,1))</f>
        <v/>
      </c>
      <c r="R329" s="41">
        <f>INDEX(DPD_Class,MATCH(K329,DPD_From,1))</f>
        <v/>
      </c>
      <c r="S329" s="41">
        <f>INDEX(DPD_NPA,MATCH(K329,DPD_From,1))</f>
        <v/>
      </c>
      <c r="T329" s="42">
        <f>INDEX(DPD_Prov,MATCH(K329,DPD_From,1))</f>
        <v/>
      </c>
      <c r="U329" s="40">
        <f>ROUND(O329*T329,0)</f>
        <v/>
      </c>
      <c r="V329" s="41">
        <f>INDEX(CIBIL_Grade,MATCH(J329,CIBIL_From,1))</f>
        <v/>
      </c>
      <c r="W329" s="41">
        <f>YEAR(F329)&amp;"-Q"&amp;ROUNDUP(MONTH(F329)/3,0)</f>
        <v/>
      </c>
      <c r="X329" s="41">
        <f>IF(AND(OR(Dashboard!$C$4="All",D329=Dashboard!$C$4),OR(Dashboard!$C$5="All",E329=Dashboard!$C$5)),1,0)</f>
        <v/>
      </c>
      <c r="Y329" s="43">
        <f>IF(AND(X329=1,S329="Yes"),O329+ROW()/1000000,0)</f>
        <v/>
      </c>
    </row>
    <row r="330">
      <c r="A330" s="35" t="inlineStr">
        <is>
          <t>LN100329</t>
        </is>
      </c>
      <c r="B330" s="35" t="inlineStr">
        <is>
          <t>Suresh Mishra</t>
        </is>
      </c>
      <c r="C330" s="35" t="inlineStr">
        <is>
          <t>LKO-01</t>
        </is>
      </c>
      <c r="D330" s="36">
        <f>INDEX(Branches!$C$2:$C$15,MATCH(C330,Branches!$A$2:$A$15,0))</f>
        <v/>
      </c>
      <c r="E330" s="35" t="inlineStr">
        <is>
          <t>Auto Loan</t>
        </is>
      </c>
      <c r="F330" s="37" t="n">
        <v>45109</v>
      </c>
      <c r="G330" s="38" t="n">
        <v>1651000</v>
      </c>
      <c r="H330" s="39" t="n">
        <v>0.0925</v>
      </c>
      <c r="I330" s="35" t="n">
        <v>60</v>
      </c>
      <c r="J330" s="35" t="n">
        <v>627</v>
      </c>
      <c r="K330" s="35" t="n">
        <v>0</v>
      </c>
      <c r="L330" s="40">
        <f>ROUND(PMT(H330/12,I330,-G330),0)</f>
        <v/>
      </c>
      <c r="M330" s="41">
        <f>MAX(0,(YEAR(AsOfDate)-YEAR(F330))*12+MONTH(AsOfDate)-MONTH(F330))</f>
        <v/>
      </c>
      <c r="N330" s="41">
        <f>MAX(0,MIN(I330,M330)-INT(K330/30))</f>
        <v/>
      </c>
      <c r="O330" s="40">
        <f>IF(N330&gt;=I330,0,ROUND(PV(H330/12,I330-N330,-L330),0))</f>
        <v/>
      </c>
      <c r="P330" s="40">
        <f>MIN(I330,M330)*L330-N330*L330</f>
        <v/>
      </c>
      <c r="Q330" s="41">
        <f>INDEX(DPD_Bucket,MATCH(K330,DPD_From,1))</f>
        <v/>
      </c>
      <c r="R330" s="41">
        <f>INDEX(DPD_Class,MATCH(K330,DPD_From,1))</f>
        <v/>
      </c>
      <c r="S330" s="41">
        <f>INDEX(DPD_NPA,MATCH(K330,DPD_From,1))</f>
        <v/>
      </c>
      <c r="T330" s="42">
        <f>INDEX(DPD_Prov,MATCH(K330,DPD_From,1))</f>
        <v/>
      </c>
      <c r="U330" s="40">
        <f>ROUND(O330*T330,0)</f>
        <v/>
      </c>
      <c r="V330" s="41">
        <f>INDEX(CIBIL_Grade,MATCH(J330,CIBIL_From,1))</f>
        <v/>
      </c>
      <c r="W330" s="41">
        <f>YEAR(F330)&amp;"-Q"&amp;ROUNDUP(MONTH(F330)/3,0)</f>
        <v/>
      </c>
      <c r="X330" s="41">
        <f>IF(AND(OR(Dashboard!$C$4="All",D330=Dashboard!$C$4),OR(Dashboard!$C$5="All",E330=Dashboard!$C$5)),1,0)</f>
        <v/>
      </c>
      <c r="Y330" s="43">
        <f>IF(AND(X330=1,S330="Yes"),O330+ROW()/1000000,0)</f>
        <v/>
      </c>
    </row>
    <row r="331">
      <c r="A331" s="35" t="inlineStr">
        <is>
          <t>LN100330</t>
        </is>
      </c>
      <c r="B331" s="35" t="inlineStr">
        <is>
          <t>Karthik Nair</t>
        </is>
      </c>
      <c r="C331" s="35" t="inlineStr">
        <is>
          <t>PAT-01</t>
        </is>
      </c>
      <c r="D331" s="36">
        <f>INDEX(Branches!$C$2:$C$15,MATCH(C331,Branches!$A$2:$A$15,0))</f>
        <v/>
      </c>
      <c r="E331" s="35" t="inlineStr">
        <is>
          <t>Home Loan</t>
        </is>
      </c>
      <c r="F331" s="37" t="n">
        <v>45968</v>
      </c>
      <c r="G331" s="38" t="n">
        <v>5719000</v>
      </c>
      <c r="H331" s="39" t="n">
        <v>0.0915</v>
      </c>
      <c r="I331" s="35" t="n">
        <v>240</v>
      </c>
      <c r="J331" s="35" t="n">
        <v>764</v>
      </c>
      <c r="K331" s="35" t="n">
        <v>0</v>
      </c>
      <c r="L331" s="40">
        <f>ROUND(PMT(H331/12,I331,-G331),0)</f>
        <v/>
      </c>
      <c r="M331" s="41">
        <f>MAX(0,(YEAR(AsOfDate)-YEAR(F331))*12+MONTH(AsOfDate)-MONTH(F331))</f>
        <v/>
      </c>
      <c r="N331" s="41">
        <f>MAX(0,MIN(I331,M331)-INT(K331/30))</f>
        <v/>
      </c>
      <c r="O331" s="40">
        <f>IF(N331&gt;=I331,0,ROUND(PV(H331/12,I331-N331,-L331),0))</f>
        <v/>
      </c>
      <c r="P331" s="40">
        <f>MIN(I331,M331)*L331-N331*L331</f>
        <v/>
      </c>
      <c r="Q331" s="41">
        <f>INDEX(DPD_Bucket,MATCH(K331,DPD_From,1))</f>
        <v/>
      </c>
      <c r="R331" s="41">
        <f>INDEX(DPD_Class,MATCH(K331,DPD_From,1))</f>
        <v/>
      </c>
      <c r="S331" s="41">
        <f>INDEX(DPD_NPA,MATCH(K331,DPD_From,1))</f>
        <v/>
      </c>
      <c r="T331" s="42">
        <f>INDEX(DPD_Prov,MATCH(K331,DPD_From,1))</f>
        <v/>
      </c>
      <c r="U331" s="40">
        <f>ROUND(O331*T331,0)</f>
        <v/>
      </c>
      <c r="V331" s="41">
        <f>INDEX(CIBIL_Grade,MATCH(J331,CIBIL_From,1))</f>
        <v/>
      </c>
      <c r="W331" s="41">
        <f>YEAR(F331)&amp;"-Q"&amp;ROUNDUP(MONTH(F331)/3,0)</f>
        <v/>
      </c>
      <c r="X331" s="41">
        <f>IF(AND(OR(Dashboard!$C$4="All",D331=Dashboard!$C$4),OR(Dashboard!$C$5="All",E331=Dashboard!$C$5)),1,0)</f>
        <v/>
      </c>
      <c r="Y331" s="43">
        <f>IF(AND(X331=1,S331="Yes"),O331+ROW()/1000000,0)</f>
        <v/>
      </c>
    </row>
    <row r="332">
      <c r="A332" s="35" t="inlineStr">
        <is>
          <t>LN100331</t>
        </is>
      </c>
      <c r="B332" s="35" t="inlineStr">
        <is>
          <t>Vivaan Patel</t>
        </is>
      </c>
      <c r="C332" s="35" t="inlineStr">
        <is>
          <t>MUM-01</t>
        </is>
      </c>
      <c r="D332" s="36">
        <f>INDEX(Branches!$C$2:$C$15,MATCH(C332,Branches!$A$2:$A$15,0))</f>
        <v/>
      </c>
      <c r="E332" s="35" t="inlineStr">
        <is>
          <t>Auto Loan</t>
        </is>
      </c>
      <c r="F332" s="37" t="n">
        <v>45633</v>
      </c>
      <c r="G332" s="38" t="n">
        <v>1045000</v>
      </c>
      <c r="H332" s="39" t="n">
        <v>0.1082</v>
      </c>
      <c r="I332" s="35" t="n">
        <v>84</v>
      </c>
      <c r="J332" s="35" t="n">
        <v>687</v>
      </c>
      <c r="K332" s="35" t="n">
        <v>0</v>
      </c>
      <c r="L332" s="40">
        <f>ROUND(PMT(H332/12,I332,-G332),0)</f>
        <v/>
      </c>
      <c r="M332" s="41">
        <f>MAX(0,(YEAR(AsOfDate)-YEAR(F332))*12+MONTH(AsOfDate)-MONTH(F332))</f>
        <v/>
      </c>
      <c r="N332" s="41">
        <f>MAX(0,MIN(I332,M332)-INT(K332/30))</f>
        <v/>
      </c>
      <c r="O332" s="40">
        <f>IF(N332&gt;=I332,0,ROUND(PV(H332/12,I332-N332,-L332),0))</f>
        <v/>
      </c>
      <c r="P332" s="40">
        <f>MIN(I332,M332)*L332-N332*L332</f>
        <v/>
      </c>
      <c r="Q332" s="41">
        <f>INDEX(DPD_Bucket,MATCH(K332,DPD_From,1))</f>
        <v/>
      </c>
      <c r="R332" s="41">
        <f>INDEX(DPD_Class,MATCH(K332,DPD_From,1))</f>
        <v/>
      </c>
      <c r="S332" s="41">
        <f>INDEX(DPD_NPA,MATCH(K332,DPD_From,1))</f>
        <v/>
      </c>
      <c r="T332" s="42">
        <f>INDEX(DPD_Prov,MATCH(K332,DPD_From,1))</f>
        <v/>
      </c>
      <c r="U332" s="40">
        <f>ROUND(O332*T332,0)</f>
        <v/>
      </c>
      <c r="V332" s="41">
        <f>INDEX(CIBIL_Grade,MATCH(J332,CIBIL_From,1))</f>
        <v/>
      </c>
      <c r="W332" s="41">
        <f>YEAR(F332)&amp;"-Q"&amp;ROUNDUP(MONTH(F332)/3,0)</f>
        <v/>
      </c>
      <c r="X332" s="41">
        <f>IF(AND(OR(Dashboard!$C$4="All",D332=Dashboard!$C$4),OR(Dashboard!$C$5="All",E332=Dashboard!$C$5)),1,0)</f>
        <v/>
      </c>
      <c r="Y332" s="43">
        <f>IF(AND(X332=1,S332="Yes"),O332+ROW()/1000000,0)</f>
        <v/>
      </c>
    </row>
    <row r="333">
      <c r="A333" s="35" t="inlineStr">
        <is>
          <t>LN100332</t>
        </is>
      </c>
      <c r="B333" s="35" t="inlineStr">
        <is>
          <t>Swati Rao</t>
        </is>
      </c>
      <c r="C333" s="35" t="inlineStr">
        <is>
          <t>BBS-01</t>
        </is>
      </c>
      <c r="D333" s="36">
        <f>INDEX(Branches!$C$2:$C$15,MATCH(C333,Branches!$A$2:$A$15,0))</f>
        <v/>
      </c>
      <c r="E333" s="35" t="inlineStr">
        <is>
          <t>Personal Loan</t>
        </is>
      </c>
      <c r="F333" s="37" t="n">
        <v>46094</v>
      </c>
      <c r="G333" s="38" t="n">
        <v>433000</v>
      </c>
      <c r="H333" s="39" t="n">
        <v>0.1609</v>
      </c>
      <c r="I333" s="35" t="n">
        <v>48</v>
      </c>
      <c r="J333" s="35" t="n">
        <v>777</v>
      </c>
      <c r="K333" s="35" t="n">
        <v>0</v>
      </c>
      <c r="L333" s="40">
        <f>ROUND(PMT(H333/12,I333,-G333),0)</f>
        <v/>
      </c>
      <c r="M333" s="41">
        <f>MAX(0,(YEAR(AsOfDate)-YEAR(F333))*12+MONTH(AsOfDate)-MONTH(F333))</f>
        <v/>
      </c>
      <c r="N333" s="41">
        <f>MAX(0,MIN(I333,M333)-INT(K333/30))</f>
        <v/>
      </c>
      <c r="O333" s="40">
        <f>IF(N333&gt;=I333,0,ROUND(PV(H333/12,I333-N333,-L333),0))</f>
        <v/>
      </c>
      <c r="P333" s="40">
        <f>MIN(I333,M333)*L333-N333*L333</f>
        <v/>
      </c>
      <c r="Q333" s="41">
        <f>INDEX(DPD_Bucket,MATCH(K333,DPD_From,1))</f>
        <v/>
      </c>
      <c r="R333" s="41">
        <f>INDEX(DPD_Class,MATCH(K333,DPD_From,1))</f>
        <v/>
      </c>
      <c r="S333" s="41">
        <f>INDEX(DPD_NPA,MATCH(K333,DPD_From,1))</f>
        <v/>
      </c>
      <c r="T333" s="42">
        <f>INDEX(DPD_Prov,MATCH(K333,DPD_From,1))</f>
        <v/>
      </c>
      <c r="U333" s="40">
        <f>ROUND(O333*T333,0)</f>
        <v/>
      </c>
      <c r="V333" s="41">
        <f>INDEX(CIBIL_Grade,MATCH(J333,CIBIL_From,1))</f>
        <v/>
      </c>
      <c r="W333" s="41">
        <f>YEAR(F333)&amp;"-Q"&amp;ROUNDUP(MONTH(F333)/3,0)</f>
        <v/>
      </c>
      <c r="X333" s="41">
        <f>IF(AND(OR(Dashboard!$C$4="All",D333=Dashboard!$C$4),OR(Dashboard!$C$5="All",E333=Dashboard!$C$5)),1,0)</f>
        <v/>
      </c>
      <c r="Y333" s="43">
        <f>IF(AND(X333=1,S333="Yes"),O333+ROW()/1000000,0)</f>
        <v/>
      </c>
    </row>
    <row r="334">
      <c r="A334" s="35" t="inlineStr">
        <is>
          <t>LN100333</t>
        </is>
      </c>
      <c r="B334" s="35" t="inlineStr">
        <is>
          <t>Tanvi Pillai</t>
        </is>
      </c>
      <c r="C334" s="35" t="inlineStr">
        <is>
          <t>GUW-01</t>
        </is>
      </c>
      <c r="D334" s="36">
        <f>INDEX(Branches!$C$2:$C$15,MATCH(C334,Branches!$A$2:$A$15,0))</f>
        <v/>
      </c>
      <c r="E334" s="35" t="inlineStr">
        <is>
          <t>Gold Loan</t>
        </is>
      </c>
      <c r="F334" s="37" t="n">
        <v>46132</v>
      </c>
      <c r="G334" s="38" t="n">
        <v>363000</v>
      </c>
      <c r="H334" s="39" t="n">
        <v>0.0929</v>
      </c>
      <c r="I334" s="35" t="n">
        <v>12</v>
      </c>
      <c r="J334" s="35" t="n">
        <v>683</v>
      </c>
      <c r="K334" s="35" t="n">
        <v>0</v>
      </c>
      <c r="L334" s="40">
        <f>ROUND(PMT(H334/12,I334,-G334),0)</f>
        <v/>
      </c>
      <c r="M334" s="41">
        <f>MAX(0,(YEAR(AsOfDate)-YEAR(F334))*12+MONTH(AsOfDate)-MONTH(F334))</f>
        <v/>
      </c>
      <c r="N334" s="41">
        <f>MAX(0,MIN(I334,M334)-INT(K334/30))</f>
        <v/>
      </c>
      <c r="O334" s="40">
        <f>IF(N334&gt;=I334,0,ROUND(PV(H334/12,I334-N334,-L334),0))</f>
        <v/>
      </c>
      <c r="P334" s="40">
        <f>MIN(I334,M334)*L334-N334*L334</f>
        <v/>
      </c>
      <c r="Q334" s="41">
        <f>INDEX(DPD_Bucket,MATCH(K334,DPD_From,1))</f>
        <v/>
      </c>
      <c r="R334" s="41">
        <f>INDEX(DPD_Class,MATCH(K334,DPD_From,1))</f>
        <v/>
      </c>
      <c r="S334" s="41">
        <f>INDEX(DPD_NPA,MATCH(K334,DPD_From,1))</f>
        <v/>
      </c>
      <c r="T334" s="42">
        <f>INDEX(DPD_Prov,MATCH(K334,DPD_From,1))</f>
        <v/>
      </c>
      <c r="U334" s="40">
        <f>ROUND(O334*T334,0)</f>
        <v/>
      </c>
      <c r="V334" s="41">
        <f>INDEX(CIBIL_Grade,MATCH(J334,CIBIL_From,1))</f>
        <v/>
      </c>
      <c r="W334" s="41">
        <f>YEAR(F334)&amp;"-Q"&amp;ROUNDUP(MONTH(F334)/3,0)</f>
        <v/>
      </c>
      <c r="X334" s="41">
        <f>IF(AND(OR(Dashboard!$C$4="All",D334=Dashboard!$C$4),OR(Dashboard!$C$5="All",E334=Dashboard!$C$5)),1,0)</f>
        <v/>
      </c>
      <c r="Y334" s="43">
        <f>IF(AND(X334=1,S334="Yes"),O334+ROW()/1000000,0)</f>
        <v/>
      </c>
    </row>
    <row r="335">
      <c r="A335" s="35" t="inlineStr">
        <is>
          <t>LN100334</t>
        </is>
      </c>
      <c r="B335" s="35" t="inlineStr">
        <is>
          <t>Riya Rao</t>
        </is>
      </c>
      <c r="C335" s="35" t="inlineStr">
        <is>
          <t>MUM-01</t>
        </is>
      </c>
      <c r="D335" s="36">
        <f>INDEX(Branches!$C$2:$C$15,MATCH(C335,Branches!$A$2:$A$15,0))</f>
        <v/>
      </c>
      <c r="E335" s="35" t="inlineStr">
        <is>
          <t>Business Loan</t>
        </is>
      </c>
      <c r="F335" s="37" t="n">
        <v>45558</v>
      </c>
      <c r="G335" s="38" t="n">
        <v>3780000</v>
      </c>
      <c r="H335" s="39" t="n">
        <v>0.1723</v>
      </c>
      <c r="I335" s="35" t="n">
        <v>24</v>
      </c>
      <c r="J335" s="35" t="n">
        <v>818</v>
      </c>
      <c r="K335" s="35" t="n">
        <v>0</v>
      </c>
      <c r="L335" s="40">
        <f>ROUND(PMT(H335/12,I335,-G335),0)</f>
        <v/>
      </c>
      <c r="M335" s="41">
        <f>MAX(0,(YEAR(AsOfDate)-YEAR(F335))*12+MONTH(AsOfDate)-MONTH(F335))</f>
        <v/>
      </c>
      <c r="N335" s="41">
        <f>MAX(0,MIN(I335,M335)-INT(K335/30))</f>
        <v/>
      </c>
      <c r="O335" s="40">
        <f>IF(N335&gt;=I335,0,ROUND(PV(H335/12,I335-N335,-L335),0))</f>
        <v/>
      </c>
      <c r="P335" s="40">
        <f>MIN(I335,M335)*L335-N335*L335</f>
        <v/>
      </c>
      <c r="Q335" s="41">
        <f>INDEX(DPD_Bucket,MATCH(K335,DPD_From,1))</f>
        <v/>
      </c>
      <c r="R335" s="41">
        <f>INDEX(DPD_Class,MATCH(K335,DPD_From,1))</f>
        <v/>
      </c>
      <c r="S335" s="41">
        <f>INDEX(DPD_NPA,MATCH(K335,DPD_From,1))</f>
        <v/>
      </c>
      <c r="T335" s="42">
        <f>INDEX(DPD_Prov,MATCH(K335,DPD_From,1))</f>
        <v/>
      </c>
      <c r="U335" s="40">
        <f>ROUND(O335*T335,0)</f>
        <v/>
      </c>
      <c r="V335" s="41">
        <f>INDEX(CIBIL_Grade,MATCH(J335,CIBIL_From,1))</f>
        <v/>
      </c>
      <c r="W335" s="41">
        <f>YEAR(F335)&amp;"-Q"&amp;ROUNDUP(MONTH(F335)/3,0)</f>
        <v/>
      </c>
      <c r="X335" s="41">
        <f>IF(AND(OR(Dashboard!$C$4="All",D335=Dashboard!$C$4),OR(Dashboard!$C$5="All",E335=Dashboard!$C$5)),1,0)</f>
        <v/>
      </c>
      <c r="Y335" s="43">
        <f>IF(AND(X335=1,S335="Yes"),O335+ROW()/1000000,0)</f>
        <v/>
      </c>
    </row>
    <row r="336">
      <c r="A336" s="35" t="inlineStr">
        <is>
          <t>LN100335</t>
        </is>
      </c>
      <c r="B336" s="35" t="inlineStr">
        <is>
          <t>Rahul Menon</t>
        </is>
      </c>
      <c r="C336" s="35" t="inlineStr">
        <is>
          <t>GUW-01</t>
        </is>
      </c>
      <c r="D336" s="36">
        <f>INDEX(Branches!$C$2:$C$15,MATCH(C336,Branches!$A$2:$A$15,0))</f>
        <v/>
      </c>
      <c r="E336" s="35" t="inlineStr">
        <is>
          <t>Home Loan</t>
        </is>
      </c>
      <c r="F336" s="37" t="n">
        <v>45741</v>
      </c>
      <c r="G336" s="38" t="n">
        <v>2731000</v>
      </c>
      <c r="H336" s="39" t="n">
        <v>0.0951</v>
      </c>
      <c r="I336" s="35" t="n">
        <v>180</v>
      </c>
      <c r="J336" s="35" t="n">
        <v>783</v>
      </c>
      <c r="K336" s="35" t="n">
        <v>0</v>
      </c>
      <c r="L336" s="40">
        <f>ROUND(PMT(H336/12,I336,-G336),0)</f>
        <v/>
      </c>
      <c r="M336" s="41">
        <f>MAX(0,(YEAR(AsOfDate)-YEAR(F336))*12+MONTH(AsOfDate)-MONTH(F336))</f>
        <v/>
      </c>
      <c r="N336" s="41">
        <f>MAX(0,MIN(I336,M336)-INT(K336/30))</f>
        <v/>
      </c>
      <c r="O336" s="40">
        <f>IF(N336&gt;=I336,0,ROUND(PV(H336/12,I336-N336,-L336),0))</f>
        <v/>
      </c>
      <c r="P336" s="40">
        <f>MIN(I336,M336)*L336-N336*L336</f>
        <v/>
      </c>
      <c r="Q336" s="41">
        <f>INDEX(DPD_Bucket,MATCH(K336,DPD_From,1))</f>
        <v/>
      </c>
      <c r="R336" s="41">
        <f>INDEX(DPD_Class,MATCH(K336,DPD_From,1))</f>
        <v/>
      </c>
      <c r="S336" s="41">
        <f>INDEX(DPD_NPA,MATCH(K336,DPD_From,1))</f>
        <v/>
      </c>
      <c r="T336" s="42">
        <f>INDEX(DPD_Prov,MATCH(K336,DPD_From,1))</f>
        <v/>
      </c>
      <c r="U336" s="40">
        <f>ROUND(O336*T336,0)</f>
        <v/>
      </c>
      <c r="V336" s="41">
        <f>INDEX(CIBIL_Grade,MATCH(J336,CIBIL_From,1))</f>
        <v/>
      </c>
      <c r="W336" s="41">
        <f>YEAR(F336)&amp;"-Q"&amp;ROUNDUP(MONTH(F336)/3,0)</f>
        <v/>
      </c>
      <c r="X336" s="41">
        <f>IF(AND(OR(Dashboard!$C$4="All",D336=Dashboard!$C$4),OR(Dashboard!$C$5="All",E336=Dashboard!$C$5)),1,0)</f>
        <v/>
      </c>
      <c r="Y336" s="43">
        <f>IF(AND(X336=1,S336="Yes"),O336+ROW()/1000000,0)</f>
        <v/>
      </c>
    </row>
    <row r="337">
      <c r="A337" s="35" t="inlineStr">
        <is>
          <t>LN100336</t>
        </is>
      </c>
      <c r="B337" s="35" t="inlineStr">
        <is>
          <t>Manish Chatterjee</t>
        </is>
      </c>
      <c r="C337" s="35" t="inlineStr">
        <is>
          <t>JAI-01</t>
        </is>
      </c>
      <c r="D337" s="36">
        <f>INDEX(Branches!$C$2:$C$15,MATCH(C337,Branches!$A$2:$A$15,0))</f>
        <v/>
      </c>
      <c r="E337" s="35" t="inlineStr">
        <is>
          <t>Home Loan</t>
        </is>
      </c>
      <c r="F337" s="37" t="n">
        <v>45136</v>
      </c>
      <c r="G337" s="38" t="n">
        <v>2376000</v>
      </c>
      <c r="H337" s="39" t="n">
        <v>0.0867</v>
      </c>
      <c r="I337" s="35" t="n">
        <v>240</v>
      </c>
      <c r="J337" s="35" t="n">
        <v>705</v>
      </c>
      <c r="K337" s="35" t="n">
        <v>0</v>
      </c>
      <c r="L337" s="40">
        <f>ROUND(PMT(H337/12,I337,-G337),0)</f>
        <v/>
      </c>
      <c r="M337" s="41">
        <f>MAX(0,(YEAR(AsOfDate)-YEAR(F337))*12+MONTH(AsOfDate)-MONTH(F337))</f>
        <v/>
      </c>
      <c r="N337" s="41">
        <f>MAX(0,MIN(I337,M337)-INT(K337/30))</f>
        <v/>
      </c>
      <c r="O337" s="40">
        <f>IF(N337&gt;=I337,0,ROUND(PV(H337/12,I337-N337,-L337),0))</f>
        <v/>
      </c>
      <c r="P337" s="40">
        <f>MIN(I337,M337)*L337-N337*L337</f>
        <v/>
      </c>
      <c r="Q337" s="41">
        <f>INDEX(DPD_Bucket,MATCH(K337,DPD_From,1))</f>
        <v/>
      </c>
      <c r="R337" s="41">
        <f>INDEX(DPD_Class,MATCH(K337,DPD_From,1))</f>
        <v/>
      </c>
      <c r="S337" s="41">
        <f>INDEX(DPD_NPA,MATCH(K337,DPD_From,1))</f>
        <v/>
      </c>
      <c r="T337" s="42">
        <f>INDEX(DPD_Prov,MATCH(K337,DPD_From,1))</f>
        <v/>
      </c>
      <c r="U337" s="40">
        <f>ROUND(O337*T337,0)</f>
        <v/>
      </c>
      <c r="V337" s="41">
        <f>INDEX(CIBIL_Grade,MATCH(J337,CIBIL_From,1))</f>
        <v/>
      </c>
      <c r="W337" s="41">
        <f>YEAR(F337)&amp;"-Q"&amp;ROUNDUP(MONTH(F337)/3,0)</f>
        <v/>
      </c>
      <c r="X337" s="41">
        <f>IF(AND(OR(Dashboard!$C$4="All",D337=Dashboard!$C$4),OR(Dashboard!$C$5="All",E337=Dashboard!$C$5)),1,0)</f>
        <v/>
      </c>
      <c r="Y337" s="43">
        <f>IF(AND(X337=1,S337="Yes"),O337+ROW()/1000000,0)</f>
        <v/>
      </c>
    </row>
    <row r="338">
      <c r="A338" s="35" t="inlineStr">
        <is>
          <t>LN100337</t>
        </is>
      </c>
      <c r="B338" s="35" t="inlineStr">
        <is>
          <t>Ishaan Gupta</t>
        </is>
      </c>
      <c r="C338" s="35" t="inlineStr">
        <is>
          <t>PUN-01</t>
        </is>
      </c>
      <c r="D338" s="36">
        <f>INDEX(Branches!$C$2:$C$15,MATCH(C338,Branches!$A$2:$A$15,0))</f>
        <v/>
      </c>
      <c r="E338" s="35" t="inlineStr">
        <is>
          <t>Business Loan</t>
        </is>
      </c>
      <c r="F338" s="37" t="n">
        <v>45663</v>
      </c>
      <c r="G338" s="38" t="n">
        <v>4206000</v>
      </c>
      <c r="H338" s="39" t="n">
        <v>0.1654</v>
      </c>
      <c r="I338" s="35" t="n">
        <v>12</v>
      </c>
      <c r="J338" s="35" t="n">
        <v>752</v>
      </c>
      <c r="K338" s="35" t="n">
        <v>0</v>
      </c>
      <c r="L338" s="40">
        <f>ROUND(PMT(H338/12,I338,-G338),0)</f>
        <v/>
      </c>
      <c r="M338" s="41">
        <f>MAX(0,(YEAR(AsOfDate)-YEAR(F338))*12+MONTH(AsOfDate)-MONTH(F338))</f>
        <v/>
      </c>
      <c r="N338" s="41">
        <f>MAX(0,MIN(I338,M338)-INT(K338/30))</f>
        <v/>
      </c>
      <c r="O338" s="40">
        <f>IF(N338&gt;=I338,0,ROUND(PV(H338/12,I338-N338,-L338),0))</f>
        <v/>
      </c>
      <c r="P338" s="40">
        <f>MIN(I338,M338)*L338-N338*L338</f>
        <v/>
      </c>
      <c r="Q338" s="41">
        <f>INDEX(DPD_Bucket,MATCH(K338,DPD_From,1))</f>
        <v/>
      </c>
      <c r="R338" s="41">
        <f>INDEX(DPD_Class,MATCH(K338,DPD_From,1))</f>
        <v/>
      </c>
      <c r="S338" s="41">
        <f>INDEX(DPD_NPA,MATCH(K338,DPD_From,1))</f>
        <v/>
      </c>
      <c r="T338" s="42">
        <f>INDEX(DPD_Prov,MATCH(K338,DPD_From,1))</f>
        <v/>
      </c>
      <c r="U338" s="40">
        <f>ROUND(O338*T338,0)</f>
        <v/>
      </c>
      <c r="V338" s="41">
        <f>INDEX(CIBIL_Grade,MATCH(J338,CIBIL_From,1))</f>
        <v/>
      </c>
      <c r="W338" s="41">
        <f>YEAR(F338)&amp;"-Q"&amp;ROUNDUP(MONTH(F338)/3,0)</f>
        <v/>
      </c>
      <c r="X338" s="41">
        <f>IF(AND(OR(Dashboard!$C$4="All",D338=Dashboard!$C$4),OR(Dashboard!$C$5="All",E338=Dashboard!$C$5)),1,0)</f>
        <v/>
      </c>
      <c r="Y338" s="43">
        <f>IF(AND(X338=1,S338="Yes"),O338+ROW()/1000000,0)</f>
        <v/>
      </c>
    </row>
    <row r="339">
      <c r="A339" s="35" t="inlineStr">
        <is>
          <t>LN100338</t>
        </is>
      </c>
      <c r="B339" s="35" t="inlineStr">
        <is>
          <t>Pooja Sahoo</t>
        </is>
      </c>
      <c r="C339" s="35" t="inlineStr">
        <is>
          <t>DEL-01</t>
        </is>
      </c>
      <c r="D339" s="36">
        <f>INDEX(Branches!$C$2:$C$15,MATCH(C339,Branches!$A$2:$A$15,0))</f>
        <v/>
      </c>
      <c r="E339" s="35" t="inlineStr">
        <is>
          <t>Personal Loan</t>
        </is>
      </c>
      <c r="F339" s="37" t="n">
        <v>46111</v>
      </c>
      <c r="G339" s="38" t="n">
        <v>349000</v>
      </c>
      <c r="H339" s="39" t="n">
        <v>0.1703</v>
      </c>
      <c r="I339" s="35" t="n">
        <v>12</v>
      </c>
      <c r="J339" s="35" t="n">
        <v>738</v>
      </c>
      <c r="K339" s="35" t="n">
        <v>0</v>
      </c>
      <c r="L339" s="40">
        <f>ROUND(PMT(H339/12,I339,-G339),0)</f>
        <v/>
      </c>
      <c r="M339" s="41">
        <f>MAX(0,(YEAR(AsOfDate)-YEAR(F339))*12+MONTH(AsOfDate)-MONTH(F339))</f>
        <v/>
      </c>
      <c r="N339" s="41">
        <f>MAX(0,MIN(I339,M339)-INT(K339/30))</f>
        <v/>
      </c>
      <c r="O339" s="40">
        <f>IF(N339&gt;=I339,0,ROUND(PV(H339/12,I339-N339,-L339),0))</f>
        <v/>
      </c>
      <c r="P339" s="40">
        <f>MIN(I339,M339)*L339-N339*L339</f>
        <v/>
      </c>
      <c r="Q339" s="41">
        <f>INDEX(DPD_Bucket,MATCH(K339,DPD_From,1))</f>
        <v/>
      </c>
      <c r="R339" s="41">
        <f>INDEX(DPD_Class,MATCH(K339,DPD_From,1))</f>
        <v/>
      </c>
      <c r="S339" s="41">
        <f>INDEX(DPD_NPA,MATCH(K339,DPD_From,1))</f>
        <v/>
      </c>
      <c r="T339" s="42">
        <f>INDEX(DPD_Prov,MATCH(K339,DPD_From,1))</f>
        <v/>
      </c>
      <c r="U339" s="40">
        <f>ROUND(O339*T339,0)</f>
        <v/>
      </c>
      <c r="V339" s="41">
        <f>INDEX(CIBIL_Grade,MATCH(J339,CIBIL_From,1))</f>
        <v/>
      </c>
      <c r="W339" s="41">
        <f>YEAR(F339)&amp;"-Q"&amp;ROUNDUP(MONTH(F339)/3,0)</f>
        <v/>
      </c>
      <c r="X339" s="41">
        <f>IF(AND(OR(Dashboard!$C$4="All",D339=Dashboard!$C$4),OR(Dashboard!$C$5="All",E339=Dashboard!$C$5)),1,0)</f>
        <v/>
      </c>
      <c r="Y339" s="43">
        <f>IF(AND(X339=1,S339="Yes"),O339+ROW()/1000000,0)</f>
        <v/>
      </c>
    </row>
    <row r="340">
      <c r="A340" s="35" t="inlineStr">
        <is>
          <t>LN100339</t>
        </is>
      </c>
      <c r="B340" s="35" t="inlineStr">
        <is>
          <t>Farhan Iyer</t>
        </is>
      </c>
      <c r="C340" s="35" t="inlineStr">
        <is>
          <t>MUM-01</t>
        </is>
      </c>
      <c r="D340" s="36">
        <f>INDEX(Branches!$C$2:$C$15,MATCH(C340,Branches!$A$2:$A$15,0))</f>
        <v/>
      </c>
      <c r="E340" s="35" t="inlineStr">
        <is>
          <t>Personal Loan</t>
        </is>
      </c>
      <c r="F340" s="37" t="n">
        <v>45468</v>
      </c>
      <c r="G340" s="38" t="n">
        <v>138000</v>
      </c>
      <c r="H340" s="39" t="n">
        <v>0.1087</v>
      </c>
      <c r="I340" s="35" t="n">
        <v>36</v>
      </c>
      <c r="J340" s="35" t="n">
        <v>795</v>
      </c>
      <c r="K340" s="35" t="n">
        <v>0</v>
      </c>
      <c r="L340" s="40">
        <f>ROUND(PMT(H340/12,I340,-G340),0)</f>
        <v/>
      </c>
      <c r="M340" s="41">
        <f>MAX(0,(YEAR(AsOfDate)-YEAR(F340))*12+MONTH(AsOfDate)-MONTH(F340))</f>
        <v/>
      </c>
      <c r="N340" s="41">
        <f>MAX(0,MIN(I340,M340)-INT(K340/30))</f>
        <v/>
      </c>
      <c r="O340" s="40">
        <f>IF(N340&gt;=I340,0,ROUND(PV(H340/12,I340-N340,-L340),0))</f>
        <v/>
      </c>
      <c r="P340" s="40">
        <f>MIN(I340,M340)*L340-N340*L340</f>
        <v/>
      </c>
      <c r="Q340" s="41">
        <f>INDEX(DPD_Bucket,MATCH(K340,DPD_From,1))</f>
        <v/>
      </c>
      <c r="R340" s="41">
        <f>INDEX(DPD_Class,MATCH(K340,DPD_From,1))</f>
        <v/>
      </c>
      <c r="S340" s="41">
        <f>INDEX(DPD_NPA,MATCH(K340,DPD_From,1))</f>
        <v/>
      </c>
      <c r="T340" s="42">
        <f>INDEX(DPD_Prov,MATCH(K340,DPD_From,1))</f>
        <v/>
      </c>
      <c r="U340" s="40">
        <f>ROUND(O340*T340,0)</f>
        <v/>
      </c>
      <c r="V340" s="41">
        <f>INDEX(CIBIL_Grade,MATCH(J340,CIBIL_From,1))</f>
        <v/>
      </c>
      <c r="W340" s="41">
        <f>YEAR(F340)&amp;"-Q"&amp;ROUNDUP(MONTH(F340)/3,0)</f>
        <v/>
      </c>
      <c r="X340" s="41">
        <f>IF(AND(OR(Dashboard!$C$4="All",D340=Dashboard!$C$4),OR(Dashboard!$C$5="All",E340=Dashboard!$C$5)),1,0)</f>
        <v/>
      </c>
      <c r="Y340" s="43">
        <f>IF(AND(X340=1,S340="Yes"),O340+ROW()/1000000,0)</f>
        <v/>
      </c>
    </row>
    <row r="341">
      <c r="A341" s="35" t="inlineStr">
        <is>
          <t>LN100340</t>
        </is>
      </c>
      <c r="B341" s="35" t="inlineStr">
        <is>
          <t>Deepa Das</t>
        </is>
      </c>
      <c r="C341" s="35" t="inlineStr">
        <is>
          <t>MUM-01</t>
        </is>
      </c>
      <c r="D341" s="36">
        <f>INDEX(Branches!$C$2:$C$15,MATCH(C341,Branches!$A$2:$A$15,0))</f>
        <v/>
      </c>
      <c r="E341" s="35" t="inlineStr">
        <is>
          <t>Business Loan</t>
        </is>
      </c>
      <c r="F341" s="37" t="n">
        <v>45720</v>
      </c>
      <c r="G341" s="38" t="n">
        <v>3432000</v>
      </c>
      <c r="H341" s="39" t="n">
        <v>0.1659</v>
      </c>
      <c r="I341" s="35" t="n">
        <v>24</v>
      </c>
      <c r="J341" s="35" t="n">
        <v>834</v>
      </c>
      <c r="K341" s="35" t="n">
        <v>0</v>
      </c>
      <c r="L341" s="40">
        <f>ROUND(PMT(H341/12,I341,-G341),0)</f>
        <v/>
      </c>
      <c r="M341" s="41">
        <f>MAX(0,(YEAR(AsOfDate)-YEAR(F341))*12+MONTH(AsOfDate)-MONTH(F341))</f>
        <v/>
      </c>
      <c r="N341" s="41">
        <f>MAX(0,MIN(I341,M341)-INT(K341/30))</f>
        <v/>
      </c>
      <c r="O341" s="40">
        <f>IF(N341&gt;=I341,0,ROUND(PV(H341/12,I341-N341,-L341),0))</f>
        <v/>
      </c>
      <c r="P341" s="40">
        <f>MIN(I341,M341)*L341-N341*L341</f>
        <v/>
      </c>
      <c r="Q341" s="41">
        <f>INDEX(DPD_Bucket,MATCH(K341,DPD_From,1))</f>
        <v/>
      </c>
      <c r="R341" s="41">
        <f>INDEX(DPD_Class,MATCH(K341,DPD_From,1))</f>
        <v/>
      </c>
      <c r="S341" s="41">
        <f>INDEX(DPD_NPA,MATCH(K341,DPD_From,1))</f>
        <v/>
      </c>
      <c r="T341" s="42">
        <f>INDEX(DPD_Prov,MATCH(K341,DPD_From,1))</f>
        <v/>
      </c>
      <c r="U341" s="40">
        <f>ROUND(O341*T341,0)</f>
        <v/>
      </c>
      <c r="V341" s="41">
        <f>INDEX(CIBIL_Grade,MATCH(J341,CIBIL_From,1))</f>
        <v/>
      </c>
      <c r="W341" s="41">
        <f>YEAR(F341)&amp;"-Q"&amp;ROUNDUP(MONTH(F341)/3,0)</f>
        <v/>
      </c>
      <c r="X341" s="41">
        <f>IF(AND(OR(Dashboard!$C$4="All",D341=Dashboard!$C$4),OR(Dashboard!$C$5="All",E341=Dashboard!$C$5)),1,0)</f>
        <v/>
      </c>
      <c r="Y341" s="43">
        <f>IF(AND(X341=1,S341="Yes"),O341+ROW()/1000000,0)</f>
        <v/>
      </c>
    </row>
    <row r="342">
      <c r="A342" s="35" t="inlineStr">
        <is>
          <t>LN100341</t>
        </is>
      </c>
      <c r="B342" s="35" t="inlineStr">
        <is>
          <t>Aarav Mohanty</t>
        </is>
      </c>
      <c r="C342" s="35" t="inlineStr">
        <is>
          <t>MUM-01</t>
        </is>
      </c>
      <c r="D342" s="36">
        <f>INDEX(Branches!$C$2:$C$15,MATCH(C342,Branches!$A$2:$A$15,0))</f>
        <v/>
      </c>
      <c r="E342" s="35" t="inlineStr">
        <is>
          <t>Business Loan</t>
        </is>
      </c>
      <c r="F342" s="37" t="n">
        <v>45203</v>
      </c>
      <c r="G342" s="38" t="n">
        <v>3238000</v>
      </c>
      <c r="H342" s="39" t="n">
        <v>0.196</v>
      </c>
      <c r="I342" s="35" t="n">
        <v>12</v>
      </c>
      <c r="J342" s="35" t="n">
        <v>802</v>
      </c>
      <c r="K342" s="35" t="n">
        <v>0</v>
      </c>
      <c r="L342" s="40">
        <f>ROUND(PMT(H342/12,I342,-G342),0)</f>
        <v/>
      </c>
      <c r="M342" s="41">
        <f>MAX(0,(YEAR(AsOfDate)-YEAR(F342))*12+MONTH(AsOfDate)-MONTH(F342))</f>
        <v/>
      </c>
      <c r="N342" s="41">
        <f>MAX(0,MIN(I342,M342)-INT(K342/30))</f>
        <v/>
      </c>
      <c r="O342" s="40">
        <f>IF(N342&gt;=I342,0,ROUND(PV(H342/12,I342-N342,-L342),0))</f>
        <v/>
      </c>
      <c r="P342" s="40">
        <f>MIN(I342,M342)*L342-N342*L342</f>
        <v/>
      </c>
      <c r="Q342" s="41">
        <f>INDEX(DPD_Bucket,MATCH(K342,DPD_From,1))</f>
        <v/>
      </c>
      <c r="R342" s="41">
        <f>INDEX(DPD_Class,MATCH(K342,DPD_From,1))</f>
        <v/>
      </c>
      <c r="S342" s="41">
        <f>INDEX(DPD_NPA,MATCH(K342,DPD_From,1))</f>
        <v/>
      </c>
      <c r="T342" s="42">
        <f>INDEX(DPD_Prov,MATCH(K342,DPD_From,1))</f>
        <v/>
      </c>
      <c r="U342" s="40">
        <f>ROUND(O342*T342,0)</f>
        <v/>
      </c>
      <c r="V342" s="41">
        <f>INDEX(CIBIL_Grade,MATCH(J342,CIBIL_From,1))</f>
        <v/>
      </c>
      <c r="W342" s="41">
        <f>YEAR(F342)&amp;"-Q"&amp;ROUNDUP(MONTH(F342)/3,0)</f>
        <v/>
      </c>
      <c r="X342" s="41">
        <f>IF(AND(OR(Dashboard!$C$4="All",D342=Dashboard!$C$4),OR(Dashboard!$C$5="All",E342=Dashboard!$C$5)),1,0)</f>
        <v/>
      </c>
      <c r="Y342" s="43">
        <f>IF(AND(X342=1,S342="Yes"),O342+ROW()/1000000,0)</f>
        <v/>
      </c>
    </row>
    <row r="343">
      <c r="A343" s="35" t="inlineStr">
        <is>
          <t>LN100342</t>
        </is>
      </c>
      <c r="B343" s="35" t="inlineStr">
        <is>
          <t>Gaurav Menon</t>
        </is>
      </c>
      <c r="C343" s="35" t="inlineStr">
        <is>
          <t>DEL-01</t>
        </is>
      </c>
      <c r="D343" s="36">
        <f>INDEX(Branches!$C$2:$C$15,MATCH(C343,Branches!$A$2:$A$15,0))</f>
        <v/>
      </c>
      <c r="E343" s="35" t="inlineStr">
        <is>
          <t>Business Loan</t>
        </is>
      </c>
      <c r="F343" s="37" t="n">
        <v>45306</v>
      </c>
      <c r="G343" s="38" t="n">
        <v>1634000</v>
      </c>
      <c r="H343" s="39" t="n">
        <v>0.1627</v>
      </c>
      <c r="I343" s="35" t="n">
        <v>36</v>
      </c>
      <c r="J343" s="35" t="n">
        <v>693</v>
      </c>
      <c r="K343" s="35" t="n">
        <v>0</v>
      </c>
      <c r="L343" s="40">
        <f>ROUND(PMT(H343/12,I343,-G343),0)</f>
        <v/>
      </c>
      <c r="M343" s="41">
        <f>MAX(0,(YEAR(AsOfDate)-YEAR(F343))*12+MONTH(AsOfDate)-MONTH(F343))</f>
        <v/>
      </c>
      <c r="N343" s="41">
        <f>MAX(0,MIN(I343,M343)-INT(K343/30))</f>
        <v/>
      </c>
      <c r="O343" s="40">
        <f>IF(N343&gt;=I343,0,ROUND(PV(H343/12,I343-N343,-L343),0))</f>
        <v/>
      </c>
      <c r="P343" s="40">
        <f>MIN(I343,M343)*L343-N343*L343</f>
        <v/>
      </c>
      <c r="Q343" s="41">
        <f>INDEX(DPD_Bucket,MATCH(K343,DPD_From,1))</f>
        <v/>
      </c>
      <c r="R343" s="41">
        <f>INDEX(DPD_Class,MATCH(K343,DPD_From,1))</f>
        <v/>
      </c>
      <c r="S343" s="41">
        <f>INDEX(DPD_NPA,MATCH(K343,DPD_From,1))</f>
        <v/>
      </c>
      <c r="T343" s="42">
        <f>INDEX(DPD_Prov,MATCH(K343,DPD_From,1))</f>
        <v/>
      </c>
      <c r="U343" s="40">
        <f>ROUND(O343*T343,0)</f>
        <v/>
      </c>
      <c r="V343" s="41">
        <f>INDEX(CIBIL_Grade,MATCH(J343,CIBIL_From,1))</f>
        <v/>
      </c>
      <c r="W343" s="41">
        <f>YEAR(F343)&amp;"-Q"&amp;ROUNDUP(MONTH(F343)/3,0)</f>
        <v/>
      </c>
      <c r="X343" s="41">
        <f>IF(AND(OR(Dashboard!$C$4="All",D343=Dashboard!$C$4),OR(Dashboard!$C$5="All",E343=Dashboard!$C$5)),1,0)</f>
        <v/>
      </c>
      <c r="Y343" s="43">
        <f>IF(AND(X343=1,S343="Yes"),O343+ROW()/1000000,0)</f>
        <v/>
      </c>
    </row>
    <row r="344">
      <c r="A344" s="35" t="inlineStr">
        <is>
          <t>LN100343</t>
        </is>
      </c>
      <c r="B344" s="35" t="inlineStr">
        <is>
          <t>Tanvi Menon</t>
        </is>
      </c>
      <c r="C344" s="35" t="inlineStr">
        <is>
          <t>LKO-01</t>
        </is>
      </c>
      <c r="D344" s="36">
        <f>INDEX(Branches!$C$2:$C$15,MATCH(C344,Branches!$A$2:$A$15,0))</f>
        <v/>
      </c>
      <c r="E344" s="35" t="inlineStr">
        <is>
          <t>Personal Loan</t>
        </is>
      </c>
      <c r="F344" s="37" t="n">
        <v>45360</v>
      </c>
      <c r="G344" s="38" t="n">
        <v>1006000</v>
      </c>
      <c r="H344" s="39" t="n">
        <v>0.1507</v>
      </c>
      <c r="I344" s="35" t="n">
        <v>60</v>
      </c>
      <c r="J344" s="35" t="n">
        <v>729</v>
      </c>
      <c r="K344" s="35" t="n">
        <v>0</v>
      </c>
      <c r="L344" s="40">
        <f>ROUND(PMT(H344/12,I344,-G344),0)</f>
        <v/>
      </c>
      <c r="M344" s="41">
        <f>MAX(0,(YEAR(AsOfDate)-YEAR(F344))*12+MONTH(AsOfDate)-MONTH(F344))</f>
        <v/>
      </c>
      <c r="N344" s="41">
        <f>MAX(0,MIN(I344,M344)-INT(K344/30))</f>
        <v/>
      </c>
      <c r="O344" s="40">
        <f>IF(N344&gt;=I344,0,ROUND(PV(H344/12,I344-N344,-L344),0))</f>
        <v/>
      </c>
      <c r="P344" s="40">
        <f>MIN(I344,M344)*L344-N344*L344</f>
        <v/>
      </c>
      <c r="Q344" s="41">
        <f>INDEX(DPD_Bucket,MATCH(K344,DPD_From,1))</f>
        <v/>
      </c>
      <c r="R344" s="41">
        <f>INDEX(DPD_Class,MATCH(K344,DPD_From,1))</f>
        <v/>
      </c>
      <c r="S344" s="41">
        <f>INDEX(DPD_NPA,MATCH(K344,DPD_From,1))</f>
        <v/>
      </c>
      <c r="T344" s="42">
        <f>INDEX(DPD_Prov,MATCH(K344,DPD_From,1))</f>
        <v/>
      </c>
      <c r="U344" s="40">
        <f>ROUND(O344*T344,0)</f>
        <v/>
      </c>
      <c r="V344" s="41">
        <f>INDEX(CIBIL_Grade,MATCH(J344,CIBIL_From,1))</f>
        <v/>
      </c>
      <c r="W344" s="41">
        <f>YEAR(F344)&amp;"-Q"&amp;ROUNDUP(MONTH(F344)/3,0)</f>
        <v/>
      </c>
      <c r="X344" s="41">
        <f>IF(AND(OR(Dashboard!$C$4="All",D344=Dashboard!$C$4),OR(Dashboard!$C$5="All",E344=Dashboard!$C$5)),1,0)</f>
        <v/>
      </c>
      <c r="Y344" s="43">
        <f>IF(AND(X344=1,S344="Yes"),O344+ROW()/1000000,0)</f>
        <v/>
      </c>
    </row>
    <row r="345">
      <c r="A345" s="35" t="inlineStr">
        <is>
          <t>LN100344</t>
        </is>
      </c>
      <c r="B345" s="35" t="inlineStr">
        <is>
          <t>Ishaan Reddy</t>
        </is>
      </c>
      <c r="C345" s="35" t="inlineStr">
        <is>
          <t>LKO-01</t>
        </is>
      </c>
      <c r="D345" s="36">
        <f>INDEX(Branches!$C$2:$C$15,MATCH(C345,Branches!$A$2:$A$15,0))</f>
        <v/>
      </c>
      <c r="E345" s="35" t="inlineStr">
        <is>
          <t>Auto Loan</t>
        </is>
      </c>
      <c r="F345" s="37" t="n">
        <v>45187</v>
      </c>
      <c r="G345" s="38" t="n">
        <v>1625000</v>
      </c>
      <c r="H345" s="39" t="n">
        <v>0.1169</v>
      </c>
      <c r="I345" s="35" t="n">
        <v>36</v>
      </c>
      <c r="J345" s="35" t="n">
        <v>731</v>
      </c>
      <c r="K345" s="35" t="n">
        <v>71</v>
      </c>
      <c r="L345" s="40">
        <f>ROUND(PMT(H345/12,I345,-G345),0)</f>
        <v/>
      </c>
      <c r="M345" s="41">
        <f>MAX(0,(YEAR(AsOfDate)-YEAR(F345))*12+MONTH(AsOfDate)-MONTH(F345))</f>
        <v/>
      </c>
      <c r="N345" s="41">
        <f>MAX(0,MIN(I345,M345)-INT(K345/30))</f>
        <v/>
      </c>
      <c r="O345" s="40">
        <f>IF(N345&gt;=I345,0,ROUND(PV(H345/12,I345-N345,-L345),0))</f>
        <v/>
      </c>
      <c r="P345" s="40">
        <f>MIN(I345,M345)*L345-N345*L345</f>
        <v/>
      </c>
      <c r="Q345" s="41">
        <f>INDEX(DPD_Bucket,MATCH(K345,DPD_From,1))</f>
        <v/>
      </c>
      <c r="R345" s="41">
        <f>INDEX(DPD_Class,MATCH(K345,DPD_From,1))</f>
        <v/>
      </c>
      <c r="S345" s="41">
        <f>INDEX(DPD_NPA,MATCH(K345,DPD_From,1))</f>
        <v/>
      </c>
      <c r="T345" s="42">
        <f>INDEX(DPD_Prov,MATCH(K345,DPD_From,1))</f>
        <v/>
      </c>
      <c r="U345" s="40">
        <f>ROUND(O345*T345,0)</f>
        <v/>
      </c>
      <c r="V345" s="41">
        <f>INDEX(CIBIL_Grade,MATCH(J345,CIBIL_From,1))</f>
        <v/>
      </c>
      <c r="W345" s="41">
        <f>YEAR(F345)&amp;"-Q"&amp;ROUNDUP(MONTH(F345)/3,0)</f>
        <v/>
      </c>
      <c r="X345" s="41">
        <f>IF(AND(OR(Dashboard!$C$4="All",D345=Dashboard!$C$4),OR(Dashboard!$C$5="All",E345=Dashboard!$C$5)),1,0)</f>
        <v/>
      </c>
      <c r="Y345" s="43">
        <f>IF(AND(X345=1,S345="Yes"),O345+ROW()/1000000,0)</f>
        <v/>
      </c>
    </row>
    <row r="346">
      <c r="A346" s="35" t="inlineStr">
        <is>
          <t>LN100345</t>
        </is>
      </c>
      <c r="B346" s="35" t="inlineStr">
        <is>
          <t>Diya Gupta</t>
        </is>
      </c>
      <c r="C346" s="35" t="inlineStr">
        <is>
          <t>AMD-01</t>
        </is>
      </c>
      <c r="D346" s="36">
        <f>INDEX(Branches!$C$2:$C$15,MATCH(C346,Branches!$A$2:$A$15,0))</f>
        <v/>
      </c>
      <c r="E346" s="35" t="inlineStr">
        <is>
          <t>Business Loan</t>
        </is>
      </c>
      <c r="F346" s="37" t="n">
        <v>45519</v>
      </c>
      <c r="G346" s="38" t="n">
        <v>2321000</v>
      </c>
      <c r="H346" s="39" t="n">
        <v>0.1816</v>
      </c>
      <c r="I346" s="35" t="n">
        <v>60</v>
      </c>
      <c r="J346" s="35" t="n">
        <v>697</v>
      </c>
      <c r="K346" s="35" t="n">
        <v>0</v>
      </c>
      <c r="L346" s="40">
        <f>ROUND(PMT(H346/12,I346,-G346),0)</f>
        <v/>
      </c>
      <c r="M346" s="41">
        <f>MAX(0,(YEAR(AsOfDate)-YEAR(F346))*12+MONTH(AsOfDate)-MONTH(F346))</f>
        <v/>
      </c>
      <c r="N346" s="41">
        <f>MAX(0,MIN(I346,M346)-INT(K346/30))</f>
        <v/>
      </c>
      <c r="O346" s="40">
        <f>IF(N346&gt;=I346,0,ROUND(PV(H346/12,I346-N346,-L346),0))</f>
        <v/>
      </c>
      <c r="P346" s="40">
        <f>MIN(I346,M346)*L346-N346*L346</f>
        <v/>
      </c>
      <c r="Q346" s="41">
        <f>INDEX(DPD_Bucket,MATCH(K346,DPD_From,1))</f>
        <v/>
      </c>
      <c r="R346" s="41">
        <f>INDEX(DPD_Class,MATCH(K346,DPD_From,1))</f>
        <v/>
      </c>
      <c r="S346" s="41">
        <f>INDEX(DPD_NPA,MATCH(K346,DPD_From,1))</f>
        <v/>
      </c>
      <c r="T346" s="42">
        <f>INDEX(DPD_Prov,MATCH(K346,DPD_From,1))</f>
        <v/>
      </c>
      <c r="U346" s="40">
        <f>ROUND(O346*T346,0)</f>
        <v/>
      </c>
      <c r="V346" s="41">
        <f>INDEX(CIBIL_Grade,MATCH(J346,CIBIL_From,1))</f>
        <v/>
      </c>
      <c r="W346" s="41">
        <f>YEAR(F346)&amp;"-Q"&amp;ROUNDUP(MONTH(F346)/3,0)</f>
        <v/>
      </c>
      <c r="X346" s="41">
        <f>IF(AND(OR(Dashboard!$C$4="All",D346=Dashboard!$C$4),OR(Dashboard!$C$5="All",E346=Dashboard!$C$5)),1,0)</f>
        <v/>
      </c>
      <c r="Y346" s="43">
        <f>IF(AND(X346=1,S346="Yes"),O346+ROW()/1000000,0)</f>
        <v/>
      </c>
    </row>
    <row r="347">
      <c r="A347" s="35" t="inlineStr">
        <is>
          <t>LN100346</t>
        </is>
      </c>
      <c r="B347" s="35" t="inlineStr">
        <is>
          <t>Farhan Mohanty</t>
        </is>
      </c>
      <c r="C347" s="35" t="inlineStr">
        <is>
          <t>KOL-01</t>
        </is>
      </c>
      <c r="D347" s="36">
        <f>INDEX(Branches!$C$2:$C$15,MATCH(C347,Branches!$A$2:$A$15,0))</f>
        <v/>
      </c>
      <c r="E347" s="35" t="inlineStr">
        <is>
          <t>Personal Loan</t>
        </is>
      </c>
      <c r="F347" s="37" t="n">
        <v>45785</v>
      </c>
      <c r="G347" s="38" t="n">
        <v>848000</v>
      </c>
      <c r="H347" s="39" t="n">
        <v>0.1639</v>
      </c>
      <c r="I347" s="35" t="n">
        <v>60</v>
      </c>
      <c r="J347" s="35" t="n">
        <v>655</v>
      </c>
      <c r="K347" s="35" t="n">
        <v>0</v>
      </c>
      <c r="L347" s="40">
        <f>ROUND(PMT(H347/12,I347,-G347),0)</f>
        <v/>
      </c>
      <c r="M347" s="41">
        <f>MAX(0,(YEAR(AsOfDate)-YEAR(F347))*12+MONTH(AsOfDate)-MONTH(F347))</f>
        <v/>
      </c>
      <c r="N347" s="41">
        <f>MAX(0,MIN(I347,M347)-INT(K347/30))</f>
        <v/>
      </c>
      <c r="O347" s="40">
        <f>IF(N347&gt;=I347,0,ROUND(PV(H347/12,I347-N347,-L347),0))</f>
        <v/>
      </c>
      <c r="P347" s="40">
        <f>MIN(I347,M347)*L347-N347*L347</f>
        <v/>
      </c>
      <c r="Q347" s="41">
        <f>INDEX(DPD_Bucket,MATCH(K347,DPD_From,1))</f>
        <v/>
      </c>
      <c r="R347" s="41">
        <f>INDEX(DPD_Class,MATCH(K347,DPD_From,1))</f>
        <v/>
      </c>
      <c r="S347" s="41">
        <f>INDEX(DPD_NPA,MATCH(K347,DPD_From,1))</f>
        <v/>
      </c>
      <c r="T347" s="42">
        <f>INDEX(DPD_Prov,MATCH(K347,DPD_From,1))</f>
        <v/>
      </c>
      <c r="U347" s="40">
        <f>ROUND(O347*T347,0)</f>
        <v/>
      </c>
      <c r="V347" s="41">
        <f>INDEX(CIBIL_Grade,MATCH(J347,CIBIL_From,1))</f>
        <v/>
      </c>
      <c r="W347" s="41">
        <f>YEAR(F347)&amp;"-Q"&amp;ROUNDUP(MONTH(F347)/3,0)</f>
        <v/>
      </c>
      <c r="X347" s="41">
        <f>IF(AND(OR(Dashboard!$C$4="All",D347=Dashboard!$C$4),OR(Dashboard!$C$5="All",E347=Dashboard!$C$5)),1,0)</f>
        <v/>
      </c>
      <c r="Y347" s="43">
        <f>IF(AND(X347=1,S347="Yes"),O347+ROW()/1000000,0)</f>
        <v/>
      </c>
    </row>
    <row r="348">
      <c r="A348" s="35" t="inlineStr">
        <is>
          <t>LN100347</t>
        </is>
      </c>
      <c r="B348" s="35" t="inlineStr">
        <is>
          <t>Rohan Patel</t>
        </is>
      </c>
      <c r="C348" s="35" t="inlineStr">
        <is>
          <t>MUM-01</t>
        </is>
      </c>
      <c r="D348" s="36">
        <f>INDEX(Branches!$C$2:$C$15,MATCH(C348,Branches!$A$2:$A$15,0))</f>
        <v/>
      </c>
      <c r="E348" s="35" t="inlineStr">
        <is>
          <t>Gold Loan</t>
        </is>
      </c>
      <c r="F348" s="37" t="n">
        <v>45135</v>
      </c>
      <c r="G348" s="38" t="n">
        <v>94000</v>
      </c>
      <c r="H348" s="39" t="n">
        <v>0.09379999999999999</v>
      </c>
      <c r="I348" s="35" t="n">
        <v>12</v>
      </c>
      <c r="J348" s="35" t="n">
        <v>724</v>
      </c>
      <c r="K348" s="35" t="n">
        <v>0</v>
      </c>
      <c r="L348" s="40">
        <f>ROUND(PMT(H348/12,I348,-G348),0)</f>
        <v/>
      </c>
      <c r="M348" s="41">
        <f>MAX(0,(YEAR(AsOfDate)-YEAR(F348))*12+MONTH(AsOfDate)-MONTH(F348))</f>
        <v/>
      </c>
      <c r="N348" s="41">
        <f>MAX(0,MIN(I348,M348)-INT(K348/30))</f>
        <v/>
      </c>
      <c r="O348" s="40">
        <f>IF(N348&gt;=I348,0,ROUND(PV(H348/12,I348-N348,-L348),0))</f>
        <v/>
      </c>
      <c r="P348" s="40">
        <f>MIN(I348,M348)*L348-N348*L348</f>
        <v/>
      </c>
      <c r="Q348" s="41">
        <f>INDEX(DPD_Bucket,MATCH(K348,DPD_From,1))</f>
        <v/>
      </c>
      <c r="R348" s="41">
        <f>INDEX(DPD_Class,MATCH(K348,DPD_From,1))</f>
        <v/>
      </c>
      <c r="S348" s="41">
        <f>INDEX(DPD_NPA,MATCH(K348,DPD_From,1))</f>
        <v/>
      </c>
      <c r="T348" s="42">
        <f>INDEX(DPD_Prov,MATCH(K348,DPD_From,1))</f>
        <v/>
      </c>
      <c r="U348" s="40">
        <f>ROUND(O348*T348,0)</f>
        <v/>
      </c>
      <c r="V348" s="41">
        <f>INDEX(CIBIL_Grade,MATCH(J348,CIBIL_From,1))</f>
        <v/>
      </c>
      <c r="W348" s="41">
        <f>YEAR(F348)&amp;"-Q"&amp;ROUNDUP(MONTH(F348)/3,0)</f>
        <v/>
      </c>
      <c r="X348" s="41">
        <f>IF(AND(OR(Dashboard!$C$4="All",D348=Dashboard!$C$4),OR(Dashboard!$C$5="All",E348=Dashboard!$C$5)),1,0)</f>
        <v/>
      </c>
      <c r="Y348" s="43">
        <f>IF(AND(X348=1,S348="Yes"),O348+ROW()/1000000,0)</f>
        <v/>
      </c>
    </row>
    <row r="349">
      <c r="A349" s="35" t="inlineStr">
        <is>
          <t>LN100348</t>
        </is>
      </c>
      <c r="B349" s="35" t="inlineStr">
        <is>
          <t>Kabir Menon</t>
        </is>
      </c>
      <c r="C349" s="35" t="inlineStr">
        <is>
          <t>KOC-01</t>
        </is>
      </c>
      <c r="D349" s="36">
        <f>INDEX(Branches!$C$2:$C$15,MATCH(C349,Branches!$A$2:$A$15,0))</f>
        <v/>
      </c>
      <c r="E349" s="35" t="inlineStr">
        <is>
          <t>Auto Loan</t>
        </is>
      </c>
      <c r="F349" s="37" t="n">
        <v>45486</v>
      </c>
      <c r="G349" s="38" t="n">
        <v>1591000</v>
      </c>
      <c r="H349" s="39" t="n">
        <v>0.0985</v>
      </c>
      <c r="I349" s="35" t="n">
        <v>48</v>
      </c>
      <c r="J349" s="35" t="n">
        <v>766</v>
      </c>
      <c r="K349" s="35" t="n">
        <v>0</v>
      </c>
      <c r="L349" s="40">
        <f>ROUND(PMT(H349/12,I349,-G349),0)</f>
        <v/>
      </c>
      <c r="M349" s="41">
        <f>MAX(0,(YEAR(AsOfDate)-YEAR(F349))*12+MONTH(AsOfDate)-MONTH(F349))</f>
        <v/>
      </c>
      <c r="N349" s="41">
        <f>MAX(0,MIN(I349,M349)-INT(K349/30))</f>
        <v/>
      </c>
      <c r="O349" s="40">
        <f>IF(N349&gt;=I349,0,ROUND(PV(H349/12,I349-N349,-L349),0))</f>
        <v/>
      </c>
      <c r="P349" s="40">
        <f>MIN(I349,M349)*L349-N349*L349</f>
        <v/>
      </c>
      <c r="Q349" s="41">
        <f>INDEX(DPD_Bucket,MATCH(K349,DPD_From,1))</f>
        <v/>
      </c>
      <c r="R349" s="41">
        <f>INDEX(DPD_Class,MATCH(K349,DPD_From,1))</f>
        <v/>
      </c>
      <c r="S349" s="41">
        <f>INDEX(DPD_NPA,MATCH(K349,DPD_From,1))</f>
        <v/>
      </c>
      <c r="T349" s="42">
        <f>INDEX(DPD_Prov,MATCH(K349,DPD_From,1))</f>
        <v/>
      </c>
      <c r="U349" s="40">
        <f>ROUND(O349*T349,0)</f>
        <v/>
      </c>
      <c r="V349" s="41">
        <f>INDEX(CIBIL_Grade,MATCH(J349,CIBIL_From,1))</f>
        <v/>
      </c>
      <c r="W349" s="41">
        <f>YEAR(F349)&amp;"-Q"&amp;ROUNDUP(MONTH(F349)/3,0)</f>
        <v/>
      </c>
      <c r="X349" s="41">
        <f>IF(AND(OR(Dashboard!$C$4="All",D349=Dashboard!$C$4),OR(Dashboard!$C$5="All",E349=Dashboard!$C$5)),1,0)</f>
        <v/>
      </c>
      <c r="Y349" s="43">
        <f>IF(AND(X349=1,S349="Yes"),O349+ROW()/1000000,0)</f>
        <v/>
      </c>
    </row>
    <row r="350">
      <c r="A350" s="35" t="inlineStr">
        <is>
          <t>LN100349</t>
        </is>
      </c>
      <c r="B350" s="35" t="inlineStr">
        <is>
          <t>Pooja Verma</t>
        </is>
      </c>
      <c r="C350" s="35" t="inlineStr">
        <is>
          <t>GUW-01</t>
        </is>
      </c>
      <c r="D350" s="36">
        <f>INDEX(Branches!$C$2:$C$15,MATCH(C350,Branches!$A$2:$A$15,0))</f>
        <v/>
      </c>
      <c r="E350" s="35" t="inlineStr">
        <is>
          <t>Business Loan</t>
        </is>
      </c>
      <c r="F350" s="37" t="n">
        <v>45412</v>
      </c>
      <c r="G350" s="38" t="n">
        <v>3355000</v>
      </c>
      <c r="H350" s="39" t="n">
        <v>0.1706</v>
      </c>
      <c r="I350" s="35" t="n">
        <v>36</v>
      </c>
      <c r="J350" s="35" t="n">
        <v>731</v>
      </c>
      <c r="K350" s="35" t="n">
        <v>0</v>
      </c>
      <c r="L350" s="40">
        <f>ROUND(PMT(H350/12,I350,-G350),0)</f>
        <v/>
      </c>
      <c r="M350" s="41">
        <f>MAX(0,(YEAR(AsOfDate)-YEAR(F350))*12+MONTH(AsOfDate)-MONTH(F350))</f>
        <v/>
      </c>
      <c r="N350" s="41">
        <f>MAX(0,MIN(I350,M350)-INT(K350/30))</f>
        <v/>
      </c>
      <c r="O350" s="40">
        <f>IF(N350&gt;=I350,0,ROUND(PV(H350/12,I350-N350,-L350),0))</f>
        <v/>
      </c>
      <c r="P350" s="40">
        <f>MIN(I350,M350)*L350-N350*L350</f>
        <v/>
      </c>
      <c r="Q350" s="41">
        <f>INDEX(DPD_Bucket,MATCH(K350,DPD_From,1))</f>
        <v/>
      </c>
      <c r="R350" s="41">
        <f>INDEX(DPD_Class,MATCH(K350,DPD_From,1))</f>
        <v/>
      </c>
      <c r="S350" s="41">
        <f>INDEX(DPD_NPA,MATCH(K350,DPD_From,1))</f>
        <v/>
      </c>
      <c r="T350" s="42">
        <f>INDEX(DPD_Prov,MATCH(K350,DPD_From,1))</f>
        <v/>
      </c>
      <c r="U350" s="40">
        <f>ROUND(O350*T350,0)</f>
        <v/>
      </c>
      <c r="V350" s="41">
        <f>INDEX(CIBIL_Grade,MATCH(J350,CIBIL_From,1))</f>
        <v/>
      </c>
      <c r="W350" s="41">
        <f>YEAR(F350)&amp;"-Q"&amp;ROUNDUP(MONTH(F350)/3,0)</f>
        <v/>
      </c>
      <c r="X350" s="41">
        <f>IF(AND(OR(Dashboard!$C$4="All",D350=Dashboard!$C$4),OR(Dashboard!$C$5="All",E350=Dashboard!$C$5)),1,0)</f>
        <v/>
      </c>
      <c r="Y350" s="43">
        <f>IF(AND(X350=1,S350="Yes"),O350+ROW()/1000000,0)</f>
        <v/>
      </c>
    </row>
    <row r="351">
      <c r="A351" s="35" t="inlineStr">
        <is>
          <t>LN100350</t>
        </is>
      </c>
      <c r="B351" s="35" t="inlineStr">
        <is>
          <t>Gaurav Banerjee</t>
        </is>
      </c>
      <c r="C351" s="35" t="inlineStr">
        <is>
          <t>LKO-01</t>
        </is>
      </c>
      <c r="D351" s="36">
        <f>INDEX(Branches!$C$2:$C$15,MATCH(C351,Branches!$A$2:$A$15,0))</f>
        <v/>
      </c>
      <c r="E351" s="35" t="inlineStr">
        <is>
          <t>Personal Loan</t>
        </is>
      </c>
      <c r="F351" s="37" t="n">
        <v>45775</v>
      </c>
      <c r="G351" s="38" t="n">
        <v>518000</v>
      </c>
      <c r="H351" s="39" t="n">
        <v>0.1091</v>
      </c>
      <c r="I351" s="35" t="n">
        <v>48</v>
      </c>
      <c r="J351" s="35" t="n">
        <v>780</v>
      </c>
      <c r="K351" s="35" t="n">
        <v>0</v>
      </c>
      <c r="L351" s="40">
        <f>ROUND(PMT(H351/12,I351,-G351),0)</f>
        <v/>
      </c>
      <c r="M351" s="41">
        <f>MAX(0,(YEAR(AsOfDate)-YEAR(F351))*12+MONTH(AsOfDate)-MONTH(F351))</f>
        <v/>
      </c>
      <c r="N351" s="41">
        <f>MAX(0,MIN(I351,M351)-INT(K351/30))</f>
        <v/>
      </c>
      <c r="O351" s="40">
        <f>IF(N351&gt;=I351,0,ROUND(PV(H351/12,I351-N351,-L351),0))</f>
        <v/>
      </c>
      <c r="P351" s="40">
        <f>MIN(I351,M351)*L351-N351*L351</f>
        <v/>
      </c>
      <c r="Q351" s="41">
        <f>INDEX(DPD_Bucket,MATCH(K351,DPD_From,1))</f>
        <v/>
      </c>
      <c r="R351" s="41">
        <f>INDEX(DPD_Class,MATCH(K351,DPD_From,1))</f>
        <v/>
      </c>
      <c r="S351" s="41">
        <f>INDEX(DPD_NPA,MATCH(K351,DPD_From,1))</f>
        <v/>
      </c>
      <c r="T351" s="42">
        <f>INDEX(DPD_Prov,MATCH(K351,DPD_From,1))</f>
        <v/>
      </c>
      <c r="U351" s="40">
        <f>ROUND(O351*T351,0)</f>
        <v/>
      </c>
      <c r="V351" s="41">
        <f>INDEX(CIBIL_Grade,MATCH(J351,CIBIL_From,1))</f>
        <v/>
      </c>
      <c r="W351" s="41">
        <f>YEAR(F351)&amp;"-Q"&amp;ROUNDUP(MONTH(F351)/3,0)</f>
        <v/>
      </c>
      <c r="X351" s="41">
        <f>IF(AND(OR(Dashboard!$C$4="All",D351=Dashboard!$C$4),OR(Dashboard!$C$5="All",E351=Dashboard!$C$5)),1,0)</f>
        <v/>
      </c>
      <c r="Y351" s="43">
        <f>IF(AND(X351=1,S351="Yes"),O351+ROW()/1000000,0)</f>
        <v/>
      </c>
    </row>
    <row r="352">
      <c r="A352" s="35" t="inlineStr">
        <is>
          <t>LN100351</t>
        </is>
      </c>
      <c r="B352" s="35" t="inlineStr">
        <is>
          <t>Riya Reddy</t>
        </is>
      </c>
      <c r="C352" s="35" t="inlineStr">
        <is>
          <t>PUN-01</t>
        </is>
      </c>
      <c r="D352" s="36">
        <f>INDEX(Branches!$C$2:$C$15,MATCH(C352,Branches!$A$2:$A$15,0))</f>
        <v/>
      </c>
      <c r="E352" s="35" t="inlineStr">
        <is>
          <t>Business Loan</t>
        </is>
      </c>
      <c r="F352" s="37" t="n">
        <v>45763</v>
      </c>
      <c r="G352" s="38" t="n">
        <v>4381000</v>
      </c>
      <c r="H352" s="39" t="n">
        <v>0.1426</v>
      </c>
      <c r="I352" s="35" t="n">
        <v>24</v>
      </c>
      <c r="J352" s="35" t="n">
        <v>645</v>
      </c>
      <c r="K352" s="35" t="n">
        <v>0</v>
      </c>
      <c r="L352" s="40">
        <f>ROUND(PMT(H352/12,I352,-G352),0)</f>
        <v/>
      </c>
      <c r="M352" s="41">
        <f>MAX(0,(YEAR(AsOfDate)-YEAR(F352))*12+MONTH(AsOfDate)-MONTH(F352))</f>
        <v/>
      </c>
      <c r="N352" s="41">
        <f>MAX(0,MIN(I352,M352)-INT(K352/30))</f>
        <v/>
      </c>
      <c r="O352" s="40">
        <f>IF(N352&gt;=I352,0,ROUND(PV(H352/12,I352-N352,-L352),0))</f>
        <v/>
      </c>
      <c r="P352" s="40">
        <f>MIN(I352,M352)*L352-N352*L352</f>
        <v/>
      </c>
      <c r="Q352" s="41">
        <f>INDEX(DPD_Bucket,MATCH(K352,DPD_From,1))</f>
        <v/>
      </c>
      <c r="R352" s="41">
        <f>INDEX(DPD_Class,MATCH(K352,DPD_From,1))</f>
        <v/>
      </c>
      <c r="S352" s="41">
        <f>INDEX(DPD_NPA,MATCH(K352,DPD_From,1))</f>
        <v/>
      </c>
      <c r="T352" s="42">
        <f>INDEX(DPD_Prov,MATCH(K352,DPD_From,1))</f>
        <v/>
      </c>
      <c r="U352" s="40">
        <f>ROUND(O352*T352,0)</f>
        <v/>
      </c>
      <c r="V352" s="41">
        <f>INDEX(CIBIL_Grade,MATCH(J352,CIBIL_From,1))</f>
        <v/>
      </c>
      <c r="W352" s="41">
        <f>YEAR(F352)&amp;"-Q"&amp;ROUNDUP(MONTH(F352)/3,0)</f>
        <v/>
      </c>
      <c r="X352" s="41">
        <f>IF(AND(OR(Dashboard!$C$4="All",D352=Dashboard!$C$4),OR(Dashboard!$C$5="All",E352=Dashboard!$C$5)),1,0)</f>
        <v/>
      </c>
      <c r="Y352" s="43">
        <f>IF(AND(X352=1,S352="Yes"),O352+ROW()/1000000,0)</f>
        <v/>
      </c>
    </row>
    <row r="353">
      <c r="A353" s="35" t="inlineStr">
        <is>
          <t>LN100352</t>
        </is>
      </c>
      <c r="B353" s="35" t="inlineStr">
        <is>
          <t>Vivaan Sharma</t>
        </is>
      </c>
      <c r="C353" s="35" t="inlineStr">
        <is>
          <t>DEL-01</t>
        </is>
      </c>
      <c r="D353" s="36">
        <f>INDEX(Branches!$C$2:$C$15,MATCH(C353,Branches!$A$2:$A$15,0))</f>
        <v/>
      </c>
      <c r="E353" s="35" t="inlineStr">
        <is>
          <t>Home Loan</t>
        </is>
      </c>
      <c r="F353" s="37" t="n">
        <v>45811</v>
      </c>
      <c r="G353" s="38" t="n">
        <v>5556000</v>
      </c>
      <c r="H353" s="39" t="n">
        <v>0.09470000000000001</v>
      </c>
      <c r="I353" s="35" t="n">
        <v>180</v>
      </c>
      <c r="J353" s="35" t="n">
        <v>870</v>
      </c>
      <c r="K353" s="35" t="n">
        <v>0</v>
      </c>
      <c r="L353" s="40">
        <f>ROUND(PMT(H353/12,I353,-G353),0)</f>
        <v/>
      </c>
      <c r="M353" s="41">
        <f>MAX(0,(YEAR(AsOfDate)-YEAR(F353))*12+MONTH(AsOfDate)-MONTH(F353))</f>
        <v/>
      </c>
      <c r="N353" s="41">
        <f>MAX(0,MIN(I353,M353)-INT(K353/30))</f>
        <v/>
      </c>
      <c r="O353" s="40">
        <f>IF(N353&gt;=I353,0,ROUND(PV(H353/12,I353-N353,-L353),0))</f>
        <v/>
      </c>
      <c r="P353" s="40">
        <f>MIN(I353,M353)*L353-N353*L353</f>
        <v/>
      </c>
      <c r="Q353" s="41">
        <f>INDEX(DPD_Bucket,MATCH(K353,DPD_From,1))</f>
        <v/>
      </c>
      <c r="R353" s="41">
        <f>INDEX(DPD_Class,MATCH(K353,DPD_From,1))</f>
        <v/>
      </c>
      <c r="S353" s="41">
        <f>INDEX(DPD_NPA,MATCH(K353,DPD_From,1))</f>
        <v/>
      </c>
      <c r="T353" s="42">
        <f>INDEX(DPD_Prov,MATCH(K353,DPD_From,1))</f>
        <v/>
      </c>
      <c r="U353" s="40">
        <f>ROUND(O353*T353,0)</f>
        <v/>
      </c>
      <c r="V353" s="41">
        <f>INDEX(CIBIL_Grade,MATCH(J353,CIBIL_From,1))</f>
        <v/>
      </c>
      <c r="W353" s="41">
        <f>YEAR(F353)&amp;"-Q"&amp;ROUNDUP(MONTH(F353)/3,0)</f>
        <v/>
      </c>
      <c r="X353" s="41">
        <f>IF(AND(OR(Dashboard!$C$4="All",D353=Dashboard!$C$4),OR(Dashboard!$C$5="All",E353=Dashboard!$C$5)),1,0)</f>
        <v/>
      </c>
      <c r="Y353" s="43">
        <f>IF(AND(X353=1,S353="Yes"),O353+ROW()/1000000,0)</f>
        <v/>
      </c>
    </row>
    <row r="354">
      <c r="A354" s="35" t="inlineStr">
        <is>
          <t>LN100353</t>
        </is>
      </c>
      <c r="B354" s="35" t="inlineStr">
        <is>
          <t>Meera Khan</t>
        </is>
      </c>
      <c r="C354" s="35" t="inlineStr">
        <is>
          <t>AMD-01</t>
        </is>
      </c>
      <c r="D354" s="36">
        <f>INDEX(Branches!$C$2:$C$15,MATCH(C354,Branches!$A$2:$A$15,0))</f>
        <v/>
      </c>
      <c r="E354" s="35" t="inlineStr">
        <is>
          <t>Home Loan</t>
        </is>
      </c>
      <c r="F354" s="37" t="n">
        <v>45171</v>
      </c>
      <c r="G354" s="38" t="n">
        <v>7577000</v>
      </c>
      <c r="H354" s="39" t="n">
        <v>0.0907</v>
      </c>
      <c r="I354" s="35" t="n">
        <v>120</v>
      </c>
      <c r="J354" s="35" t="n">
        <v>755</v>
      </c>
      <c r="K354" s="35" t="n">
        <v>0</v>
      </c>
      <c r="L354" s="40">
        <f>ROUND(PMT(H354/12,I354,-G354),0)</f>
        <v/>
      </c>
      <c r="M354" s="41">
        <f>MAX(0,(YEAR(AsOfDate)-YEAR(F354))*12+MONTH(AsOfDate)-MONTH(F354))</f>
        <v/>
      </c>
      <c r="N354" s="41">
        <f>MAX(0,MIN(I354,M354)-INT(K354/30))</f>
        <v/>
      </c>
      <c r="O354" s="40">
        <f>IF(N354&gt;=I354,0,ROUND(PV(H354/12,I354-N354,-L354),0))</f>
        <v/>
      </c>
      <c r="P354" s="40">
        <f>MIN(I354,M354)*L354-N354*L354</f>
        <v/>
      </c>
      <c r="Q354" s="41">
        <f>INDEX(DPD_Bucket,MATCH(K354,DPD_From,1))</f>
        <v/>
      </c>
      <c r="R354" s="41">
        <f>INDEX(DPD_Class,MATCH(K354,DPD_From,1))</f>
        <v/>
      </c>
      <c r="S354" s="41">
        <f>INDEX(DPD_NPA,MATCH(K354,DPD_From,1))</f>
        <v/>
      </c>
      <c r="T354" s="42">
        <f>INDEX(DPD_Prov,MATCH(K354,DPD_From,1))</f>
        <v/>
      </c>
      <c r="U354" s="40">
        <f>ROUND(O354*T354,0)</f>
        <v/>
      </c>
      <c r="V354" s="41">
        <f>INDEX(CIBIL_Grade,MATCH(J354,CIBIL_From,1))</f>
        <v/>
      </c>
      <c r="W354" s="41">
        <f>YEAR(F354)&amp;"-Q"&amp;ROUNDUP(MONTH(F354)/3,0)</f>
        <v/>
      </c>
      <c r="X354" s="41">
        <f>IF(AND(OR(Dashboard!$C$4="All",D354=Dashboard!$C$4),OR(Dashboard!$C$5="All",E354=Dashboard!$C$5)),1,0)</f>
        <v/>
      </c>
      <c r="Y354" s="43">
        <f>IF(AND(X354=1,S354="Yes"),O354+ROW()/1000000,0)</f>
        <v/>
      </c>
    </row>
    <row r="355">
      <c r="A355" s="35" t="inlineStr">
        <is>
          <t>LN100354</t>
        </is>
      </c>
      <c r="B355" s="35" t="inlineStr">
        <is>
          <t>Aarav Rao</t>
        </is>
      </c>
      <c r="C355" s="35" t="inlineStr">
        <is>
          <t>PAT-01</t>
        </is>
      </c>
      <c r="D355" s="36">
        <f>INDEX(Branches!$C$2:$C$15,MATCH(C355,Branches!$A$2:$A$15,0))</f>
        <v/>
      </c>
      <c r="E355" s="35" t="inlineStr">
        <is>
          <t>Home Loan</t>
        </is>
      </c>
      <c r="F355" s="37" t="n">
        <v>45765</v>
      </c>
      <c r="G355" s="38" t="n">
        <v>12832000</v>
      </c>
      <c r="H355" s="39" t="n">
        <v>0.0867</v>
      </c>
      <c r="I355" s="35" t="n">
        <v>240</v>
      </c>
      <c r="J355" s="35" t="n">
        <v>641</v>
      </c>
      <c r="K355" s="35" t="n">
        <v>0</v>
      </c>
      <c r="L355" s="40">
        <f>ROUND(PMT(H355/12,I355,-G355),0)</f>
        <v/>
      </c>
      <c r="M355" s="41">
        <f>MAX(0,(YEAR(AsOfDate)-YEAR(F355))*12+MONTH(AsOfDate)-MONTH(F355))</f>
        <v/>
      </c>
      <c r="N355" s="41">
        <f>MAX(0,MIN(I355,M355)-INT(K355/30))</f>
        <v/>
      </c>
      <c r="O355" s="40">
        <f>IF(N355&gt;=I355,0,ROUND(PV(H355/12,I355-N355,-L355),0))</f>
        <v/>
      </c>
      <c r="P355" s="40">
        <f>MIN(I355,M355)*L355-N355*L355</f>
        <v/>
      </c>
      <c r="Q355" s="41">
        <f>INDEX(DPD_Bucket,MATCH(K355,DPD_From,1))</f>
        <v/>
      </c>
      <c r="R355" s="41">
        <f>INDEX(DPD_Class,MATCH(K355,DPD_From,1))</f>
        <v/>
      </c>
      <c r="S355" s="41">
        <f>INDEX(DPD_NPA,MATCH(K355,DPD_From,1))</f>
        <v/>
      </c>
      <c r="T355" s="42">
        <f>INDEX(DPD_Prov,MATCH(K355,DPD_From,1))</f>
        <v/>
      </c>
      <c r="U355" s="40">
        <f>ROUND(O355*T355,0)</f>
        <v/>
      </c>
      <c r="V355" s="41">
        <f>INDEX(CIBIL_Grade,MATCH(J355,CIBIL_From,1))</f>
        <v/>
      </c>
      <c r="W355" s="41">
        <f>YEAR(F355)&amp;"-Q"&amp;ROUNDUP(MONTH(F355)/3,0)</f>
        <v/>
      </c>
      <c r="X355" s="41">
        <f>IF(AND(OR(Dashboard!$C$4="All",D355=Dashboard!$C$4),OR(Dashboard!$C$5="All",E355=Dashboard!$C$5)),1,0)</f>
        <v/>
      </c>
      <c r="Y355" s="43">
        <f>IF(AND(X355=1,S355="Yes"),O355+ROW()/1000000,0)</f>
        <v/>
      </c>
    </row>
    <row r="356">
      <c r="A356" s="35" t="inlineStr">
        <is>
          <t>LN100355</t>
        </is>
      </c>
      <c r="B356" s="35" t="inlineStr">
        <is>
          <t>Diya Joshi</t>
        </is>
      </c>
      <c r="C356" s="35" t="inlineStr">
        <is>
          <t>BBS-01</t>
        </is>
      </c>
      <c r="D356" s="36">
        <f>INDEX(Branches!$C$2:$C$15,MATCH(C356,Branches!$A$2:$A$15,0))</f>
        <v/>
      </c>
      <c r="E356" s="35" t="inlineStr">
        <is>
          <t>Personal Loan</t>
        </is>
      </c>
      <c r="F356" s="37" t="n">
        <v>45710</v>
      </c>
      <c r="G356" s="38" t="n">
        <v>828000</v>
      </c>
      <c r="H356" s="39" t="n">
        <v>0.1443</v>
      </c>
      <c r="I356" s="35" t="n">
        <v>24</v>
      </c>
      <c r="J356" s="35" t="n">
        <v>717</v>
      </c>
      <c r="K356" s="35" t="n">
        <v>79</v>
      </c>
      <c r="L356" s="40">
        <f>ROUND(PMT(H356/12,I356,-G356),0)</f>
        <v/>
      </c>
      <c r="M356" s="41">
        <f>MAX(0,(YEAR(AsOfDate)-YEAR(F356))*12+MONTH(AsOfDate)-MONTH(F356))</f>
        <v/>
      </c>
      <c r="N356" s="41">
        <f>MAX(0,MIN(I356,M356)-INT(K356/30))</f>
        <v/>
      </c>
      <c r="O356" s="40">
        <f>IF(N356&gt;=I356,0,ROUND(PV(H356/12,I356-N356,-L356),0))</f>
        <v/>
      </c>
      <c r="P356" s="40">
        <f>MIN(I356,M356)*L356-N356*L356</f>
        <v/>
      </c>
      <c r="Q356" s="41">
        <f>INDEX(DPD_Bucket,MATCH(K356,DPD_From,1))</f>
        <v/>
      </c>
      <c r="R356" s="41">
        <f>INDEX(DPD_Class,MATCH(K356,DPD_From,1))</f>
        <v/>
      </c>
      <c r="S356" s="41">
        <f>INDEX(DPD_NPA,MATCH(K356,DPD_From,1))</f>
        <v/>
      </c>
      <c r="T356" s="42">
        <f>INDEX(DPD_Prov,MATCH(K356,DPD_From,1))</f>
        <v/>
      </c>
      <c r="U356" s="40">
        <f>ROUND(O356*T356,0)</f>
        <v/>
      </c>
      <c r="V356" s="41">
        <f>INDEX(CIBIL_Grade,MATCH(J356,CIBIL_From,1))</f>
        <v/>
      </c>
      <c r="W356" s="41">
        <f>YEAR(F356)&amp;"-Q"&amp;ROUNDUP(MONTH(F356)/3,0)</f>
        <v/>
      </c>
      <c r="X356" s="41">
        <f>IF(AND(OR(Dashboard!$C$4="All",D356=Dashboard!$C$4),OR(Dashboard!$C$5="All",E356=Dashboard!$C$5)),1,0)</f>
        <v/>
      </c>
      <c r="Y356" s="43">
        <f>IF(AND(X356=1,S356="Yes"),O356+ROW()/1000000,0)</f>
        <v/>
      </c>
    </row>
    <row r="357">
      <c r="A357" s="35" t="inlineStr">
        <is>
          <t>LN100356</t>
        </is>
      </c>
      <c r="B357" s="35" t="inlineStr">
        <is>
          <t>Pooja Menon</t>
        </is>
      </c>
      <c r="C357" s="35" t="inlineStr">
        <is>
          <t>PAT-01</t>
        </is>
      </c>
      <c r="D357" s="36">
        <f>INDEX(Branches!$C$2:$C$15,MATCH(C357,Branches!$A$2:$A$15,0))</f>
        <v/>
      </c>
      <c r="E357" s="35" t="inlineStr">
        <is>
          <t>Personal Loan</t>
        </is>
      </c>
      <c r="F357" s="37" t="n">
        <v>45472</v>
      </c>
      <c r="G357" s="38" t="n">
        <v>364000</v>
      </c>
      <c r="H357" s="39" t="n">
        <v>0.1761</v>
      </c>
      <c r="I357" s="35" t="n">
        <v>24</v>
      </c>
      <c r="J357" s="35" t="n">
        <v>687</v>
      </c>
      <c r="K357" s="35" t="n">
        <v>0</v>
      </c>
      <c r="L357" s="40">
        <f>ROUND(PMT(H357/12,I357,-G357),0)</f>
        <v/>
      </c>
      <c r="M357" s="41">
        <f>MAX(0,(YEAR(AsOfDate)-YEAR(F357))*12+MONTH(AsOfDate)-MONTH(F357))</f>
        <v/>
      </c>
      <c r="N357" s="41">
        <f>MAX(0,MIN(I357,M357)-INT(K357/30))</f>
        <v/>
      </c>
      <c r="O357" s="40">
        <f>IF(N357&gt;=I357,0,ROUND(PV(H357/12,I357-N357,-L357),0))</f>
        <v/>
      </c>
      <c r="P357" s="40">
        <f>MIN(I357,M357)*L357-N357*L357</f>
        <v/>
      </c>
      <c r="Q357" s="41">
        <f>INDEX(DPD_Bucket,MATCH(K357,DPD_From,1))</f>
        <v/>
      </c>
      <c r="R357" s="41">
        <f>INDEX(DPD_Class,MATCH(K357,DPD_From,1))</f>
        <v/>
      </c>
      <c r="S357" s="41">
        <f>INDEX(DPD_NPA,MATCH(K357,DPD_From,1))</f>
        <v/>
      </c>
      <c r="T357" s="42">
        <f>INDEX(DPD_Prov,MATCH(K357,DPD_From,1))</f>
        <v/>
      </c>
      <c r="U357" s="40">
        <f>ROUND(O357*T357,0)</f>
        <v/>
      </c>
      <c r="V357" s="41">
        <f>INDEX(CIBIL_Grade,MATCH(J357,CIBIL_From,1))</f>
        <v/>
      </c>
      <c r="W357" s="41">
        <f>YEAR(F357)&amp;"-Q"&amp;ROUNDUP(MONTH(F357)/3,0)</f>
        <v/>
      </c>
      <c r="X357" s="41">
        <f>IF(AND(OR(Dashboard!$C$4="All",D357=Dashboard!$C$4),OR(Dashboard!$C$5="All",E357=Dashboard!$C$5)),1,0)</f>
        <v/>
      </c>
      <c r="Y357" s="43">
        <f>IF(AND(X357=1,S357="Yes"),O357+ROW()/1000000,0)</f>
        <v/>
      </c>
    </row>
    <row r="358">
      <c r="A358" s="35" t="inlineStr">
        <is>
          <t>LN100357</t>
        </is>
      </c>
      <c r="B358" s="35" t="inlineStr">
        <is>
          <t>Zoya Sharma</t>
        </is>
      </c>
      <c r="C358" s="35" t="inlineStr">
        <is>
          <t>JAI-01</t>
        </is>
      </c>
      <c r="D358" s="36">
        <f>INDEX(Branches!$C$2:$C$15,MATCH(C358,Branches!$A$2:$A$15,0))</f>
        <v/>
      </c>
      <c r="E358" s="35" t="inlineStr">
        <is>
          <t>Gold Loan</t>
        </is>
      </c>
      <c r="F358" s="37" t="n">
        <v>46134</v>
      </c>
      <c r="G358" s="38" t="n">
        <v>277000</v>
      </c>
      <c r="H358" s="39" t="n">
        <v>0.09370000000000001</v>
      </c>
      <c r="I358" s="35" t="n">
        <v>12</v>
      </c>
      <c r="J358" s="35" t="n">
        <v>746</v>
      </c>
      <c r="K358" s="35" t="n">
        <v>0</v>
      </c>
      <c r="L358" s="40">
        <f>ROUND(PMT(H358/12,I358,-G358),0)</f>
        <v/>
      </c>
      <c r="M358" s="41">
        <f>MAX(0,(YEAR(AsOfDate)-YEAR(F358))*12+MONTH(AsOfDate)-MONTH(F358))</f>
        <v/>
      </c>
      <c r="N358" s="41">
        <f>MAX(0,MIN(I358,M358)-INT(K358/30))</f>
        <v/>
      </c>
      <c r="O358" s="40">
        <f>IF(N358&gt;=I358,0,ROUND(PV(H358/12,I358-N358,-L358),0))</f>
        <v/>
      </c>
      <c r="P358" s="40">
        <f>MIN(I358,M358)*L358-N358*L358</f>
        <v/>
      </c>
      <c r="Q358" s="41">
        <f>INDEX(DPD_Bucket,MATCH(K358,DPD_From,1))</f>
        <v/>
      </c>
      <c r="R358" s="41">
        <f>INDEX(DPD_Class,MATCH(K358,DPD_From,1))</f>
        <v/>
      </c>
      <c r="S358" s="41">
        <f>INDEX(DPD_NPA,MATCH(K358,DPD_From,1))</f>
        <v/>
      </c>
      <c r="T358" s="42">
        <f>INDEX(DPD_Prov,MATCH(K358,DPD_From,1))</f>
        <v/>
      </c>
      <c r="U358" s="40">
        <f>ROUND(O358*T358,0)</f>
        <v/>
      </c>
      <c r="V358" s="41">
        <f>INDEX(CIBIL_Grade,MATCH(J358,CIBIL_From,1))</f>
        <v/>
      </c>
      <c r="W358" s="41">
        <f>YEAR(F358)&amp;"-Q"&amp;ROUNDUP(MONTH(F358)/3,0)</f>
        <v/>
      </c>
      <c r="X358" s="41">
        <f>IF(AND(OR(Dashboard!$C$4="All",D358=Dashboard!$C$4),OR(Dashboard!$C$5="All",E358=Dashboard!$C$5)),1,0)</f>
        <v/>
      </c>
      <c r="Y358" s="43">
        <f>IF(AND(X358=1,S358="Yes"),O358+ROW()/1000000,0)</f>
        <v/>
      </c>
    </row>
    <row r="359">
      <c r="A359" s="35" t="inlineStr">
        <is>
          <t>LN100358</t>
        </is>
      </c>
      <c r="B359" s="35" t="inlineStr">
        <is>
          <t>Ananya Kulkarni</t>
        </is>
      </c>
      <c r="C359" s="35" t="inlineStr">
        <is>
          <t>JAI-01</t>
        </is>
      </c>
      <c r="D359" s="36">
        <f>INDEX(Branches!$C$2:$C$15,MATCH(C359,Branches!$A$2:$A$15,0))</f>
        <v/>
      </c>
      <c r="E359" s="35" t="inlineStr">
        <is>
          <t>Business Loan</t>
        </is>
      </c>
      <c r="F359" s="37" t="n">
        <v>45405</v>
      </c>
      <c r="G359" s="38" t="n">
        <v>719000</v>
      </c>
      <c r="H359" s="39" t="n">
        <v>0.1996</v>
      </c>
      <c r="I359" s="35" t="n">
        <v>12</v>
      </c>
      <c r="J359" s="35" t="n">
        <v>822</v>
      </c>
      <c r="K359" s="35" t="n">
        <v>0</v>
      </c>
      <c r="L359" s="40">
        <f>ROUND(PMT(H359/12,I359,-G359),0)</f>
        <v/>
      </c>
      <c r="M359" s="41">
        <f>MAX(0,(YEAR(AsOfDate)-YEAR(F359))*12+MONTH(AsOfDate)-MONTH(F359))</f>
        <v/>
      </c>
      <c r="N359" s="41">
        <f>MAX(0,MIN(I359,M359)-INT(K359/30))</f>
        <v/>
      </c>
      <c r="O359" s="40">
        <f>IF(N359&gt;=I359,0,ROUND(PV(H359/12,I359-N359,-L359),0))</f>
        <v/>
      </c>
      <c r="P359" s="40">
        <f>MIN(I359,M359)*L359-N359*L359</f>
        <v/>
      </c>
      <c r="Q359" s="41">
        <f>INDEX(DPD_Bucket,MATCH(K359,DPD_From,1))</f>
        <v/>
      </c>
      <c r="R359" s="41">
        <f>INDEX(DPD_Class,MATCH(K359,DPD_From,1))</f>
        <v/>
      </c>
      <c r="S359" s="41">
        <f>INDEX(DPD_NPA,MATCH(K359,DPD_From,1))</f>
        <v/>
      </c>
      <c r="T359" s="42">
        <f>INDEX(DPD_Prov,MATCH(K359,DPD_From,1))</f>
        <v/>
      </c>
      <c r="U359" s="40">
        <f>ROUND(O359*T359,0)</f>
        <v/>
      </c>
      <c r="V359" s="41">
        <f>INDEX(CIBIL_Grade,MATCH(J359,CIBIL_From,1))</f>
        <v/>
      </c>
      <c r="W359" s="41">
        <f>YEAR(F359)&amp;"-Q"&amp;ROUNDUP(MONTH(F359)/3,0)</f>
        <v/>
      </c>
      <c r="X359" s="41">
        <f>IF(AND(OR(Dashboard!$C$4="All",D359=Dashboard!$C$4),OR(Dashboard!$C$5="All",E359=Dashboard!$C$5)),1,0)</f>
        <v/>
      </c>
      <c r="Y359" s="43">
        <f>IF(AND(X359=1,S359="Yes"),O359+ROW()/1000000,0)</f>
        <v/>
      </c>
    </row>
    <row r="360">
      <c r="A360" s="35" t="inlineStr">
        <is>
          <t>LN100359</t>
        </is>
      </c>
      <c r="B360" s="35" t="inlineStr">
        <is>
          <t>Rohan Gupta</t>
        </is>
      </c>
      <c r="C360" s="35" t="inlineStr">
        <is>
          <t>DEL-01</t>
        </is>
      </c>
      <c r="D360" s="36">
        <f>INDEX(Branches!$C$2:$C$15,MATCH(C360,Branches!$A$2:$A$15,0))</f>
        <v/>
      </c>
      <c r="E360" s="35" t="inlineStr">
        <is>
          <t>Personal Loan</t>
        </is>
      </c>
      <c r="F360" s="37" t="n">
        <v>46075</v>
      </c>
      <c r="G360" s="38" t="n">
        <v>1083000</v>
      </c>
      <c r="H360" s="39" t="n">
        <v>0.1204</v>
      </c>
      <c r="I360" s="35" t="n">
        <v>12</v>
      </c>
      <c r="J360" s="35" t="n">
        <v>713</v>
      </c>
      <c r="K360" s="35" t="n">
        <v>0</v>
      </c>
      <c r="L360" s="40">
        <f>ROUND(PMT(H360/12,I360,-G360),0)</f>
        <v/>
      </c>
      <c r="M360" s="41">
        <f>MAX(0,(YEAR(AsOfDate)-YEAR(F360))*12+MONTH(AsOfDate)-MONTH(F360))</f>
        <v/>
      </c>
      <c r="N360" s="41">
        <f>MAX(0,MIN(I360,M360)-INT(K360/30))</f>
        <v/>
      </c>
      <c r="O360" s="40">
        <f>IF(N360&gt;=I360,0,ROUND(PV(H360/12,I360-N360,-L360),0))</f>
        <v/>
      </c>
      <c r="P360" s="40">
        <f>MIN(I360,M360)*L360-N360*L360</f>
        <v/>
      </c>
      <c r="Q360" s="41">
        <f>INDEX(DPD_Bucket,MATCH(K360,DPD_From,1))</f>
        <v/>
      </c>
      <c r="R360" s="41">
        <f>INDEX(DPD_Class,MATCH(K360,DPD_From,1))</f>
        <v/>
      </c>
      <c r="S360" s="41">
        <f>INDEX(DPD_NPA,MATCH(K360,DPD_From,1))</f>
        <v/>
      </c>
      <c r="T360" s="42">
        <f>INDEX(DPD_Prov,MATCH(K360,DPD_From,1))</f>
        <v/>
      </c>
      <c r="U360" s="40">
        <f>ROUND(O360*T360,0)</f>
        <v/>
      </c>
      <c r="V360" s="41">
        <f>INDEX(CIBIL_Grade,MATCH(J360,CIBIL_From,1))</f>
        <v/>
      </c>
      <c r="W360" s="41">
        <f>YEAR(F360)&amp;"-Q"&amp;ROUNDUP(MONTH(F360)/3,0)</f>
        <v/>
      </c>
      <c r="X360" s="41">
        <f>IF(AND(OR(Dashboard!$C$4="All",D360=Dashboard!$C$4),OR(Dashboard!$C$5="All",E360=Dashboard!$C$5)),1,0)</f>
        <v/>
      </c>
      <c r="Y360" s="43">
        <f>IF(AND(X360=1,S360="Yes"),O360+ROW()/1000000,0)</f>
        <v/>
      </c>
    </row>
    <row r="361">
      <c r="A361" s="35" t="inlineStr">
        <is>
          <t>LN100360</t>
        </is>
      </c>
      <c r="B361" s="35" t="inlineStr">
        <is>
          <t>Arjun Chatterjee</t>
        </is>
      </c>
      <c r="C361" s="35" t="inlineStr">
        <is>
          <t>MUM-01</t>
        </is>
      </c>
      <c r="D361" s="36">
        <f>INDEX(Branches!$C$2:$C$15,MATCH(C361,Branches!$A$2:$A$15,0))</f>
        <v/>
      </c>
      <c r="E361" s="35" t="inlineStr">
        <is>
          <t>Personal Loan</t>
        </is>
      </c>
      <c r="F361" s="37" t="n">
        <v>45557</v>
      </c>
      <c r="G361" s="38" t="n">
        <v>972000</v>
      </c>
      <c r="H361" s="39" t="n">
        <v>0.1576</v>
      </c>
      <c r="I361" s="35" t="n">
        <v>12</v>
      </c>
      <c r="J361" s="35" t="n">
        <v>681</v>
      </c>
      <c r="K361" s="35" t="n">
        <v>0</v>
      </c>
      <c r="L361" s="40">
        <f>ROUND(PMT(H361/12,I361,-G361),0)</f>
        <v/>
      </c>
      <c r="M361" s="41">
        <f>MAX(0,(YEAR(AsOfDate)-YEAR(F361))*12+MONTH(AsOfDate)-MONTH(F361))</f>
        <v/>
      </c>
      <c r="N361" s="41">
        <f>MAX(0,MIN(I361,M361)-INT(K361/30))</f>
        <v/>
      </c>
      <c r="O361" s="40">
        <f>IF(N361&gt;=I361,0,ROUND(PV(H361/12,I361-N361,-L361),0))</f>
        <v/>
      </c>
      <c r="P361" s="40">
        <f>MIN(I361,M361)*L361-N361*L361</f>
        <v/>
      </c>
      <c r="Q361" s="41">
        <f>INDEX(DPD_Bucket,MATCH(K361,DPD_From,1))</f>
        <v/>
      </c>
      <c r="R361" s="41">
        <f>INDEX(DPD_Class,MATCH(K361,DPD_From,1))</f>
        <v/>
      </c>
      <c r="S361" s="41">
        <f>INDEX(DPD_NPA,MATCH(K361,DPD_From,1))</f>
        <v/>
      </c>
      <c r="T361" s="42">
        <f>INDEX(DPD_Prov,MATCH(K361,DPD_From,1))</f>
        <v/>
      </c>
      <c r="U361" s="40">
        <f>ROUND(O361*T361,0)</f>
        <v/>
      </c>
      <c r="V361" s="41">
        <f>INDEX(CIBIL_Grade,MATCH(J361,CIBIL_From,1))</f>
        <v/>
      </c>
      <c r="W361" s="41">
        <f>YEAR(F361)&amp;"-Q"&amp;ROUNDUP(MONTH(F361)/3,0)</f>
        <v/>
      </c>
      <c r="X361" s="41">
        <f>IF(AND(OR(Dashboard!$C$4="All",D361=Dashboard!$C$4),OR(Dashboard!$C$5="All",E361=Dashboard!$C$5)),1,0)</f>
        <v/>
      </c>
      <c r="Y361" s="43">
        <f>IF(AND(X361=1,S361="Yes"),O361+ROW()/1000000,0)</f>
        <v/>
      </c>
    </row>
    <row r="362">
      <c r="A362" s="35" t="inlineStr">
        <is>
          <t>LN100361</t>
        </is>
      </c>
      <c r="B362" s="35" t="inlineStr">
        <is>
          <t>Arjun Pillai</t>
        </is>
      </c>
      <c r="C362" s="35" t="inlineStr">
        <is>
          <t>KOC-01</t>
        </is>
      </c>
      <c r="D362" s="36">
        <f>INDEX(Branches!$C$2:$C$15,MATCH(C362,Branches!$A$2:$A$15,0))</f>
        <v/>
      </c>
      <c r="E362" s="35" t="inlineStr">
        <is>
          <t>Auto Loan</t>
        </is>
      </c>
      <c r="F362" s="37" t="n">
        <v>45126</v>
      </c>
      <c r="G362" s="38" t="n">
        <v>1374000</v>
      </c>
      <c r="H362" s="39" t="n">
        <v>0.1131</v>
      </c>
      <c r="I362" s="35" t="n">
        <v>36</v>
      </c>
      <c r="J362" s="35" t="n">
        <v>729</v>
      </c>
      <c r="K362" s="35" t="n">
        <v>0</v>
      </c>
      <c r="L362" s="40">
        <f>ROUND(PMT(H362/12,I362,-G362),0)</f>
        <v/>
      </c>
      <c r="M362" s="41">
        <f>MAX(0,(YEAR(AsOfDate)-YEAR(F362))*12+MONTH(AsOfDate)-MONTH(F362))</f>
        <v/>
      </c>
      <c r="N362" s="41">
        <f>MAX(0,MIN(I362,M362)-INT(K362/30))</f>
        <v/>
      </c>
      <c r="O362" s="40">
        <f>IF(N362&gt;=I362,0,ROUND(PV(H362/12,I362-N362,-L362),0))</f>
        <v/>
      </c>
      <c r="P362" s="40">
        <f>MIN(I362,M362)*L362-N362*L362</f>
        <v/>
      </c>
      <c r="Q362" s="41">
        <f>INDEX(DPD_Bucket,MATCH(K362,DPD_From,1))</f>
        <v/>
      </c>
      <c r="R362" s="41">
        <f>INDEX(DPD_Class,MATCH(K362,DPD_From,1))</f>
        <v/>
      </c>
      <c r="S362" s="41">
        <f>INDEX(DPD_NPA,MATCH(K362,DPD_From,1))</f>
        <v/>
      </c>
      <c r="T362" s="42">
        <f>INDEX(DPD_Prov,MATCH(K362,DPD_From,1))</f>
        <v/>
      </c>
      <c r="U362" s="40">
        <f>ROUND(O362*T362,0)</f>
        <v/>
      </c>
      <c r="V362" s="41">
        <f>INDEX(CIBIL_Grade,MATCH(J362,CIBIL_From,1))</f>
        <v/>
      </c>
      <c r="W362" s="41">
        <f>YEAR(F362)&amp;"-Q"&amp;ROUNDUP(MONTH(F362)/3,0)</f>
        <v/>
      </c>
      <c r="X362" s="41">
        <f>IF(AND(OR(Dashboard!$C$4="All",D362=Dashboard!$C$4),OR(Dashboard!$C$5="All",E362=Dashboard!$C$5)),1,0)</f>
        <v/>
      </c>
      <c r="Y362" s="43">
        <f>IF(AND(X362=1,S362="Yes"),O362+ROW()/1000000,0)</f>
        <v/>
      </c>
    </row>
    <row r="363">
      <c r="A363" s="35" t="inlineStr">
        <is>
          <t>LN100362</t>
        </is>
      </c>
      <c r="B363" s="35" t="inlineStr">
        <is>
          <t>Diya Patel</t>
        </is>
      </c>
      <c r="C363" s="35" t="inlineStr">
        <is>
          <t>BLR-01</t>
        </is>
      </c>
      <c r="D363" s="36">
        <f>INDEX(Branches!$C$2:$C$15,MATCH(C363,Branches!$A$2:$A$15,0))</f>
        <v/>
      </c>
      <c r="E363" s="35" t="inlineStr">
        <is>
          <t>Business Loan</t>
        </is>
      </c>
      <c r="F363" s="37" t="n">
        <v>45440</v>
      </c>
      <c r="G363" s="38" t="n">
        <v>2967000</v>
      </c>
      <c r="H363" s="39" t="n">
        <v>0.1937</v>
      </c>
      <c r="I363" s="35" t="n">
        <v>24</v>
      </c>
      <c r="J363" s="35" t="n">
        <v>707</v>
      </c>
      <c r="K363" s="35" t="n">
        <v>0</v>
      </c>
      <c r="L363" s="40">
        <f>ROUND(PMT(H363/12,I363,-G363),0)</f>
        <v/>
      </c>
      <c r="M363" s="41">
        <f>MAX(0,(YEAR(AsOfDate)-YEAR(F363))*12+MONTH(AsOfDate)-MONTH(F363))</f>
        <v/>
      </c>
      <c r="N363" s="41">
        <f>MAX(0,MIN(I363,M363)-INT(K363/30))</f>
        <v/>
      </c>
      <c r="O363" s="40">
        <f>IF(N363&gt;=I363,0,ROUND(PV(H363/12,I363-N363,-L363),0))</f>
        <v/>
      </c>
      <c r="P363" s="40">
        <f>MIN(I363,M363)*L363-N363*L363</f>
        <v/>
      </c>
      <c r="Q363" s="41">
        <f>INDEX(DPD_Bucket,MATCH(K363,DPD_From,1))</f>
        <v/>
      </c>
      <c r="R363" s="41">
        <f>INDEX(DPD_Class,MATCH(K363,DPD_From,1))</f>
        <v/>
      </c>
      <c r="S363" s="41">
        <f>INDEX(DPD_NPA,MATCH(K363,DPD_From,1))</f>
        <v/>
      </c>
      <c r="T363" s="42">
        <f>INDEX(DPD_Prov,MATCH(K363,DPD_From,1))</f>
        <v/>
      </c>
      <c r="U363" s="40">
        <f>ROUND(O363*T363,0)</f>
        <v/>
      </c>
      <c r="V363" s="41">
        <f>INDEX(CIBIL_Grade,MATCH(J363,CIBIL_From,1))</f>
        <v/>
      </c>
      <c r="W363" s="41">
        <f>YEAR(F363)&amp;"-Q"&amp;ROUNDUP(MONTH(F363)/3,0)</f>
        <v/>
      </c>
      <c r="X363" s="41">
        <f>IF(AND(OR(Dashboard!$C$4="All",D363=Dashboard!$C$4),OR(Dashboard!$C$5="All",E363=Dashboard!$C$5)),1,0)</f>
        <v/>
      </c>
      <c r="Y363" s="43">
        <f>IF(AND(X363=1,S363="Yes"),O363+ROW()/1000000,0)</f>
        <v/>
      </c>
    </row>
    <row r="364">
      <c r="A364" s="35" t="inlineStr">
        <is>
          <t>LN100363</t>
        </is>
      </c>
      <c r="B364" s="35" t="inlineStr">
        <is>
          <t>Zoya Nair</t>
        </is>
      </c>
      <c r="C364" s="35" t="inlineStr">
        <is>
          <t>MUM-01</t>
        </is>
      </c>
      <c r="D364" s="36">
        <f>INDEX(Branches!$C$2:$C$15,MATCH(C364,Branches!$A$2:$A$15,0))</f>
        <v/>
      </c>
      <c r="E364" s="35" t="inlineStr">
        <is>
          <t>Personal Loan</t>
        </is>
      </c>
      <c r="F364" s="37" t="n">
        <v>45496</v>
      </c>
      <c r="G364" s="38" t="n">
        <v>1002000</v>
      </c>
      <c r="H364" s="39" t="n">
        <v>0.1393</v>
      </c>
      <c r="I364" s="35" t="n">
        <v>48</v>
      </c>
      <c r="J364" s="35" t="n">
        <v>735</v>
      </c>
      <c r="K364" s="35" t="n">
        <v>4</v>
      </c>
      <c r="L364" s="40">
        <f>ROUND(PMT(H364/12,I364,-G364),0)</f>
        <v/>
      </c>
      <c r="M364" s="41">
        <f>MAX(0,(YEAR(AsOfDate)-YEAR(F364))*12+MONTH(AsOfDate)-MONTH(F364))</f>
        <v/>
      </c>
      <c r="N364" s="41">
        <f>MAX(0,MIN(I364,M364)-INT(K364/30))</f>
        <v/>
      </c>
      <c r="O364" s="40">
        <f>IF(N364&gt;=I364,0,ROUND(PV(H364/12,I364-N364,-L364),0))</f>
        <v/>
      </c>
      <c r="P364" s="40">
        <f>MIN(I364,M364)*L364-N364*L364</f>
        <v/>
      </c>
      <c r="Q364" s="41">
        <f>INDEX(DPD_Bucket,MATCH(K364,DPD_From,1))</f>
        <v/>
      </c>
      <c r="R364" s="41">
        <f>INDEX(DPD_Class,MATCH(K364,DPD_From,1))</f>
        <v/>
      </c>
      <c r="S364" s="41">
        <f>INDEX(DPD_NPA,MATCH(K364,DPD_From,1))</f>
        <v/>
      </c>
      <c r="T364" s="42">
        <f>INDEX(DPD_Prov,MATCH(K364,DPD_From,1))</f>
        <v/>
      </c>
      <c r="U364" s="40">
        <f>ROUND(O364*T364,0)</f>
        <v/>
      </c>
      <c r="V364" s="41">
        <f>INDEX(CIBIL_Grade,MATCH(J364,CIBIL_From,1))</f>
        <v/>
      </c>
      <c r="W364" s="41">
        <f>YEAR(F364)&amp;"-Q"&amp;ROUNDUP(MONTH(F364)/3,0)</f>
        <v/>
      </c>
      <c r="X364" s="41">
        <f>IF(AND(OR(Dashboard!$C$4="All",D364=Dashboard!$C$4),OR(Dashboard!$C$5="All",E364=Dashboard!$C$5)),1,0)</f>
        <v/>
      </c>
      <c r="Y364" s="43">
        <f>IF(AND(X364=1,S364="Yes"),O364+ROW()/1000000,0)</f>
        <v/>
      </c>
    </row>
    <row r="365">
      <c r="A365" s="35" t="inlineStr">
        <is>
          <t>LN100364</t>
        </is>
      </c>
      <c r="B365" s="35" t="inlineStr">
        <is>
          <t>Tanvi Patel</t>
        </is>
      </c>
      <c r="C365" s="35" t="inlineStr">
        <is>
          <t>GUW-01</t>
        </is>
      </c>
      <c r="D365" s="36">
        <f>INDEX(Branches!$C$2:$C$15,MATCH(C365,Branches!$A$2:$A$15,0))</f>
        <v/>
      </c>
      <c r="E365" s="35" t="inlineStr">
        <is>
          <t>Gold Loan</t>
        </is>
      </c>
      <c r="F365" s="37" t="n">
        <v>45223</v>
      </c>
      <c r="G365" s="38" t="n">
        <v>68000</v>
      </c>
      <c r="H365" s="39" t="n">
        <v>0.0987</v>
      </c>
      <c r="I365" s="35" t="n">
        <v>12</v>
      </c>
      <c r="J365" s="35" t="n">
        <v>743</v>
      </c>
      <c r="K365" s="35" t="n">
        <v>0</v>
      </c>
      <c r="L365" s="40">
        <f>ROUND(PMT(H365/12,I365,-G365),0)</f>
        <v/>
      </c>
      <c r="M365" s="41">
        <f>MAX(0,(YEAR(AsOfDate)-YEAR(F365))*12+MONTH(AsOfDate)-MONTH(F365))</f>
        <v/>
      </c>
      <c r="N365" s="41">
        <f>MAX(0,MIN(I365,M365)-INT(K365/30))</f>
        <v/>
      </c>
      <c r="O365" s="40">
        <f>IF(N365&gt;=I365,0,ROUND(PV(H365/12,I365-N365,-L365),0))</f>
        <v/>
      </c>
      <c r="P365" s="40">
        <f>MIN(I365,M365)*L365-N365*L365</f>
        <v/>
      </c>
      <c r="Q365" s="41">
        <f>INDEX(DPD_Bucket,MATCH(K365,DPD_From,1))</f>
        <v/>
      </c>
      <c r="R365" s="41">
        <f>INDEX(DPD_Class,MATCH(K365,DPD_From,1))</f>
        <v/>
      </c>
      <c r="S365" s="41">
        <f>INDEX(DPD_NPA,MATCH(K365,DPD_From,1))</f>
        <v/>
      </c>
      <c r="T365" s="42">
        <f>INDEX(DPD_Prov,MATCH(K365,DPD_From,1))</f>
        <v/>
      </c>
      <c r="U365" s="40">
        <f>ROUND(O365*T365,0)</f>
        <v/>
      </c>
      <c r="V365" s="41">
        <f>INDEX(CIBIL_Grade,MATCH(J365,CIBIL_From,1))</f>
        <v/>
      </c>
      <c r="W365" s="41">
        <f>YEAR(F365)&amp;"-Q"&amp;ROUNDUP(MONTH(F365)/3,0)</f>
        <v/>
      </c>
      <c r="X365" s="41">
        <f>IF(AND(OR(Dashboard!$C$4="All",D365=Dashboard!$C$4),OR(Dashboard!$C$5="All",E365=Dashboard!$C$5)),1,0)</f>
        <v/>
      </c>
      <c r="Y365" s="43">
        <f>IF(AND(X365=1,S365="Yes"),O365+ROW()/1000000,0)</f>
        <v/>
      </c>
    </row>
    <row r="366">
      <c r="A366" s="35" t="inlineStr">
        <is>
          <t>LN100365</t>
        </is>
      </c>
      <c r="B366" s="35" t="inlineStr">
        <is>
          <t>Vivaan Sharma</t>
        </is>
      </c>
      <c r="C366" s="35" t="inlineStr">
        <is>
          <t>GUW-01</t>
        </is>
      </c>
      <c r="D366" s="36">
        <f>INDEX(Branches!$C$2:$C$15,MATCH(C366,Branches!$A$2:$A$15,0))</f>
        <v/>
      </c>
      <c r="E366" s="35" t="inlineStr">
        <is>
          <t>Business Loan</t>
        </is>
      </c>
      <c r="F366" s="37" t="n">
        <v>45301</v>
      </c>
      <c r="G366" s="38" t="n">
        <v>1123000</v>
      </c>
      <c r="H366" s="39" t="n">
        <v>0.1753</v>
      </c>
      <c r="I366" s="35" t="n">
        <v>36</v>
      </c>
      <c r="J366" s="35" t="n">
        <v>733</v>
      </c>
      <c r="K366" s="35" t="n">
        <v>0</v>
      </c>
      <c r="L366" s="40">
        <f>ROUND(PMT(H366/12,I366,-G366),0)</f>
        <v/>
      </c>
      <c r="M366" s="41">
        <f>MAX(0,(YEAR(AsOfDate)-YEAR(F366))*12+MONTH(AsOfDate)-MONTH(F366))</f>
        <v/>
      </c>
      <c r="N366" s="41">
        <f>MAX(0,MIN(I366,M366)-INT(K366/30))</f>
        <v/>
      </c>
      <c r="O366" s="40">
        <f>IF(N366&gt;=I366,0,ROUND(PV(H366/12,I366-N366,-L366),0))</f>
        <v/>
      </c>
      <c r="P366" s="40">
        <f>MIN(I366,M366)*L366-N366*L366</f>
        <v/>
      </c>
      <c r="Q366" s="41">
        <f>INDEX(DPD_Bucket,MATCH(K366,DPD_From,1))</f>
        <v/>
      </c>
      <c r="R366" s="41">
        <f>INDEX(DPD_Class,MATCH(K366,DPD_From,1))</f>
        <v/>
      </c>
      <c r="S366" s="41">
        <f>INDEX(DPD_NPA,MATCH(K366,DPD_From,1))</f>
        <v/>
      </c>
      <c r="T366" s="42">
        <f>INDEX(DPD_Prov,MATCH(K366,DPD_From,1))</f>
        <v/>
      </c>
      <c r="U366" s="40">
        <f>ROUND(O366*T366,0)</f>
        <v/>
      </c>
      <c r="V366" s="41">
        <f>INDEX(CIBIL_Grade,MATCH(J366,CIBIL_From,1))</f>
        <v/>
      </c>
      <c r="W366" s="41">
        <f>YEAR(F366)&amp;"-Q"&amp;ROUNDUP(MONTH(F366)/3,0)</f>
        <v/>
      </c>
      <c r="X366" s="41">
        <f>IF(AND(OR(Dashboard!$C$4="All",D366=Dashboard!$C$4),OR(Dashboard!$C$5="All",E366=Dashboard!$C$5)),1,0)</f>
        <v/>
      </c>
      <c r="Y366" s="43">
        <f>IF(AND(X366=1,S366="Yes"),O366+ROW()/1000000,0)</f>
        <v/>
      </c>
    </row>
    <row r="367">
      <c r="A367" s="35" t="inlineStr">
        <is>
          <t>LN100366</t>
        </is>
      </c>
      <c r="B367" s="35" t="inlineStr">
        <is>
          <t>Aditya Menon</t>
        </is>
      </c>
      <c r="C367" s="35" t="inlineStr">
        <is>
          <t>GUW-01</t>
        </is>
      </c>
      <c r="D367" s="36">
        <f>INDEX(Branches!$C$2:$C$15,MATCH(C367,Branches!$A$2:$A$15,0))</f>
        <v/>
      </c>
      <c r="E367" s="35" t="inlineStr">
        <is>
          <t>Auto Loan</t>
        </is>
      </c>
      <c r="F367" s="37" t="n">
        <v>45624</v>
      </c>
      <c r="G367" s="38" t="n">
        <v>948000</v>
      </c>
      <c r="H367" s="39" t="n">
        <v>0.0925</v>
      </c>
      <c r="I367" s="35" t="n">
        <v>84</v>
      </c>
      <c r="J367" s="35" t="n">
        <v>710</v>
      </c>
      <c r="K367" s="35" t="n">
        <v>0</v>
      </c>
      <c r="L367" s="40">
        <f>ROUND(PMT(H367/12,I367,-G367),0)</f>
        <v/>
      </c>
      <c r="M367" s="41">
        <f>MAX(0,(YEAR(AsOfDate)-YEAR(F367))*12+MONTH(AsOfDate)-MONTH(F367))</f>
        <v/>
      </c>
      <c r="N367" s="41">
        <f>MAX(0,MIN(I367,M367)-INT(K367/30))</f>
        <v/>
      </c>
      <c r="O367" s="40">
        <f>IF(N367&gt;=I367,0,ROUND(PV(H367/12,I367-N367,-L367),0))</f>
        <v/>
      </c>
      <c r="P367" s="40">
        <f>MIN(I367,M367)*L367-N367*L367</f>
        <v/>
      </c>
      <c r="Q367" s="41">
        <f>INDEX(DPD_Bucket,MATCH(K367,DPD_From,1))</f>
        <v/>
      </c>
      <c r="R367" s="41">
        <f>INDEX(DPD_Class,MATCH(K367,DPD_From,1))</f>
        <v/>
      </c>
      <c r="S367" s="41">
        <f>INDEX(DPD_NPA,MATCH(K367,DPD_From,1))</f>
        <v/>
      </c>
      <c r="T367" s="42">
        <f>INDEX(DPD_Prov,MATCH(K367,DPD_From,1))</f>
        <v/>
      </c>
      <c r="U367" s="40">
        <f>ROUND(O367*T367,0)</f>
        <v/>
      </c>
      <c r="V367" s="41">
        <f>INDEX(CIBIL_Grade,MATCH(J367,CIBIL_From,1))</f>
        <v/>
      </c>
      <c r="W367" s="41">
        <f>YEAR(F367)&amp;"-Q"&amp;ROUNDUP(MONTH(F367)/3,0)</f>
        <v/>
      </c>
      <c r="X367" s="41">
        <f>IF(AND(OR(Dashboard!$C$4="All",D367=Dashboard!$C$4),OR(Dashboard!$C$5="All",E367=Dashboard!$C$5)),1,0)</f>
        <v/>
      </c>
      <c r="Y367" s="43">
        <f>IF(AND(X367=1,S367="Yes"),O367+ROW()/1000000,0)</f>
        <v/>
      </c>
    </row>
    <row r="368">
      <c r="A368" s="35" t="inlineStr">
        <is>
          <t>LN100367</t>
        </is>
      </c>
      <c r="B368" s="35" t="inlineStr">
        <is>
          <t>Meera Patel</t>
        </is>
      </c>
      <c r="C368" s="35" t="inlineStr">
        <is>
          <t>CHN-01</t>
        </is>
      </c>
      <c r="D368" s="36">
        <f>INDEX(Branches!$C$2:$C$15,MATCH(C368,Branches!$A$2:$A$15,0))</f>
        <v/>
      </c>
      <c r="E368" s="35" t="inlineStr">
        <is>
          <t>Auto Loan</t>
        </is>
      </c>
      <c r="F368" s="37" t="n">
        <v>45617</v>
      </c>
      <c r="G368" s="38" t="n">
        <v>612000</v>
      </c>
      <c r="H368" s="39" t="n">
        <v>0.1115</v>
      </c>
      <c r="I368" s="35" t="n">
        <v>84</v>
      </c>
      <c r="J368" s="35" t="n">
        <v>778</v>
      </c>
      <c r="K368" s="35" t="n">
        <v>0</v>
      </c>
      <c r="L368" s="40">
        <f>ROUND(PMT(H368/12,I368,-G368),0)</f>
        <v/>
      </c>
      <c r="M368" s="41">
        <f>MAX(0,(YEAR(AsOfDate)-YEAR(F368))*12+MONTH(AsOfDate)-MONTH(F368))</f>
        <v/>
      </c>
      <c r="N368" s="41">
        <f>MAX(0,MIN(I368,M368)-INT(K368/30))</f>
        <v/>
      </c>
      <c r="O368" s="40">
        <f>IF(N368&gt;=I368,0,ROUND(PV(H368/12,I368-N368,-L368),0))</f>
        <v/>
      </c>
      <c r="P368" s="40">
        <f>MIN(I368,M368)*L368-N368*L368</f>
        <v/>
      </c>
      <c r="Q368" s="41">
        <f>INDEX(DPD_Bucket,MATCH(K368,DPD_From,1))</f>
        <v/>
      </c>
      <c r="R368" s="41">
        <f>INDEX(DPD_Class,MATCH(K368,DPD_From,1))</f>
        <v/>
      </c>
      <c r="S368" s="41">
        <f>INDEX(DPD_NPA,MATCH(K368,DPD_From,1))</f>
        <v/>
      </c>
      <c r="T368" s="42">
        <f>INDEX(DPD_Prov,MATCH(K368,DPD_From,1))</f>
        <v/>
      </c>
      <c r="U368" s="40">
        <f>ROUND(O368*T368,0)</f>
        <v/>
      </c>
      <c r="V368" s="41">
        <f>INDEX(CIBIL_Grade,MATCH(J368,CIBIL_From,1))</f>
        <v/>
      </c>
      <c r="W368" s="41">
        <f>YEAR(F368)&amp;"-Q"&amp;ROUNDUP(MONTH(F368)/3,0)</f>
        <v/>
      </c>
      <c r="X368" s="41">
        <f>IF(AND(OR(Dashboard!$C$4="All",D368=Dashboard!$C$4),OR(Dashboard!$C$5="All",E368=Dashboard!$C$5)),1,0)</f>
        <v/>
      </c>
      <c r="Y368" s="43">
        <f>IF(AND(X368=1,S368="Yes"),O368+ROW()/1000000,0)</f>
        <v/>
      </c>
    </row>
    <row r="369">
      <c r="A369" s="35" t="inlineStr">
        <is>
          <t>LN100368</t>
        </is>
      </c>
      <c r="B369" s="35" t="inlineStr">
        <is>
          <t>Karthik Pillai</t>
        </is>
      </c>
      <c r="C369" s="35" t="inlineStr">
        <is>
          <t>PAT-01</t>
        </is>
      </c>
      <c r="D369" s="36">
        <f>INDEX(Branches!$C$2:$C$15,MATCH(C369,Branches!$A$2:$A$15,0))</f>
        <v/>
      </c>
      <c r="E369" s="35" t="inlineStr">
        <is>
          <t>Gold Loan</t>
        </is>
      </c>
      <c r="F369" s="37" t="n">
        <v>45961</v>
      </c>
      <c r="G369" s="38" t="n">
        <v>306000</v>
      </c>
      <c r="H369" s="39" t="n">
        <v>0.1031</v>
      </c>
      <c r="I369" s="35" t="n">
        <v>6</v>
      </c>
      <c r="J369" s="35" t="n">
        <v>662</v>
      </c>
      <c r="K369" s="35" t="n">
        <v>0</v>
      </c>
      <c r="L369" s="40">
        <f>ROUND(PMT(H369/12,I369,-G369),0)</f>
        <v/>
      </c>
      <c r="M369" s="41">
        <f>MAX(0,(YEAR(AsOfDate)-YEAR(F369))*12+MONTH(AsOfDate)-MONTH(F369))</f>
        <v/>
      </c>
      <c r="N369" s="41">
        <f>MAX(0,MIN(I369,M369)-INT(K369/30))</f>
        <v/>
      </c>
      <c r="O369" s="40">
        <f>IF(N369&gt;=I369,0,ROUND(PV(H369/12,I369-N369,-L369),0))</f>
        <v/>
      </c>
      <c r="P369" s="40">
        <f>MIN(I369,M369)*L369-N369*L369</f>
        <v/>
      </c>
      <c r="Q369" s="41">
        <f>INDEX(DPD_Bucket,MATCH(K369,DPD_From,1))</f>
        <v/>
      </c>
      <c r="R369" s="41">
        <f>INDEX(DPD_Class,MATCH(K369,DPD_From,1))</f>
        <v/>
      </c>
      <c r="S369" s="41">
        <f>INDEX(DPD_NPA,MATCH(K369,DPD_From,1))</f>
        <v/>
      </c>
      <c r="T369" s="42">
        <f>INDEX(DPD_Prov,MATCH(K369,DPD_From,1))</f>
        <v/>
      </c>
      <c r="U369" s="40">
        <f>ROUND(O369*T369,0)</f>
        <v/>
      </c>
      <c r="V369" s="41">
        <f>INDEX(CIBIL_Grade,MATCH(J369,CIBIL_From,1))</f>
        <v/>
      </c>
      <c r="W369" s="41">
        <f>YEAR(F369)&amp;"-Q"&amp;ROUNDUP(MONTH(F369)/3,0)</f>
        <v/>
      </c>
      <c r="X369" s="41">
        <f>IF(AND(OR(Dashboard!$C$4="All",D369=Dashboard!$C$4),OR(Dashboard!$C$5="All",E369=Dashboard!$C$5)),1,0)</f>
        <v/>
      </c>
      <c r="Y369" s="43">
        <f>IF(AND(X369=1,S369="Yes"),O369+ROW()/1000000,0)</f>
        <v/>
      </c>
    </row>
    <row r="370">
      <c r="A370" s="35" t="inlineStr">
        <is>
          <t>LN100369</t>
        </is>
      </c>
      <c r="B370" s="35" t="inlineStr">
        <is>
          <t>Swati Reddy</t>
        </is>
      </c>
      <c r="C370" s="35" t="inlineStr">
        <is>
          <t>DEL-01</t>
        </is>
      </c>
      <c r="D370" s="36">
        <f>INDEX(Branches!$C$2:$C$15,MATCH(C370,Branches!$A$2:$A$15,0))</f>
        <v/>
      </c>
      <c r="E370" s="35" t="inlineStr">
        <is>
          <t>Personal Loan</t>
        </is>
      </c>
      <c r="F370" s="37" t="n">
        <v>46114</v>
      </c>
      <c r="G370" s="38" t="n">
        <v>1389000</v>
      </c>
      <c r="H370" s="39" t="n">
        <v>0.1135</v>
      </c>
      <c r="I370" s="35" t="n">
        <v>36</v>
      </c>
      <c r="J370" s="35" t="n">
        <v>808</v>
      </c>
      <c r="K370" s="35" t="n">
        <v>0</v>
      </c>
      <c r="L370" s="40">
        <f>ROUND(PMT(H370/12,I370,-G370),0)</f>
        <v/>
      </c>
      <c r="M370" s="41">
        <f>MAX(0,(YEAR(AsOfDate)-YEAR(F370))*12+MONTH(AsOfDate)-MONTH(F370))</f>
        <v/>
      </c>
      <c r="N370" s="41">
        <f>MAX(0,MIN(I370,M370)-INT(K370/30))</f>
        <v/>
      </c>
      <c r="O370" s="40">
        <f>IF(N370&gt;=I370,0,ROUND(PV(H370/12,I370-N370,-L370),0))</f>
        <v/>
      </c>
      <c r="P370" s="40">
        <f>MIN(I370,M370)*L370-N370*L370</f>
        <v/>
      </c>
      <c r="Q370" s="41">
        <f>INDEX(DPD_Bucket,MATCH(K370,DPD_From,1))</f>
        <v/>
      </c>
      <c r="R370" s="41">
        <f>INDEX(DPD_Class,MATCH(K370,DPD_From,1))</f>
        <v/>
      </c>
      <c r="S370" s="41">
        <f>INDEX(DPD_NPA,MATCH(K370,DPD_From,1))</f>
        <v/>
      </c>
      <c r="T370" s="42">
        <f>INDEX(DPD_Prov,MATCH(K370,DPD_From,1))</f>
        <v/>
      </c>
      <c r="U370" s="40">
        <f>ROUND(O370*T370,0)</f>
        <v/>
      </c>
      <c r="V370" s="41">
        <f>INDEX(CIBIL_Grade,MATCH(J370,CIBIL_From,1))</f>
        <v/>
      </c>
      <c r="W370" s="41">
        <f>YEAR(F370)&amp;"-Q"&amp;ROUNDUP(MONTH(F370)/3,0)</f>
        <v/>
      </c>
      <c r="X370" s="41">
        <f>IF(AND(OR(Dashboard!$C$4="All",D370=Dashboard!$C$4),OR(Dashboard!$C$5="All",E370=Dashboard!$C$5)),1,0)</f>
        <v/>
      </c>
      <c r="Y370" s="43">
        <f>IF(AND(X370=1,S370="Yes"),O370+ROW()/1000000,0)</f>
        <v/>
      </c>
    </row>
    <row r="371">
      <c r="A371" s="35" t="inlineStr">
        <is>
          <t>LN100370</t>
        </is>
      </c>
      <c r="B371" s="35" t="inlineStr">
        <is>
          <t>Priya Sharma</t>
        </is>
      </c>
      <c r="C371" s="35" t="inlineStr">
        <is>
          <t>BBS-01</t>
        </is>
      </c>
      <c r="D371" s="36">
        <f>INDEX(Branches!$C$2:$C$15,MATCH(C371,Branches!$A$2:$A$15,0))</f>
        <v/>
      </c>
      <c r="E371" s="35" t="inlineStr">
        <is>
          <t>Auto Loan</t>
        </is>
      </c>
      <c r="F371" s="37" t="n">
        <v>46044</v>
      </c>
      <c r="G371" s="38" t="n">
        <v>1789000</v>
      </c>
      <c r="H371" s="39" t="n">
        <v>0.1053</v>
      </c>
      <c r="I371" s="35" t="n">
        <v>36</v>
      </c>
      <c r="J371" s="35" t="n">
        <v>648</v>
      </c>
      <c r="K371" s="35" t="n">
        <v>0</v>
      </c>
      <c r="L371" s="40">
        <f>ROUND(PMT(H371/12,I371,-G371),0)</f>
        <v/>
      </c>
      <c r="M371" s="41">
        <f>MAX(0,(YEAR(AsOfDate)-YEAR(F371))*12+MONTH(AsOfDate)-MONTH(F371))</f>
        <v/>
      </c>
      <c r="N371" s="41">
        <f>MAX(0,MIN(I371,M371)-INT(K371/30))</f>
        <v/>
      </c>
      <c r="O371" s="40">
        <f>IF(N371&gt;=I371,0,ROUND(PV(H371/12,I371-N371,-L371),0))</f>
        <v/>
      </c>
      <c r="P371" s="40">
        <f>MIN(I371,M371)*L371-N371*L371</f>
        <v/>
      </c>
      <c r="Q371" s="41">
        <f>INDEX(DPD_Bucket,MATCH(K371,DPD_From,1))</f>
        <v/>
      </c>
      <c r="R371" s="41">
        <f>INDEX(DPD_Class,MATCH(K371,DPD_From,1))</f>
        <v/>
      </c>
      <c r="S371" s="41">
        <f>INDEX(DPD_NPA,MATCH(K371,DPD_From,1))</f>
        <v/>
      </c>
      <c r="T371" s="42">
        <f>INDEX(DPD_Prov,MATCH(K371,DPD_From,1))</f>
        <v/>
      </c>
      <c r="U371" s="40">
        <f>ROUND(O371*T371,0)</f>
        <v/>
      </c>
      <c r="V371" s="41">
        <f>INDEX(CIBIL_Grade,MATCH(J371,CIBIL_From,1))</f>
        <v/>
      </c>
      <c r="W371" s="41">
        <f>YEAR(F371)&amp;"-Q"&amp;ROUNDUP(MONTH(F371)/3,0)</f>
        <v/>
      </c>
      <c r="X371" s="41">
        <f>IF(AND(OR(Dashboard!$C$4="All",D371=Dashboard!$C$4),OR(Dashboard!$C$5="All",E371=Dashboard!$C$5)),1,0)</f>
        <v/>
      </c>
      <c r="Y371" s="43">
        <f>IF(AND(X371=1,S371="Yes"),O371+ROW()/1000000,0)</f>
        <v/>
      </c>
    </row>
    <row r="372">
      <c r="A372" s="35" t="inlineStr">
        <is>
          <t>LN100371</t>
        </is>
      </c>
      <c r="B372" s="35" t="inlineStr">
        <is>
          <t>Meera Mohanty</t>
        </is>
      </c>
      <c r="C372" s="35" t="inlineStr">
        <is>
          <t>DEL-01</t>
        </is>
      </c>
      <c r="D372" s="36">
        <f>INDEX(Branches!$C$2:$C$15,MATCH(C372,Branches!$A$2:$A$15,0))</f>
        <v/>
      </c>
      <c r="E372" s="35" t="inlineStr">
        <is>
          <t>Business Loan</t>
        </is>
      </c>
      <c r="F372" s="37" t="n">
        <v>45481</v>
      </c>
      <c r="G372" s="38" t="n">
        <v>2056000</v>
      </c>
      <c r="H372" s="39" t="n">
        <v>0.1773</v>
      </c>
      <c r="I372" s="35" t="n">
        <v>24</v>
      </c>
      <c r="J372" s="35" t="n">
        <v>651</v>
      </c>
      <c r="K372" s="35" t="n">
        <v>0</v>
      </c>
      <c r="L372" s="40">
        <f>ROUND(PMT(H372/12,I372,-G372),0)</f>
        <v/>
      </c>
      <c r="M372" s="41">
        <f>MAX(0,(YEAR(AsOfDate)-YEAR(F372))*12+MONTH(AsOfDate)-MONTH(F372))</f>
        <v/>
      </c>
      <c r="N372" s="41">
        <f>MAX(0,MIN(I372,M372)-INT(K372/30))</f>
        <v/>
      </c>
      <c r="O372" s="40">
        <f>IF(N372&gt;=I372,0,ROUND(PV(H372/12,I372-N372,-L372),0))</f>
        <v/>
      </c>
      <c r="P372" s="40">
        <f>MIN(I372,M372)*L372-N372*L372</f>
        <v/>
      </c>
      <c r="Q372" s="41">
        <f>INDEX(DPD_Bucket,MATCH(K372,DPD_From,1))</f>
        <v/>
      </c>
      <c r="R372" s="41">
        <f>INDEX(DPD_Class,MATCH(K372,DPD_From,1))</f>
        <v/>
      </c>
      <c r="S372" s="41">
        <f>INDEX(DPD_NPA,MATCH(K372,DPD_From,1))</f>
        <v/>
      </c>
      <c r="T372" s="42">
        <f>INDEX(DPD_Prov,MATCH(K372,DPD_From,1))</f>
        <v/>
      </c>
      <c r="U372" s="40">
        <f>ROUND(O372*T372,0)</f>
        <v/>
      </c>
      <c r="V372" s="41">
        <f>INDEX(CIBIL_Grade,MATCH(J372,CIBIL_From,1))</f>
        <v/>
      </c>
      <c r="W372" s="41">
        <f>YEAR(F372)&amp;"-Q"&amp;ROUNDUP(MONTH(F372)/3,0)</f>
        <v/>
      </c>
      <c r="X372" s="41">
        <f>IF(AND(OR(Dashboard!$C$4="All",D372=Dashboard!$C$4),OR(Dashboard!$C$5="All",E372=Dashboard!$C$5)),1,0)</f>
        <v/>
      </c>
      <c r="Y372" s="43">
        <f>IF(AND(X372=1,S372="Yes"),O372+ROW()/1000000,0)</f>
        <v/>
      </c>
    </row>
    <row r="373">
      <c r="A373" s="35" t="inlineStr">
        <is>
          <t>LN100372</t>
        </is>
      </c>
      <c r="B373" s="35" t="inlineStr">
        <is>
          <t>Reyansh Chatterjee</t>
        </is>
      </c>
      <c r="C373" s="35" t="inlineStr">
        <is>
          <t>GUW-01</t>
        </is>
      </c>
      <c r="D373" s="36">
        <f>INDEX(Branches!$C$2:$C$15,MATCH(C373,Branches!$A$2:$A$15,0))</f>
        <v/>
      </c>
      <c r="E373" s="35" t="inlineStr">
        <is>
          <t>Auto Loan</t>
        </is>
      </c>
      <c r="F373" s="37" t="n">
        <v>46150</v>
      </c>
      <c r="G373" s="38" t="n">
        <v>1151000</v>
      </c>
      <c r="H373" s="39" t="n">
        <v>0.1044</v>
      </c>
      <c r="I373" s="35" t="n">
        <v>36</v>
      </c>
      <c r="J373" s="35" t="n">
        <v>724</v>
      </c>
      <c r="K373" s="35" t="n">
        <v>0</v>
      </c>
      <c r="L373" s="40">
        <f>ROUND(PMT(H373/12,I373,-G373),0)</f>
        <v/>
      </c>
      <c r="M373" s="41">
        <f>MAX(0,(YEAR(AsOfDate)-YEAR(F373))*12+MONTH(AsOfDate)-MONTH(F373))</f>
        <v/>
      </c>
      <c r="N373" s="41">
        <f>MAX(0,MIN(I373,M373)-INT(K373/30))</f>
        <v/>
      </c>
      <c r="O373" s="40">
        <f>IF(N373&gt;=I373,0,ROUND(PV(H373/12,I373-N373,-L373),0))</f>
        <v/>
      </c>
      <c r="P373" s="40">
        <f>MIN(I373,M373)*L373-N373*L373</f>
        <v/>
      </c>
      <c r="Q373" s="41">
        <f>INDEX(DPD_Bucket,MATCH(K373,DPD_From,1))</f>
        <v/>
      </c>
      <c r="R373" s="41">
        <f>INDEX(DPD_Class,MATCH(K373,DPD_From,1))</f>
        <v/>
      </c>
      <c r="S373" s="41">
        <f>INDEX(DPD_NPA,MATCH(K373,DPD_From,1))</f>
        <v/>
      </c>
      <c r="T373" s="42">
        <f>INDEX(DPD_Prov,MATCH(K373,DPD_From,1))</f>
        <v/>
      </c>
      <c r="U373" s="40">
        <f>ROUND(O373*T373,0)</f>
        <v/>
      </c>
      <c r="V373" s="41">
        <f>INDEX(CIBIL_Grade,MATCH(J373,CIBIL_From,1))</f>
        <v/>
      </c>
      <c r="W373" s="41">
        <f>YEAR(F373)&amp;"-Q"&amp;ROUNDUP(MONTH(F373)/3,0)</f>
        <v/>
      </c>
      <c r="X373" s="41">
        <f>IF(AND(OR(Dashboard!$C$4="All",D373=Dashboard!$C$4),OR(Dashboard!$C$5="All",E373=Dashboard!$C$5)),1,0)</f>
        <v/>
      </c>
      <c r="Y373" s="43">
        <f>IF(AND(X373=1,S373="Yes"),O373+ROW()/1000000,0)</f>
        <v/>
      </c>
    </row>
    <row r="374">
      <c r="A374" s="35" t="inlineStr">
        <is>
          <t>LN100373</t>
        </is>
      </c>
      <c r="B374" s="35" t="inlineStr">
        <is>
          <t>Kabir Kulkarni</t>
        </is>
      </c>
      <c r="C374" s="35" t="inlineStr">
        <is>
          <t>KOL-01</t>
        </is>
      </c>
      <c r="D374" s="36">
        <f>INDEX(Branches!$C$2:$C$15,MATCH(C374,Branches!$A$2:$A$15,0))</f>
        <v/>
      </c>
      <c r="E374" s="35" t="inlineStr">
        <is>
          <t>Home Loan</t>
        </is>
      </c>
      <c r="F374" s="37" t="n">
        <v>45517</v>
      </c>
      <c r="G374" s="38" t="n">
        <v>6922000</v>
      </c>
      <c r="H374" s="39" t="n">
        <v>0.0954</v>
      </c>
      <c r="I374" s="35" t="n">
        <v>180</v>
      </c>
      <c r="J374" s="35" t="n">
        <v>743</v>
      </c>
      <c r="K374" s="35" t="n">
        <v>0</v>
      </c>
      <c r="L374" s="40">
        <f>ROUND(PMT(H374/12,I374,-G374),0)</f>
        <v/>
      </c>
      <c r="M374" s="41">
        <f>MAX(0,(YEAR(AsOfDate)-YEAR(F374))*12+MONTH(AsOfDate)-MONTH(F374))</f>
        <v/>
      </c>
      <c r="N374" s="41">
        <f>MAX(0,MIN(I374,M374)-INT(K374/30))</f>
        <v/>
      </c>
      <c r="O374" s="40">
        <f>IF(N374&gt;=I374,0,ROUND(PV(H374/12,I374-N374,-L374),0))</f>
        <v/>
      </c>
      <c r="P374" s="40">
        <f>MIN(I374,M374)*L374-N374*L374</f>
        <v/>
      </c>
      <c r="Q374" s="41">
        <f>INDEX(DPD_Bucket,MATCH(K374,DPD_From,1))</f>
        <v/>
      </c>
      <c r="R374" s="41">
        <f>INDEX(DPD_Class,MATCH(K374,DPD_From,1))</f>
        <v/>
      </c>
      <c r="S374" s="41">
        <f>INDEX(DPD_NPA,MATCH(K374,DPD_From,1))</f>
        <v/>
      </c>
      <c r="T374" s="42">
        <f>INDEX(DPD_Prov,MATCH(K374,DPD_From,1))</f>
        <v/>
      </c>
      <c r="U374" s="40">
        <f>ROUND(O374*T374,0)</f>
        <v/>
      </c>
      <c r="V374" s="41">
        <f>INDEX(CIBIL_Grade,MATCH(J374,CIBIL_From,1))</f>
        <v/>
      </c>
      <c r="W374" s="41">
        <f>YEAR(F374)&amp;"-Q"&amp;ROUNDUP(MONTH(F374)/3,0)</f>
        <v/>
      </c>
      <c r="X374" s="41">
        <f>IF(AND(OR(Dashboard!$C$4="All",D374=Dashboard!$C$4),OR(Dashboard!$C$5="All",E374=Dashboard!$C$5)),1,0)</f>
        <v/>
      </c>
      <c r="Y374" s="43">
        <f>IF(AND(X374=1,S374="Yes"),O374+ROW()/1000000,0)</f>
        <v/>
      </c>
    </row>
    <row r="375">
      <c r="A375" s="35" t="inlineStr">
        <is>
          <t>LN100374</t>
        </is>
      </c>
      <c r="B375" s="35" t="inlineStr">
        <is>
          <t>Pooja Joshi</t>
        </is>
      </c>
      <c r="C375" s="35" t="inlineStr">
        <is>
          <t>PUN-01</t>
        </is>
      </c>
      <c r="D375" s="36">
        <f>INDEX(Branches!$C$2:$C$15,MATCH(C375,Branches!$A$2:$A$15,0))</f>
        <v/>
      </c>
      <c r="E375" s="35" t="inlineStr">
        <is>
          <t>Home Loan</t>
        </is>
      </c>
      <c r="F375" s="37" t="n">
        <v>45256</v>
      </c>
      <c r="G375" s="38" t="n">
        <v>3543000</v>
      </c>
      <c r="H375" s="39" t="n">
        <v>0.091</v>
      </c>
      <c r="I375" s="35" t="n">
        <v>180</v>
      </c>
      <c r="J375" s="35" t="n">
        <v>880</v>
      </c>
      <c r="K375" s="35" t="n">
        <v>0</v>
      </c>
      <c r="L375" s="40">
        <f>ROUND(PMT(H375/12,I375,-G375),0)</f>
        <v/>
      </c>
      <c r="M375" s="41">
        <f>MAX(0,(YEAR(AsOfDate)-YEAR(F375))*12+MONTH(AsOfDate)-MONTH(F375))</f>
        <v/>
      </c>
      <c r="N375" s="41">
        <f>MAX(0,MIN(I375,M375)-INT(K375/30))</f>
        <v/>
      </c>
      <c r="O375" s="40">
        <f>IF(N375&gt;=I375,0,ROUND(PV(H375/12,I375-N375,-L375),0))</f>
        <v/>
      </c>
      <c r="P375" s="40">
        <f>MIN(I375,M375)*L375-N375*L375</f>
        <v/>
      </c>
      <c r="Q375" s="41">
        <f>INDEX(DPD_Bucket,MATCH(K375,DPD_From,1))</f>
        <v/>
      </c>
      <c r="R375" s="41">
        <f>INDEX(DPD_Class,MATCH(K375,DPD_From,1))</f>
        <v/>
      </c>
      <c r="S375" s="41">
        <f>INDEX(DPD_NPA,MATCH(K375,DPD_From,1))</f>
        <v/>
      </c>
      <c r="T375" s="42">
        <f>INDEX(DPD_Prov,MATCH(K375,DPD_From,1))</f>
        <v/>
      </c>
      <c r="U375" s="40">
        <f>ROUND(O375*T375,0)</f>
        <v/>
      </c>
      <c r="V375" s="41">
        <f>INDEX(CIBIL_Grade,MATCH(J375,CIBIL_From,1))</f>
        <v/>
      </c>
      <c r="W375" s="41">
        <f>YEAR(F375)&amp;"-Q"&amp;ROUNDUP(MONTH(F375)/3,0)</f>
        <v/>
      </c>
      <c r="X375" s="41">
        <f>IF(AND(OR(Dashboard!$C$4="All",D375=Dashboard!$C$4),OR(Dashboard!$C$5="All",E375=Dashboard!$C$5)),1,0)</f>
        <v/>
      </c>
      <c r="Y375" s="43">
        <f>IF(AND(X375=1,S375="Yes"),O375+ROW()/1000000,0)</f>
        <v/>
      </c>
    </row>
    <row r="376">
      <c r="A376" s="35" t="inlineStr">
        <is>
          <t>LN100375</t>
        </is>
      </c>
      <c r="B376" s="35" t="inlineStr">
        <is>
          <t>Deepa Joshi</t>
        </is>
      </c>
      <c r="C376" s="35" t="inlineStr">
        <is>
          <t>PUN-01</t>
        </is>
      </c>
      <c r="D376" s="36">
        <f>INDEX(Branches!$C$2:$C$15,MATCH(C376,Branches!$A$2:$A$15,0))</f>
        <v/>
      </c>
      <c r="E376" s="35" t="inlineStr">
        <is>
          <t>Personal Loan</t>
        </is>
      </c>
      <c r="F376" s="37" t="n">
        <v>45347</v>
      </c>
      <c r="G376" s="38" t="n">
        <v>609000</v>
      </c>
      <c r="H376" s="39" t="n">
        <v>0.1091</v>
      </c>
      <c r="I376" s="35" t="n">
        <v>12</v>
      </c>
      <c r="J376" s="35" t="n">
        <v>675</v>
      </c>
      <c r="K376" s="35" t="n">
        <v>0</v>
      </c>
      <c r="L376" s="40">
        <f>ROUND(PMT(H376/12,I376,-G376),0)</f>
        <v/>
      </c>
      <c r="M376" s="41">
        <f>MAX(0,(YEAR(AsOfDate)-YEAR(F376))*12+MONTH(AsOfDate)-MONTH(F376))</f>
        <v/>
      </c>
      <c r="N376" s="41">
        <f>MAX(0,MIN(I376,M376)-INT(K376/30))</f>
        <v/>
      </c>
      <c r="O376" s="40">
        <f>IF(N376&gt;=I376,0,ROUND(PV(H376/12,I376-N376,-L376),0))</f>
        <v/>
      </c>
      <c r="P376" s="40">
        <f>MIN(I376,M376)*L376-N376*L376</f>
        <v/>
      </c>
      <c r="Q376" s="41">
        <f>INDEX(DPD_Bucket,MATCH(K376,DPD_From,1))</f>
        <v/>
      </c>
      <c r="R376" s="41">
        <f>INDEX(DPD_Class,MATCH(K376,DPD_From,1))</f>
        <v/>
      </c>
      <c r="S376" s="41">
        <f>INDEX(DPD_NPA,MATCH(K376,DPD_From,1))</f>
        <v/>
      </c>
      <c r="T376" s="42">
        <f>INDEX(DPD_Prov,MATCH(K376,DPD_From,1))</f>
        <v/>
      </c>
      <c r="U376" s="40">
        <f>ROUND(O376*T376,0)</f>
        <v/>
      </c>
      <c r="V376" s="41">
        <f>INDEX(CIBIL_Grade,MATCH(J376,CIBIL_From,1))</f>
        <v/>
      </c>
      <c r="W376" s="41">
        <f>YEAR(F376)&amp;"-Q"&amp;ROUNDUP(MONTH(F376)/3,0)</f>
        <v/>
      </c>
      <c r="X376" s="41">
        <f>IF(AND(OR(Dashboard!$C$4="All",D376=Dashboard!$C$4),OR(Dashboard!$C$5="All",E376=Dashboard!$C$5)),1,0)</f>
        <v/>
      </c>
      <c r="Y376" s="43">
        <f>IF(AND(X376=1,S376="Yes"),O376+ROW()/1000000,0)</f>
        <v/>
      </c>
    </row>
    <row r="377">
      <c r="A377" s="35" t="inlineStr">
        <is>
          <t>LN100376</t>
        </is>
      </c>
      <c r="B377" s="35" t="inlineStr">
        <is>
          <t>Suresh Sahoo</t>
        </is>
      </c>
      <c r="C377" s="35" t="inlineStr">
        <is>
          <t>DEL-01</t>
        </is>
      </c>
      <c r="D377" s="36">
        <f>INDEX(Branches!$C$2:$C$15,MATCH(C377,Branches!$A$2:$A$15,0))</f>
        <v/>
      </c>
      <c r="E377" s="35" t="inlineStr">
        <is>
          <t>Auto Loan</t>
        </is>
      </c>
      <c r="F377" s="37" t="n">
        <v>45494</v>
      </c>
      <c r="G377" s="38" t="n">
        <v>1547000</v>
      </c>
      <c r="H377" s="39" t="n">
        <v>0.1003</v>
      </c>
      <c r="I377" s="35" t="n">
        <v>84</v>
      </c>
      <c r="J377" s="35" t="n">
        <v>771</v>
      </c>
      <c r="K377" s="35" t="n">
        <v>0</v>
      </c>
      <c r="L377" s="40">
        <f>ROUND(PMT(H377/12,I377,-G377),0)</f>
        <v/>
      </c>
      <c r="M377" s="41">
        <f>MAX(0,(YEAR(AsOfDate)-YEAR(F377))*12+MONTH(AsOfDate)-MONTH(F377))</f>
        <v/>
      </c>
      <c r="N377" s="41">
        <f>MAX(0,MIN(I377,M377)-INT(K377/30))</f>
        <v/>
      </c>
      <c r="O377" s="40">
        <f>IF(N377&gt;=I377,0,ROUND(PV(H377/12,I377-N377,-L377),0))</f>
        <v/>
      </c>
      <c r="P377" s="40">
        <f>MIN(I377,M377)*L377-N377*L377</f>
        <v/>
      </c>
      <c r="Q377" s="41">
        <f>INDEX(DPD_Bucket,MATCH(K377,DPD_From,1))</f>
        <v/>
      </c>
      <c r="R377" s="41">
        <f>INDEX(DPD_Class,MATCH(K377,DPD_From,1))</f>
        <v/>
      </c>
      <c r="S377" s="41">
        <f>INDEX(DPD_NPA,MATCH(K377,DPD_From,1))</f>
        <v/>
      </c>
      <c r="T377" s="42">
        <f>INDEX(DPD_Prov,MATCH(K377,DPD_From,1))</f>
        <v/>
      </c>
      <c r="U377" s="40">
        <f>ROUND(O377*T377,0)</f>
        <v/>
      </c>
      <c r="V377" s="41">
        <f>INDEX(CIBIL_Grade,MATCH(J377,CIBIL_From,1))</f>
        <v/>
      </c>
      <c r="W377" s="41">
        <f>YEAR(F377)&amp;"-Q"&amp;ROUNDUP(MONTH(F377)/3,0)</f>
        <v/>
      </c>
      <c r="X377" s="41">
        <f>IF(AND(OR(Dashboard!$C$4="All",D377=Dashboard!$C$4),OR(Dashboard!$C$5="All",E377=Dashboard!$C$5)),1,0)</f>
        <v/>
      </c>
      <c r="Y377" s="43">
        <f>IF(AND(X377=1,S377="Yes"),O377+ROW()/1000000,0)</f>
        <v/>
      </c>
    </row>
    <row r="378">
      <c r="A378" s="35" t="inlineStr">
        <is>
          <t>LN100377</t>
        </is>
      </c>
      <c r="B378" s="35" t="inlineStr">
        <is>
          <t>Nikhil Singh</t>
        </is>
      </c>
      <c r="C378" s="35" t="inlineStr">
        <is>
          <t>LKO-01</t>
        </is>
      </c>
      <c r="D378" s="36">
        <f>INDEX(Branches!$C$2:$C$15,MATCH(C378,Branches!$A$2:$A$15,0))</f>
        <v/>
      </c>
      <c r="E378" s="35" t="inlineStr">
        <is>
          <t>Personal Loan</t>
        </is>
      </c>
      <c r="F378" s="37" t="n">
        <v>45719</v>
      </c>
      <c r="G378" s="38" t="n">
        <v>831000</v>
      </c>
      <c r="H378" s="39" t="n">
        <v>0.1577</v>
      </c>
      <c r="I378" s="35" t="n">
        <v>12</v>
      </c>
      <c r="J378" s="35" t="n">
        <v>786</v>
      </c>
      <c r="K378" s="35" t="n">
        <v>0</v>
      </c>
      <c r="L378" s="40">
        <f>ROUND(PMT(H378/12,I378,-G378),0)</f>
        <v/>
      </c>
      <c r="M378" s="41">
        <f>MAX(0,(YEAR(AsOfDate)-YEAR(F378))*12+MONTH(AsOfDate)-MONTH(F378))</f>
        <v/>
      </c>
      <c r="N378" s="41">
        <f>MAX(0,MIN(I378,M378)-INT(K378/30))</f>
        <v/>
      </c>
      <c r="O378" s="40">
        <f>IF(N378&gt;=I378,0,ROUND(PV(H378/12,I378-N378,-L378),0))</f>
        <v/>
      </c>
      <c r="P378" s="40">
        <f>MIN(I378,M378)*L378-N378*L378</f>
        <v/>
      </c>
      <c r="Q378" s="41">
        <f>INDEX(DPD_Bucket,MATCH(K378,DPD_From,1))</f>
        <v/>
      </c>
      <c r="R378" s="41">
        <f>INDEX(DPD_Class,MATCH(K378,DPD_From,1))</f>
        <v/>
      </c>
      <c r="S378" s="41">
        <f>INDEX(DPD_NPA,MATCH(K378,DPD_From,1))</f>
        <v/>
      </c>
      <c r="T378" s="42">
        <f>INDEX(DPD_Prov,MATCH(K378,DPD_From,1))</f>
        <v/>
      </c>
      <c r="U378" s="40">
        <f>ROUND(O378*T378,0)</f>
        <v/>
      </c>
      <c r="V378" s="41">
        <f>INDEX(CIBIL_Grade,MATCH(J378,CIBIL_From,1))</f>
        <v/>
      </c>
      <c r="W378" s="41">
        <f>YEAR(F378)&amp;"-Q"&amp;ROUNDUP(MONTH(F378)/3,0)</f>
        <v/>
      </c>
      <c r="X378" s="41">
        <f>IF(AND(OR(Dashboard!$C$4="All",D378=Dashboard!$C$4),OR(Dashboard!$C$5="All",E378=Dashboard!$C$5)),1,0)</f>
        <v/>
      </c>
      <c r="Y378" s="43">
        <f>IF(AND(X378=1,S378="Yes"),O378+ROW()/1000000,0)</f>
        <v/>
      </c>
    </row>
    <row r="379">
      <c r="A379" s="35" t="inlineStr">
        <is>
          <t>LN100378</t>
        </is>
      </c>
      <c r="B379" s="35" t="inlineStr">
        <is>
          <t>Farhan Khan</t>
        </is>
      </c>
      <c r="C379" s="35" t="inlineStr">
        <is>
          <t>CHN-01</t>
        </is>
      </c>
      <c r="D379" s="36">
        <f>INDEX(Branches!$C$2:$C$15,MATCH(C379,Branches!$A$2:$A$15,0))</f>
        <v/>
      </c>
      <c r="E379" s="35" t="inlineStr">
        <is>
          <t>Home Loan</t>
        </is>
      </c>
      <c r="F379" s="37" t="n">
        <v>45165</v>
      </c>
      <c r="G379" s="38" t="n">
        <v>5306000</v>
      </c>
      <c r="H379" s="39" t="n">
        <v>0.0867</v>
      </c>
      <c r="I379" s="35" t="n">
        <v>120</v>
      </c>
      <c r="J379" s="35" t="n">
        <v>735</v>
      </c>
      <c r="K379" s="35" t="n">
        <v>0</v>
      </c>
      <c r="L379" s="40">
        <f>ROUND(PMT(H379/12,I379,-G379),0)</f>
        <v/>
      </c>
      <c r="M379" s="41">
        <f>MAX(0,(YEAR(AsOfDate)-YEAR(F379))*12+MONTH(AsOfDate)-MONTH(F379))</f>
        <v/>
      </c>
      <c r="N379" s="41">
        <f>MAX(0,MIN(I379,M379)-INT(K379/30))</f>
        <v/>
      </c>
      <c r="O379" s="40">
        <f>IF(N379&gt;=I379,0,ROUND(PV(H379/12,I379-N379,-L379),0))</f>
        <v/>
      </c>
      <c r="P379" s="40">
        <f>MIN(I379,M379)*L379-N379*L379</f>
        <v/>
      </c>
      <c r="Q379" s="41">
        <f>INDEX(DPD_Bucket,MATCH(K379,DPD_From,1))</f>
        <v/>
      </c>
      <c r="R379" s="41">
        <f>INDEX(DPD_Class,MATCH(K379,DPD_From,1))</f>
        <v/>
      </c>
      <c r="S379" s="41">
        <f>INDEX(DPD_NPA,MATCH(K379,DPD_From,1))</f>
        <v/>
      </c>
      <c r="T379" s="42">
        <f>INDEX(DPD_Prov,MATCH(K379,DPD_From,1))</f>
        <v/>
      </c>
      <c r="U379" s="40">
        <f>ROUND(O379*T379,0)</f>
        <v/>
      </c>
      <c r="V379" s="41">
        <f>INDEX(CIBIL_Grade,MATCH(J379,CIBIL_From,1))</f>
        <v/>
      </c>
      <c r="W379" s="41">
        <f>YEAR(F379)&amp;"-Q"&amp;ROUNDUP(MONTH(F379)/3,0)</f>
        <v/>
      </c>
      <c r="X379" s="41">
        <f>IF(AND(OR(Dashboard!$C$4="All",D379=Dashboard!$C$4),OR(Dashboard!$C$5="All",E379=Dashboard!$C$5)),1,0)</f>
        <v/>
      </c>
      <c r="Y379" s="43">
        <f>IF(AND(X379=1,S379="Yes"),O379+ROW()/1000000,0)</f>
        <v/>
      </c>
    </row>
    <row r="380">
      <c r="A380" s="35" t="inlineStr">
        <is>
          <t>LN100379</t>
        </is>
      </c>
      <c r="B380" s="35" t="inlineStr">
        <is>
          <t>Arjun Khan</t>
        </is>
      </c>
      <c r="C380" s="35" t="inlineStr">
        <is>
          <t>BLR-01</t>
        </is>
      </c>
      <c r="D380" s="36">
        <f>INDEX(Branches!$C$2:$C$15,MATCH(C380,Branches!$A$2:$A$15,0))</f>
        <v/>
      </c>
      <c r="E380" s="35" t="inlineStr">
        <is>
          <t>Home Loan</t>
        </is>
      </c>
      <c r="F380" s="37" t="n">
        <v>45732</v>
      </c>
      <c r="G380" s="38" t="n">
        <v>14046000</v>
      </c>
      <c r="H380" s="39" t="n">
        <v>0.09569999999999999</v>
      </c>
      <c r="I380" s="35" t="n">
        <v>180</v>
      </c>
      <c r="J380" s="35" t="n">
        <v>642</v>
      </c>
      <c r="K380" s="35" t="n">
        <v>0</v>
      </c>
      <c r="L380" s="40">
        <f>ROUND(PMT(H380/12,I380,-G380),0)</f>
        <v/>
      </c>
      <c r="M380" s="41">
        <f>MAX(0,(YEAR(AsOfDate)-YEAR(F380))*12+MONTH(AsOfDate)-MONTH(F380))</f>
        <v/>
      </c>
      <c r="N380" s="41">
        <f>MAX(0,MIN(I380,M380)-INT(K380/30))</f>
        <v/>
      </c>
      <c r="O380" s="40">
        <f>IF(N380&gt;=I380,0,ROUND(PV(H380/12,I380-N380,-L380),0))</f>
        <v/>
      </c>
      <c r="P380" s="40">
        <f>MIN(I380,M380)*L380-N380*L380</f>
        <v/>
      </c>
      <c r="Q380" s="41">
        <f>INDEX(DPD_Bucket,MATCH(K380,DPD_From,1))</f>
        <v/>
      </c>
      <c r="R380" s="41">
        <f>INDEX(DPD_Class,MATCH(K380,DPD_From,1))</f>
        <v/>
      </c>
      <c r="S380" s="41">
        <f>INDEX(DPD_NPA,MATCH(K380,DPD_From,1))</f>
        <v/>
      </c>
      <c r="T380" s="42">
        <f>INDEX(DPD_Prov,MATCH(K380,DPD_From,1))</f>
        <v/>
      </c>
      <c r="U380" s="40">
        <f>ROUND(O380*T380,0)</f>
        <v/>
      </c>
      <c r="V380" s="41">
        <f>INDEX(CIBIL_Grade,MATCH(J380,CIBIL_From,1))</f>
        <v/>
      </c>
      <c r="W380" s="41">
        <f>YEAR(F380)&amp;"-Q"&amp;ROUNDUP(MONTH(F380)/3,0)</f>
        <v/>
      </c>
      <c r="X380" s="41">
        <f>IF(AND(OR(Dashboard!$C$4="All",D380=Dashboard!$C$4),OR(Dashboard!$C$5="All",E380=Dashboard!$C$5)),1,0)</f>
        <v/>
      </c>
      <c r="Y380" s="43">
        <f>IF(AND(X380=1,S380="Yes"),O380+ROW()/1000000,0)</f>
        <v/>
      </c>
    </row>
    <row r="381">
      <c r="A381" s="35" t="inlineStr">
        <is>
          <t>LN100380</t>
        </is>
      </c>
      <c r="B381" s="35" t="inlineStr">
        <is>
          <t>Rahul Reddy</t>
        </is>
      </c>
      <c r="C381" s="35" t="inlineStr">
        <is>
          <t>DEL-01</t>
        </is>
      </c>
      <c r="D381" s="36">
        <f>INDEX(Branches!$C$2:$C$15,MATCH(C381,Branches!$A$2:$A$15,0))</f>
        <v/>
      </c>
      <c r="E381" s="35" t="inlineStr">
        <is>
          <t>Personal Loan</t>
        </is>
      </c>
      <c r="F381" s="37" t="n">
        <v>45237</v>
      </c>
      <c r="G381" s="38" t="n">
        <v>106000</v>
      </c>
      <c r="H381" s="39" t="n">
        <v>0.1602</v>
      </c>
      <c r="I381" s="35" t="n">
        <v>48</v>
      </c>
      <c r="J381" s="35" t="n">
        <v>760</v>
      </c>
      <c r="K381" s="35" t="n">
        <v>0</v>
      </c>
      <c r="L381" s="40">
        <f>ROUND(PMT(H381/12,I381,-G381),0)</f>
        <v/>
      </c>
      <c r="M381" s="41">
        <f>MAX(0,(YEAR(AsOfDate)-YEAR(F381))*12+MONTH(AsOfDate)-MONTH(F381))</f>
        <v/>
      </c>
      <c r="N381" s="41">
        <f>MAX(0,MIN(I381,M381)-INT(K381/30))</f>
        <v/>
      </c>
      <c r="O381" s="40">
        <f>IF(N381&gt;=I381,0,ROUND(PV(H381/12,I381-N381,-L381),0))</f>
        <v/>
      </c>
      <c r="P381" s="40">
        <f>MIN(I381,M381)*L381-N381*L381</f>
        <v/>
      </c>
      <c r="Q381" s="41">
        <f>INDEX(DPD_Bucket,MATCH(K381,DPD_From,1))</f>
        <v/>
      </c>
      <c r="R381" s="41">
        <f>INDEX(DPD_Class,MATCH(K381,DPD_From,1))</f>
        <v/>
      </c>
      <c r="S381" s="41">
        <f>INDEX(DPD_NPA,MATCH(K381,DPD_From,1))</f>
        <v/>
      </c>
      <c r="T381" s="42">
        <f>INDEX(DPD_Prov,MATCH(K381,DPD_From,1))</f>
        <v/>
      </c>
      <c r="U381" s="40">
        <f>ROUND(O381*T381,0)</f>
        <v/>
      </c>
      <c r="V381" s="41">
        <f>INDEX(CIBIL_Grade,MATCH(J381,CIBIL_From,1))</f>
        <v/>
      </c>
      <c r="W381" s="41">
        <f>YEAR(F381)&amp;"-Q"&amp;ROUNDUP(MONTH(F381)/3,0)</f>
        <v/>
      </c>
      <c r="X381" s="41">
        <f>IF(AND(OR(Dashboard!$C$4="All",D381=Dashboard!$C$4),OR(Dashboard!$C$5="All",E381=Dashboard!$C$5)),1,0)</f>
        <v/>
      </c>
      <c r="Y381" s="43">
        <f>IF(AND(X381=1,S381="Yes"),O381+ROW()/1000000,0)</f>
        <v/>
      </c>
    </row>
    <row r="382">
      <c r="A382" s="35" t="inlineStr">
        <is>
          <t>LN100381</t>
        </is>
      </c>
      <c r="B382" s="35" t="inlineStr">
        <is>
          <t>Farhan Mishra</t>
        </is>
      </c>
      <c r="C382" s="35" t="inlineStr">
        <is>
          <t>HYD-01</t>
        </is>
      </c>
      <c r="D382" s="36">
        <f>INDEX(Branches!$C$2:$C$15,MATCH(C382,Branches!$A$2:$A$15,0))</f>
        <v/>
      </c>
      <c r="E382" s="35" t="inlineStr">
        <is>
          <t>Personal Loan</t>
        </is>
      </c>
      <c r="F382" s="37" t="n">
        <v>45184</v>
      </c>
      <c r="G382" s="38" t="n">
        <v>1123000</v>
      </c>
      <c r="H382" s="39" t="n">
        <v>0.1146</v>
      </c>
      <c r="I382" s="35" t="n">
        <v>48</v>
      </c>
      <c r="J382" s="35" t="n">
        <v>820</v>
      </c>
      <c r="K382" s="35" t="n">
        <v>0</v>
      </c>
      <c r="L382" s="40">
        <f>ROUND(PMT(H382/12,I382,-G382),0)</f>
        <v/>
      </c>
      <c r="M382" s="41">
        <f>MAX(0,(YEAR(AsOfDate)-YEAR(F382))*12+MONTH(AsOfDate)-MONTH(F382))</f>
        <v/>
      </c>
      <c r="N382" s="41">
        <f>MAX(0,MIN(I382,M382)-INT(K382/30))</f>
        <v/>
      </c>
      <c r="O382" s="40">
        <f>IF(N382&gt;=I382,0,ROUND(PV(H382/12,I382-N382,-L382),0))</f>
        <v/>
      </c>
      <c r="P382" s="40">
        <f>MIN(I382,M382)*L382-N382*L382</f>
        <v/>
      </c>
      <c r="Q382" s="41">
        <f>INDEX(DPD_Bucket,MATCH(K382,DPD_From,1))</f>
        <v/>
      </c>
      <c r="R382" s="41">
        <f>INDEX(DPD_Class,MATCH(K382,DPD_From,1))</f>
        <v/>
      </c>
      <c r="S382" s="41">
        <f>INDEX(DPD_NPA,MATCH(K382,DPD_From,1))</f>
        <v/>
      </c>
      <c r="T382" s="42">
        <f>INDEX(DPD_Prov,MATCH(K382,DPD_From,1))</f>
        <v/>
      </c>
      <c r="U382" s="40">
        <f>ROUND(O382*T382,0)</f>
        <v/>
      </c>
      <c r="V382" s="41">
        <f>INDEX(CIBIL_Grade,MATCH(J382,CIBIL_From,1))</f>
        <v/>
      </c>
      <c r="W382" s="41">
        <f>YEAR(F382)&amp;"-Q"&amp;ROUNDUP(MONTH(F382)/3,0)</f>
        <v/>
      </c>
      <c r="X382" s="41">
        <f>IF(AND(OR(Dashboard!$C$4="All",D382=Dashboard!$C$4),OR(Dashboard!$C$5="All",E382=Dashboard!$C$5)),1,0)</f>
        <v/>
      </c>
      <c r="Y382" s="43">
        <f>IF(AND(X382=1,S382="Yes"),O382+ROW()/1000000,0)</f>
        <v/>
      </c>
    </row>
    <row r="383">
      <c r="A383" s="35" t="inlineStr">
        <is>
          <t>LN100382</t>
        </is>
      </c>
      <c r="B383" s="35" t="inlineStr">
        <is>
          <t>Meera Sahoo</t>
        </is>
      </c>
      <c r="C383" s="35" t="inlineStr">
        <is>
          <t>BBS-01</t>
        </is>
      </c>
      <c r="D383" s="36">
        <f>INDEX(Branches!$C$2:$C$15,MATCH(C383,Branches!$A$2:$A$15,0))</f>
        <v/>
      </c>
      <c r="E383" s="35" t="inlineStr">
        <is>
          <t>Auto Loan</t>
        </is>
      </c>
      <c r="F383" s="37" t="n">
        <v>45141</v>
      </c>
      <c r="G383" s="38" t="n">
        <v>1620000</v>
      </c>
      <c r="H383" s="39" t="n">
        <v>0.0975</v>
      </c>
      <c r="I383" s="35" t="n">
        <v>60</v>
      </c>
      <c r="J383" s="35" t="n">
        <v>691</v>
      </c>
      <c r="K383" s="35" t="n">
        <v>0</v>
      </c>
      <c r="L383" s="40">
        <f>ROUND(PMT(H383/12,I383,-G383),0)</f>
        <v/>
      </c>
      <c r="M383" s="41">
        <f>MAX(0,(YEAR(AsOfDate)-YEAR(F383))*12+MONTH(AsOfDate)-MONTH(F383))</f>
        <v/>
      </c>
      <c r="N383" s="41">
        <f>MAX(0,MIN(I383,M383)-INT(K383/30))</f>
        <v/>
      </c>
      <c r="O383" s="40">
        <f>IF(N383&gt;=I383,0,ROUND(PV(H383/12,I383-N383,-L383),0))</f>
        <v/>
      </c>
      <c r="P383" s="40">
        <f>MIN(I383,M383)*L383-N383*L383</f>
        <v/>
      </c>
      <c r="Q383" s="41">
        <f>INDEX(DPD_Bucket,MATCH(K383,DPD_From,1))</f>
        <v/>
      </c>
      <c r="R383" s="41">
        <f>INDEX(DPD_Class,MATCH(K383,DPD_From,1))</f>
        <v/>
      </c>
      <c r="S383" s="41">
        <f>INDEX(DPD_NPA,MATCH(K383,DPD_From,1))</f>
        <v/>
      </c>
      <c r="T383" s="42">
        <f>INDEX(DPD_Prov,MATCH(K383,DPD_From,1))</f>
        <v/>
      </c>
      <c r="U383" s="40">
        <f>ROUND(O383*T383,0)</f>
        <v/>
      </c>
      <c r="V383" s="41">
        <f>INDEX(CIBIL_Grade,MATCH(J383,CIBIL_From,1))</f>
        <v/>
      </c>
      <c r="W383" s="41">
        <f>YEAR(F383)&amp;"-Q"&amp;ROUNDUP(MONTH(F383)/3,0)</f>
        <v/>
      </c>
      <c r="X383" s="41">
        <f>IF(AND(OR(Dashboard!$C$4="All",D383=Dashboard!$C$4),OR(Dashboard!$C$5="All",E383=Dashboard!$C$5)),1,0)</f>
        <v/>
      </c>
      <c r="Y383" s="43">
        <f>IF(AND(X383=1,S383="Yes"),O383+ROW()/1000000,0)</f>
        <v/>
      </c>
    </row>
    <row r="384">
      <c r="A384" s="35" t="inlineStr">
        <is>
          <t>LN100383</t>
        </is>
      </c>
      <c r="B384" s="35" t="inlineStr">
        <is>
          <t>Swati Chatterjee</t>
        </is>
      </c>
      <c r="C384" s="35" t="inlineStr">
        <is>
          <t>MUM-01</t>
        </is>
      </c>
      <c r="D384" s="36">
        <f>INDEX(Branches!$C$2:$C$15,MATCH(C384,Branches!$A$2:$A$15,0))</f>
        <v/>
      </c>
      <c r="E384" s="35" t="inlineStr">
        <is>
          <t>Gold Loan</t>
        </is>
      </c>
      <c r="F384" s="37" t="n">
        <v>45246</v>
      </c>
      <c r="G384" s="38" t="n">
        <v>429000</v>
      </c>
      <c r="H384" s="39" t="n">
        <v>0.1064</v>
      </c>
      <c r="I384" s="35" t="n">
        <v>12</v>
      </c>
      <c r="J384" s="35" t="n">
        <v>745</v>
      </c>
      <c r="K384" s="35" t="n">
        <v>0</v>
      </c>
      <c r="L384" s="40">
        <f>ROUND(PMT(H384/12,I384,-G384),0)</f>
        <v/>
      </c>
      <c r="M384" s="41">
        <f>MAX(0,(YEAR(AsOfDate)-YEAR(F384))*12+MONTH(AsOfDate)-MONTH(F384))</f>
        <v/>
      </c>
      <c r="N384" s="41">
        <f>MAX(0,MIN(I384,M384)-INT(K384/30))</f>
        <v/>
      </c>
      <c r="O384" s="40">
        <f>IF(N384&gt;=I384,0,ROUND(PV(H384/12,I384-N384,-L384),0))</f>
        <v/>
      </c>
      <c r="P384" s="40">
        <f>MIN(I384,M384)*L384-N384*L384</f>
        <v/>
      </c>
      <c r="Q384" s="41">
        <f>INDEX(DPD_Bucket,MATCH(K384,DPD_From,1))</f>
        <v/>
      </c>
      <c r="R384" s="41">
        <f>INDEX(DPD_Class,MATCH(K384,DPD_From,1))</f>
        <v/>
      </c>
      <c r="S384" s="41">
        <f>INDEX(DPD_NPA,MATCH(K384,DPD_From,1))</f>
        <v/>
      </c>
      <c r="T384" s="42">
        <f>INDEX(DPD_Prov,MATCH(K384,DPD_From,1))</f>
        <v/>
      </c>
      <c r="U384" s="40">
        <f>ROUND(O384*T384,0)</f>
        <v/>
      </c>
      <c r="V384" s="41">
        <f>INDEX(CIBIL_Grade,MATCH(J384,CIBIL_From,1))</f>
        <v/>
      </c>
      <c r="W384" s="41">
        <f>YEAR(F384)&amp;"-Q"&amp;ROUNDUP(MONTH(F384)/3,0)</f>
        <v/>
      </c>
      <c r="X384" s="41">
        <f>IF(AND(OR(Dashboard!$C$4="All",D384=Dashboard!$C$4),OR(Dashboard!$C$5="All",E384=Dashboard!$C$5)),1,0)</f>
        <v/>
      </c>
      <c r="Y384" s="43">
        <f>IF(AND(X384=1,S384="Yes"),O384+ROW()/1000000,0)</f>
        <v/>
      </c>
    </row>
    <row r="385">
      <c r="A385" s="35" t="inlineStr">
        <is>
          <t>LN100384</t>
        </is>
      </c>
      <c r="B385" s="35" t="inlineStr">
        <is>
          <t>Farhan Singh</t>
        </is>
      </c>
      <c r="C385" s="35" t="inlineStr">
        <is>
          <t>KOL-01</t>
        </is>
      </c>
      <c r="D385" s="36">
        <f>INDEX(Branches!$C$2:$C$15,MATCH(C385,Branches!$A$2:$A$15,0))</f>
        <v/>
      </c>
      <c r="E385" s="35" t="inlineStr">
        <is>
          <t>Auto Loan</t>
        </is>
      </c>
      <c r="F385" s="37" t="n">
        <v>45762</v>
      </c>
      <c r="G385" s="38" t="n">
        <v>952000</v>
      </c>
      <c r="H385" s="39" t="n">
        <v>0.1098</v>
      </c>
      <c r="I385" s="35" t="n">
        <v>48</v>
      </c>
      <c r="J385" s="35" t="n">
        <v>706</v>
      </c>
      <c r="K385" s="35" t="n">
        <v>0</v>
      </c>
      <c r="L385" s="40">
        <f>ROUND(PMT(H385/12,I385,-G385),0)</f>
        <v/>
      </c>
      <c r="M385" s="41">
        <f>MAX(0,(YEAR(AsOfDate)-YEAR(F385))*12+MONTH(AsOfDate)-MONTH(F385))</f>
        <v/>
      </c>
      <c r="N385" s="41">
        <f>MAX(0,MIN(I385,M385)-INT(K385/30))</f>
        <v/>
      </c>
      <c r="O385" s="40">
        <f>IF(N385&gt;=I385,0,ROUND(PV(H385/12,I385-N385,-L385),0))</f>
        <v/>
      </c>
      <c r="P385" s="40">
        <f>MIN(I385,M385)*L385-N385*L385</f>
        <v/>
      </c>
      <c r="Q385" s="41">
        <f>INDEX(DPD_Bucket,MATCH(K385,DPD_From,1))</f>
        <v/>
      </c>
      <c r="R385" s="41">
        <f>INDEX(DPD_Class,MATCH(K385,DPD_From,1))</f>
        <v/>
      </c>
      <c r="S385" s="41">
        <f>INDEX(DPD_NPA,MATCH(K385,DPD_From,1))</f>
        <v/>
      </c>
      <c r="T385" s="42">
        <f>INDEX(DPD_Prov,MATCH(K385,DPD_From,1))</f>
        <v/>
      </c>
      <c r="U385" s="40">
        <f>ROUND(O385*T385,0)</f>
        <v/>
      </c>
      <c r="V385" s="41">
        <f>INDEX(CIBIL_Grade,MATCH(J385,CIBIL_From,1))</f>
        <v/>
      </c>
      <c r="W385" s="41">
        <f>YEAR(F385)&amp;"-Q"&amp;ROUNDUP(MONTH(F385)/3,0)</f>
        <v/>
      </c>
      <c r="X385" s="41">
        <f>IF(AND(OR(Dashboard!$C$4="All",D385=Dashboard!$C$4),OR(Dashboard!$C$5="All",E385=Dashboard!$C$5)),1,0)</f>
        <v/>
      </c>
      <c r="Y385" s="43">
        <f>IF(AND(X385=1,S385="Yes"),O385+ROW()/1000000,0)</f>
        <v/>
      </c>
    </row>
    <row r="386">
      <c r="A386" s="35" t="inlineStr">
        <is>
          <t>LN100385</t>
        </is>
      </c>
      <c r="B386" s="35" t="inlineStr">
        <is>
          <t>Manish Menon</t>
        </is>
      </c>
      <c r="C386" s="35" t="inlineStr">
        <is>
          <t>LKO-01</t>
        </is>
      </c>
      <c r="D386" s="36">
        <f>INDEX(Branches!$C$2:$C$15,MATCH(C386,Branches!$A$2:$A$15,0))</f>
        <v/>
      </c>
      <c r="E386" s="35" t="inlineStr">
        <is>
          <t>Gold Loan</t>
        </is>
      </c>
      <c r="F386" s="37" t="n">
        <v>45142</v>
      </c>
      <c r="G386" s="38" t="n">
        <v>266000</v>
      </c>
      <c r="H386" s="39" t="n">
        <v>0.1071</v>
      </c>
      <c r="I386" s="35" t="n">
        <v>6</v>
      </c>
      <c r="J386" s="35" t="n">
        <v>659</v>
      </c>
      <c r="K386" s="35" t="n">
        <v>0</v>
      </c>
      <c r="L386" s="40">
        <f>ROUND(PMT(H386/12,I386,-G386),0)</f>
        <v/>
      </c>
      <c r="M386" s="41">
        <f>MAX(0,(YEAR(AsOfDate)-YEAR(F386))*12+MONTH(AsOfDate)-MONTH(F386))</f>
        <v/>
      </c>
      <c r="N386" s="41">
        <f>MAX(0,MIN(I386,M386)-INT(K386/30))</f>
        <v/>
      </c>
      <c r="O386" s="40">
        <f>IF(N386&gt;=I386,0,ROUND(PV(H386/12,I386-N386,-L386),0))</f>
        <v/>
      </c>
      <c r="P386" s="40">
        <f>MIN(I386,M386)*L386-N386*L386</f>
        <v/>
      </c>
      <c r="Q386" s="41">
        <f>INDEX(DPD_Bucket,MATCH(K386,DPD_From,1))</f>
        <v/>
      </c>
      <c r="R386" s="41">
        <f>INDEX(DPD_Class,MATCH(K386,DPD_From,1))</f>
        <v/>
      </c>
      <c r="S386" s="41">
        <f>INDEX(DPD_NPA,MATCH(K386,DPD_From,1))</f>
        <v/>
      </c>
      <c r="T386" s="42">
        <f>INDEX(DPD_Prov,MATCH(K386,DPD_From,1))</f>
        <v/>
      </c>
      <c r="U386" s="40">
        <f>ROUND(O386*T386,0)</f>
        <v/>
      </c>
      <c r="V386" s="41">
        <f>INDEX(CIBIL_Grade,MATCH(J386,CIBIL_From,1))</f>
        <v/>
      </c>
      <c r="W386" s="41">
        <f>YEAR(F386)&amp;"-Q"&amp;ROUNDUP(MONTH(F386)/3,0)</f>
        <v/>
      </c>
      <c r="X386" s="41">
        <f>IF(AND(OR(Dashboard!$C$4="All",D386=Dashboard!$C$4),OR(Dashboard!$C$5="All",E386=Dashboard!$C$5)),1,0)</f>
        <v/>
      </c>
      <c r="Y386" s="43">
        <f>IF(AND(X386=1,S386="Yes"),O386+ROW()/1000000,0)</f>
        <v/>
      </c>
    </row>
    <row r="387">
      <c r="A387" s="35" t="inlineStr">
        <is>
          <t>LN100386</t>
        </is>
      </c>
      <c r="B387" s="35" t="inlineStr">
        <is>
          <t>Meera Sharma</t>
        </is>
      </c>
      <c r="C387" s="35" t="inlineStr">
        <is>
          <t>LKO-01</t>
        </is>
      </c>
      <c r="D387" s="36">
        <f>INDEX(Branches!$C$2:$C$15,MATCH(C387,Branches!$A$2:$A$15,0))</f>
        <v/>
      </c>
      <c r="E387" s="35" t="inlineStr">
        <is>
          <t>Personal Loan</t>
        </is>
      </c>
      <c r="F387" s="37" t="n">
        <v>45588</v>
      </c>
      <c r="G387" s="38" t="n">
        <v>249000</v>
      </c>
      <c r="H387" s="39" t="n">
        <v>0.1336</v>
      </c>
      <c r="I387" s="35" t="n">
        <v>48</v>
      </c>
      <c r="J387" s="35" t="n">
        <v>714</v>
      </c>
      <c r="K387" s="35" t="n">
        <v>0</v>
      </c>
      <c r="L387" s="40">
        <f>ROUND(PMT(H387/12,I387,-G387),0)</f>
        <v/>
      </c>
      <c r="M387" s="41">
        <f>MAX(0,(YEAR(AsOfDate)-YEAR(F387))*12+MONTH(AsOfDate)-MONTH(F387))</f>
        <v/>
      </c>
      <c r="N387" s="41">
        <f>MAX(0,MIN(I387,M387)-INT(K387/30))</f>
        <v/>
      </c>
      <c r="O387" s="40">
        <f>IF(N387&gt;=I387,0,ROUND(PV(H387/12,I387-N387,-L387),0))</f>
        <v/>
      </c>
      <c r="P387" s="40">
        <f>MIN(I387,M387)*L387-N387*L387</f>
        <v/>
      </c>
      <c r="Q387" s="41">
        <f>INDEX(DPD_Bucket,MATCH(K387,DPD_From,1))</f>
        <v/>
      </c>
      <c r="R387" s="41">
        <f>INDEX(DPD_Class,MATCH(K387,DPD_From,1))</f>
        <v/>
      </c>
      <c r="S387" s="41">
        <f>INDEX(DPD_NPA,MATCH(K387,DPD_From,1))</f>
        <v/>
      </c>
      <c r="T387" s="42">
        <f>INDEX(DPD_Prov,MATCH(K387,DPD_From,1))</f>
        <v/>
      </c>
      <c r="U387" s="40">
        <f>ROUND(O387*T387,0)</f>
        <v/>
      </c>
      <c r="V387" s="41">
        <f>INDEX(CIBIL_Grade,MATCH(J387,CIBIL_From,1))</f>
        <v/>
      </c>
      <c r="W387" s="41">
        <f>YEAR(F387)&amp;"-Q"&amp;ROUNDUP(MONTH(F387)/3,0)</f>
        <v/>
      </c>
      <c r="X387" s="41">
        <f>IF(AND(OR(Dashboard!$C$4="All",D387=Dashboard!$C$4),OR(Dashboard!$C$5="All",E387=Dashboard!$C$5)),1,0)</f>
        <v/>
      </c>
      <c r="Y387" s="43">
        <f>IF(AND(X387=1,S387="Yes"),O387+ROW()/1000000,0)</f>
        <v/>
      </c>
    </row>
    <row r="388">
      <c r="A388" s="35" t="inlineStr">
        <is>
          <t>LN100387</t>
        </is>
      </c>
      <c r="B388" s="35" t="inlineStr">
        <is>
          <t>Deepa Gupta</t>
        </is>
      </c>
      <c r="C388" s="35" t="inlineStr">
        <is>
          <t>HYD-01</t>
        </is>
      </c>
      <c r="D388" s="36">
        <f>INDEX(Branches!$C$2:$C$15,MATCH(C388,Branches!$A$2:$A$15,0))</f>
        <v/>
      </c>
      <c r="E388" s="35" t="inlineStr">
        <is>
          <t>Home Loan</t>
        </is>
      </c>
      <c r="F388" s="37" t="n">
        <v>45764</v>
      </c>
      <c r="G388" s="38" t="n">
        <v>12912000</v>
      </c>
      <c r="H388" s="39" t="n">
        <v>0.09370000000000001</v>
      </c>
      <c r="I388" s="35" t="n">
        <v>120</v>
      </c>
      <c r="J388" s="35" t="n">
        <v>724</v>
      </c>
      <c r="K388" s="35" t="n">
        <v>0</v>
      </c>
      <c r="L388" s="40">
        <f>ROUND(PMT(H388/12,I388,-G388),0)</f>
        <v/>
      </c>
      <c r="M388" s="41">
        <f>MAX(0,(YEAR(AsOfDate)-YEAR(F388))*12+MONTH(AsOfDate)-MONTH(F388))</f>
        <v/>
      </c>
      <c r="N388" s="41">
        <f>MAX(0,MIN(I388,M388)-INT(K388/30))</f>
        <v/>
      </c>
      <c r="O388" s="40">
        <f>IF(N388&gt;=I388,0,ROUND(PV(H388/12,I388-N388,-L388),0))</f>
        <v/>
      </c>
      <c r="P388" s="40">
        <f>MIN(I388,M388)*L388-N388*L388</f>
        <v/>
      </c>
      <c r="Q388" s="41">
        <f>INDEX(DPD_Bucket,MATCH(K388,DPD_From,1))</f>
        <v/>
      </c>
      <c r="R388" s="41">
        <f>INDEX(DPD_Class,MATCH(K388,DPD_From,1))</f>
        <v/>
      </c>
      <c r="S388" s="41">
        <f>INDEX(DPD_NPA,MATCH(K388,DPD_From,1))</f>
        <v/>
      </c>
      <c r="T388" s="42">
        <f>INDEX(DPD_Prov,MATCH(K388,DPD_From,1))</f>
        <v/>
      </c>
      <c r="U388" s="40">
        <f>ROUND(O388*T388,0)</f>
        <v/>
      </c>
      <c r="V388" s="41">
        <f>INDEX(CIBIL_Grade,MATCH(J388,CIBIL_From,1))</f>
        <v/>
      </c>
      <c r="W388" s="41">
        <f>YEAR(F388)&amp;"-Q"&amp;ROUNDUP(MONTH(F388)/3,0)</f>
        <v/>
      </c>
      <c r="X388" s="41">
        <f>IF(AND(OR(Dashboard!$C$4="All",D388=Dashboard!$C$4),OR(Dashboard!$C$5="All",E388=Dashboard!$C$5)),1,0)</f>
        <v/>
      </c>
      <c r="Y388" s="43">
        <f>IF(AND(X388=1,S388="Yes"),O388+ROW()/1000000,0)</f>
        <v/>
      </c>
    </row>
    <row r="389">
      <c r="A389" s="35" t="inlineStr">
        <is>
          <t>LN100388</t>
        </is>
      </c>
      <c r="B389" s="35" t="inlineStr">
        <is>
          <t>Arjun Sahoo</t>
        </is>
      </c>
      <c r="C389" s="35" t="inlineStr">
        <is>
          <t>GUW-01</t>
        </is>
      </c>
      <c r="D389" s="36">
        <f>INDEX(Branches!$C$2:$C$15,MATCH(C389,Branches!$A$2:$A$15,0))</f>
        <v/>
      </c>
      <c r="E389" s="35" t="inlineStr">
        <is>
          <t>Auto Loan</t>
        </is>
      </c>
      <c r="F389" s="37" t="n">
        <v>45439</v>
      </c>
      <c r="G389" s="38" t="n">
        <v>1481000</v>
      </c>
      <c r="H389" s="39" t="n">
        <v>0.1064</v>
      </c>
      <c r="I389" s="35" t="n">
        <v>36</v>
      </c>
      <c r="J389" s="35" t="n">
        <v>830</v>
      </c>
      <c r="K389" s="35" t="n">
        <v>0</v>
      </c>
      <c r="L389" s="40">
        <f>ROUND(PMT(H389/12,I389,-G389),0)</f>
        <v/>
      </c>
      <c r="M389" s="41">
        <f>MAX(0,(YEAR(AsOfDate)-YEAR(F389))*12+MONTH(AsOfDate)-MONTH(F389))</f>
        <v/>
      </c>
      <c r="N389" s="41">
        <f>MAX(0,MIN(I389,M389)-INT(K389/30))</f>
        <v/>
      </c>
      <c r="O389" s="40">
        <f>IF(N389&gt;=I389,0,ROUND(PV(H389/12,I389-N389,-L389),0))</f>
        <v/>
      </c>
      <c r="P389" s="40">
        <f>MIN(I389,M389)*L389-N389*L389</f>
        <v/>
      </c>
      <c r="Q389" s="41">
        <f>INDEX(DPD_Bucket,MATCH(K389,DPD_From,1))</f>
        <v/>
      </c>
      <c r="R389" s="41">
        <f>INDEX(DPD_Class,MATCH(K389,DPD_From,1))</f>
        <v/>
      </c>
      <c r="S389" s="41">
        <f>INDEX(DPD_NPA,MATCH(K389,DPD_From,1))</f>
        <v/>
      </c>
      <c r="T389" s="42">
        <f>INDEX(DPD_Prov,MATCH(K389,DPD_From,1))</f>
        <v/>
      </c>
      <c r="U389" s="40">
        <f>ROUND(O389*T389,0)</f>
        <v/>
      </c>
      <c r="V389" s="41">
        <f>INDEX(CIBIL_Grade,MATCH(J389,CIBIL_From,1))</f>
        <v/>
      </c>
      <c r="W389" s="41">
        <f>YEAR(F389)&amp;"-Q"&amp;ROUNDUP(MONTH(F389)/3,0)</f>
        <v/>
      </c>
      <c r="X389" s="41">
        <f>IF(AND(OR(Dashboard!$C$4="All",D389=Dashboard!$C$4),OR(Dashboard!$C$5="All",E389=Dashboard!$C$5)),1,0)</f>
        <v/>
      </c>
      <c r="Y389" s="43">
        <f>IF(AND(X389=1,S389="Yes"),O389+ROW()/1000000,0)</f>
        <v/>
      </c>
    </row>
    <row r="390">
      <c r="A390" s="35" t="inlineStr">
        <is>
          <t>LN100389</t>
        </is>
      </c>
      <c r="B390" s="35" t="inlineStr">
        <is>
          <t>Farhan Verma</t>
        </is>
      </c>
      <c r="C390" s="35" t="inlineStr">
        <is>
          <t>AMD-01</t>
        </is>
      </c>
      <c r="D390" s="36">
        <f>INDEX(Branches!$C$2:$C$15,MATCH(C390,Branches!$A$2:$A$15,0))</f>
        <v/>
      </c>
      <c r="E390" s="35" t="inlineStr">
        <is>
          <t>Auto Loan</t>
        </is>
      </c>
      <c r="F390" s="37" t="n">
        <v>45687</v>
      </c>
      <c r="G390" s="38" t="n">
        <v>1020000</v>
      </c>
      <c r="H390" s="39" t="n">
        <v>0.1187</v>
      </c>
      <c r="I390" s="35" t="n">
        <v>84</v>
      </c>
      <c r="J390" s="35" t="n">
        <v>637</v>
      </c>
      <c r="K390" s="35" t="n">
        <v>0</v>
      </c>
      <c r="L390" s="40">
        <f>ROUND(PMT(H390/12,I390,-G390),0)</f>
        <v/>
      </c>
      <c r="M390" s="41">
        <f>MAX(0,(YEAR(AsOfDate)-YEAR(F390))*12+MONTH(AsOfDate)-MONTH(F390))</f>
        <v/>
      </c>
      <c r="N390" s="41">
        <f>MAX(0,MIN(I390,M390)-INT(K390/30))</f>
        <v/>
      </c>
      <c r="O390" s="40">
        <f>IF(N390&gt;=I390,0,ROUND(PV(H390/12,I390-N390,-L390),0))</f>
        <v/>
      </c>
      <c r="P390" s="40">
        <f>MIN(I390,M390)*L390-N390*L390</f>
        <v/>
      </c>
      <c r="Q390" s="41">
        <f>INDEX(DPD_Bucket,MATCH(K390,DPD_From,1))</f>
        <v/>
      </c>
      <c r="R390" s="41">
        <f>INDEX(DPD_Class,MATCH(K390,DPD_From,1))</f>
        <v/>
      </c>
      <c r="S390" s="41">
        <f>INDEX(DPD_NPA,MATCH(K390,DPD_From,1))</f>
        <v/>
      </c>
      <c r="T390" s="42">
        <f>INDEX(DPD_Prov,MATCH(K390,DPD_From,1))</f>
        <v/>
      </c>
      <c r="U390" s="40">
        <f>ROUND(O390*T390,0)</f>
        <v/>
      </c>
      <c r="V390" s="41">
        <f>INDEX(CIBIL_Grade,MATCH(J390,CIBIL_From,1))</f>
        <v/>
      </c>
      <c r="W390" s="41">
        <f>YEAR(F390)&amp;"-Q"&amp;ROUNDUP(MONTH(F390)/3,0)</f>
        <v/>
      </c>
      <c r="X390" s="41">
        <f>IF(AND(OR(Dashboard!$C$4="All",D390=Dashboard!$C$4),OR(Dashboard!$C$5="All",E390=Dashboard!$C$5)),1,0)</f>
        <v/>
      </c>
      <c r="Y390" s="43">
        <f>IF(AND(X390=1,S390="Yes"),O390+ROW()/1000000,0)</f>
        <v/>
      </c>
    </row>
    <row r="391">
      <c r="A391" s="35" t="inlineStr">
        <is>
          <t>LN100390</t>
        </is>
      </c>
      <c r="B391" s="35" t="inlineStr">
        <is>
          <t>Manish Mishra</t>
        </is>
      </c>
      <c r="C391" s="35" t="inlineStr">
        <is>
          <t>LKO-01</t>
        </is>
      </c>
      <c r="D391" s="36">
        <f>INDEX(Branches!$C$2:$C$15,MATCH(C391,Branches!$A$2:$A$15,0))</f>
        <v/>
      </c>
      <c r="E391" s="35" t="inlineStr">
        <is>
          <t>Gold Loan</t>
        </is>
      </c>
      <c r="F391" s="37" t="n">
        <v>46063</v>
      </c>
      <c r="G391" s="38" t="n">
        <v>382000</v>
      </c>
      <c r="H391" s="39" t="n">
        <v>0.0959</v>
      </c>
      <c r="I391" s="35" t="n">
        <v>12</v>
      </c>
      <c r="J391" s="35" t="n">
        <v>728</v>
      </c>
      <c r="K391" s="35" t="n">
        <v>80</v>
      </c>
      <c r="L391" s="40">
        <f>ROUND(PMT(H391/12,I391,-G391),0)</f>
        <v/>
      </c>
      <c r="M391" s="41">
        <f>MAX(0,(YEAR(AsOfDate)-YEAR(F391))*12+MONTH(AsOfDate)-MONTH(F391))</f>
        <v/>
      </c>
      <c r="N391" s="41">
        <f>MAX(0,MIN(I391,M391)-INT(K391/30))</f>
        <v/>
      </c>
      <c r="O391" s="40">
        <f>IF(N391&gt;=I391,0,ROUND(PV(H391/12,I391-N391,-L391),0))</f>
        <v/>
      </c>
      <c r="P391" s="40">
        <f>MIN(I391,M391)*L391-N391*L391</f>
        <v/>
      </c>
      <c r="Q391" s="41">
        <f>INDEX(DPD_Bucket,MATCH(K391,DPD_From,1))</f>
        <v/>
      </c>
      <c r="R391" s="41">
        <f>INDEX(DPD_Class,MATCH(K391,DPD_From,1))</f>
        <v/>
      </c>
      <c r="S391" s="41">
        <f>INDEX(DPD_NPA,MATCH(K391,DPD_From,1))</f>
        <v/>
      </c>
      <c r="T391" s="42">
        <f>INDEX(DPD_Prov,MATCH(K391,DPD_From,1))</f>
        <v/>
      </c>
      <c r="U391" s="40">
        <f>ROUND(O391*T391,0)</f>
        <v/>
      </c>
      <c r="V391" s="41">
        <f>INDEX(CIBIL_Grade,MATCH(J391,CIBIL_From,1))</f>
        <v/>
      </c>
      <c r="W391" s="41">
        <f>YEAR(F391)&amp;"-Q"&amp;ROUNDUP(MONTH(F391)/3,0)</f>
        <v/>
      </c>
      <c r="X391" s="41">
        <f>IF(AND(OR(Dashboard!$C$4="All",D391=Dashboard!$C$4),OR(Dashboard!$C$5="All",E391=Dashboard!$C$5)),1,0)</f>
        <v/>
      </c>
      <c r="Y391" s="43">
        <f>IF(AND(X391=1,S391="Yes"),O391+ROW()/1000000,0)</f>
        <v/>
      </c>
    </row>
    <row r="392">
      <c r="A392" s="35" t="inlineStr">
        <is>
          <t>LN100391</t>
        </is>
      </c>
      <c r="B392" s="35" t="inlineStr">
        <is>
          <t>Rohan Gupta</t>
        </is>
      </c>
      <c r="C392" s="35" t="inlineStr">
        <is>
          <t>HYD-01</t>
        </is>
      </c>
      <c r="D392" s="36">
        <f>INDEX(Branches!$C$2:$C$15,MATCH(C392,Branches!$A$2:$A$15,0))</f>
        <v/>
      </c>
      <c r="E392" s="35" t="inlineStr">
        <is>
          <t>Business Loan</t>
        </is>
      </c>
      <c r="F392" s="37" t="n">
        <v>45571</v>
      </c>
      <c r="G392" s="38" t="n">
        <v>1224000</v>
      </c>
      <c r="H392" s="39" t="n">
        <v>0.1892</v>
      </c>
      <c r="I392" s="35" t="n">
        <v>24</v>
      </c>
      <c r="J392" s="35" t="n">
        <v>585</v>
      </c>
      <c r="K392" s="35" t="n">
        <v>77</v>
      </c>
      <c r="L392" s="40">
        <f>ROUND(PMT(H392/12,I392,-G392),0)</f>
        <v/>
      </c>
      <c r="M392" s="41">
        <f>MAX(0,(YEAR(AsOfDate)-YEAR(F392))*12+MONTH(AsOfDate)-MONTH(F392))</f>
        <v/>
      </c>
      <c r="N392" s="41">
        <f>MAX(0,MIN(I392,M392)-INT(K392/30))</f>
        <v/>
      </c>
      <c r="O392" s="40">
        <f>IF(N392&gt;=I392,0,ROUND(PV(H392/12,I392-N392,-L392),0))</f>
        <v/>
      </c>
      <c r="P392" s="40">
        <f>MIN(I392,M392)*L392-N392*L392</f>
        <v/>
      </c>
      <c r="Q392" s="41">
        <f>INDEX(DPD_Bucket,MATCH(K392,DPD_From,1))</f>
        <v/>
      </c>
      <c r="R392" s="41">
        <f>INDEX(DPD_Class,MATCH(K392,DPD_From,1))</f>
        <v/>
      </c>
      <c r="S392" s="41">
        <f>INDEX(DPD_NPA,MATCH(K392,DPD_From,1))</f>
        <v/>
      </c>
      <c r="T392" s="42">
        <f>INDEX(DPD_Prov,MATCH(K392,DPD_From,1))</f>
        <v/>
      </c>
      <c r="U392" s="40">
        <f>ROUND(O392*T392,0)</f>
        <v/>
      </c>
      <c r="V392" s="41">
        <f>INDEX(CIBIL_Grade,MATCH(J392,CIBIL_From,1))</f>
        <v/>
      </c>
      <c r="W392" s="41">
        <f>YEAR(F392)&amp;"-Q"&amp;ROUNDUP(MONTH(F392)/3,0)</f>
        <v/>
      </c>
      <c r="X392" s="41">
        <f>IF(AND(OR(Dashboard!$C$4="All",D392=Dashboard!$C$4),OR(Dashboard!$C$5="All",E392=Dashboard!$C$5)),1,0)</f>
        <v/>
      </c>
      <c r="Y392" s="43">
        <f>IF(AND(X392=1,S392="Yes"),O392+ROW()/1000000,0)</f>
        <v/>
      </c>
    </row>
    <row r="393">
      <c r="A393" s="35" t="inlineStr">
        <is>
          <t>LN100392</t>
        </is>
      </c>
      <c r="B393" s="35" t="inlineStr">
        <is>
          <t>Harsh Rao</t>
        </is>
      </c>
      <c r="C393" s="35" t="inlineStr">
        <is>
          <t>JAI-01</t>
        </is>
      </c>
      <c r="D393" s="36">
        <f>INDEX(Branches!$C$2:$C$15,MATCH(C393,Branches!$A$2:$A$15,0))</f>
        <v/>
      </c>
      <c r="E393" s="35" t="inlineStr">
        <is>
          <t>Home Loan</t>
        </is>
      </c>
      <c r="F393" s="37" t="n">
        <v>45856</v>
      </c>
      <c r="G393" s="38" t="n">
        <v>2661000</v>
      </c>
      <c r="H393" s="39" t="n">
        <v>0.09710000000000001</v>
      </c>
      <c r="I393" s="35" t="n">
        <v>180</v>
      </c>
      <c r="J393" s="35" t="n">
        <v>784</v>
      </c>
      <c r="K393" s="35" t="n">
        <v>0</v>
      </c>
      <c r="L393" s="40">
        <f>ROUND(PMT(H393/12,I393,-G393),0)</f>
        <v/>
      </c>
      <c r="M393" s="41">
        <f>MAX(0,(YEAR(AsOfDate)-YEAR(F393))*12+MONTH(AsOfDate)-MONTH(F393))</f>
        <v/>
      </c>
      <c r="N393" s="41">
        <f>MAX(0,MIN(I393,M393)-INT(K393/30))</f>
        <v/>
      </c>
      <c r="O393" s="40">
        <f>IF(N393&gt;=I393,0,ROUND(PV(H393/12,I393-N393,-L393),0))</f>
        <v/>
      </c>
      <c r="P393" s="40">
        <f>MIN(I393,M393)*L393-N393*L393</f>
        <v/>
      </c>
      <c r="Q393" s="41">
        <f>INDEX(DPD_Bucket,MATCH(K393,DPD_From,1))</f>
        <v/>
      </c>
      <c r="R393" s="41">
        <f>INDEX(DPD_Class,MATCH(K393,DPD_From,1))</f>
        <v/>
      </c>
      <c r="S393" s="41">
        <f>INDEX(DPD_NPA,MATCH(K393,DPD_From,1))</f>
        <v/>
      </c>
      <c r="T393" s="42">
        <f>INDEX(DPD_Prov,MATCH(K393,DPD_From,1))</f>
        <v/>
      </c>
      <c r="U393" s="40">
        <f>ROUND(O393*T393,0)</f>
        <v/>
      </c>
      <c r="V393" s="41">
        <f>INDEX(CIBIL_Grade,MATCH(J393,CIBIL_From,1))</f>
        <v/>
      </c>
      <c r="W393" s="41">
        <f>YEAR(F393)&amp;"-Q"&amp;ROUNDUP(MONTH(F393)/3,0)</f>
        <v/>
      </c>
      <c r="X393" s="41">
        <f>IF(AND(OR(Dashboard!$C$4="All",D393=Dashboard!$C$4),OR(Dashboard!$C$5="All",E393=Dashboard!$C$5)),1,0)</f>
        <v/>
      </c>
      <c r="Y393" s="43">
        <f>IF(AND(X393=1,S393="Yes"),O393+ROW()/1000000,0)</f>
        <v/>
      </c>
    </row>
    <row r="394">
      <c r="A394" s="35" t="inlineStr">
        <is>
          <t>LN100393</t>
        </is>
      </c>
      <c r="B394" s="35" t="inlineStr">
        <is>
          <t>Rahul Patel</t>
        </is>
      </c>
      <c r="C394" s="35" t="inlineStr">
        <is>
          <t>AMD-01</t>
        </is>
      </c>
      <c r="D394" s="36">
        <f>INDEX(Branches!$C$2:$C$15,MATCH(C394,Branches!$A$2:$A$15,0))</f>
        <v/>
      </c>
      <c r="E394" s="35" t="inlineStr">
        <is>
          <t>Personal Loan</t>
        </is>
      </c>
      <c r="F394" s="37" t="n">
        <v>45169</v>
      </c>
      <c r="G394" s="38" t="n">
        <v>860000</v>
      </c>
      <c r="H394" s="39" t="n">
        <v>0.1353</v>
      </c>
      <c r="I394" s="35" t="n">
        <v>36</v>
      </c>
      <c r="J394" s="35" t="n">
        <v>752</v>
      </c>
      <c r="K394" s="35" t="n">
        <v>748</v>
      </c>
      <c r="L394" s="40">
        <f>ROUND(PMT(H394/12,I394,-G394),0)</f>
        <v/>
      </c>
      <c r="M394" s="41">
        <f>MAX(0,(YEAR(AsOfDate)-YEAR(F394))*12+MONTH(AsOfDate)-MONTH(F394))</f>
        <v/>
      </c>
      <c r="N394" s="41">
        <f>MAX(0,MIN(I394,M394)-INT(K394/30))</f>
        <v/>
      </c>
      <c r="O394" s="40">
        <f>IF(N394&gt;=I394,0,ROUND(PV(H394/12,I394-N394,-L394),0))</f>
        <v/>
      </c>
      <c r="P394" s="40">
        <f>MIN(I394,M394)*L394-N394*L394</f>
        <v/>
      </c>
      <c r="Q394" s="41">
        <f>INDEX(DPD_Bucket,MATCH(K394,DPD_From,1))</f>
        <v/>
      </c>
      <c r="R394" s="41">
        <f>INDEX(DPD_Class,MATCH(K394,DPD_From,1))</f>
        <v/>
      </c>
      <c r="S394" s="41">
        <f>INDEX(DPD_NPA,MATCH(K394,DPD_From,1))</f>
        <v/>
      </c>
      <c r="T394" s="42">
        <f>INDEX(DPD_Prov,MATCH(K394,DPD_From,1))</f>
        <v/>
      </c>
      <c r="U394" s="40">
        <f>ROUND(O394*T394,0)</f>
        <v/>
      </c>
      <c r="V394" s="41">
        <f>INDEX(CIBIL_Grade,MATCH(J394,CIBIL_From,1))</f>
        <v/>
      </c>
      <c r="W394" s="41">
        <f>YEAR(F394)&amp;"-Q"&amp;ROUNDUP(MONTH(F394)/3,0)</f>
        <v/>
      </c>
      <c r="X394" s="41">
        <f>IF(AND(OR(Dashboard!$C$4="All",D394=Dashboard!$C$4),OR(Dashboard!$C$5="All",E394=Dashboard!$C$5)),1,0)</f>
        <v/>
      </c>
      <c r="Y394" s="43">
        <f>IF(AND(X394=1,S394="Yes"),O394+ROW()/1000000,0)</f>
        <v/>
      </c>
    </row>
    <row r="395">
      <c r="A395" s="35" t="inlineStr">
        <is>
          <t>LN100394</t>
        </is>
      </c>
      <c r="B395" s="35" t="inlineStr">
        <is>
          <t>Diya Das</t>
        </is>
      </c>
      <c r="C395" s="35" t="inlineStr">
        <is>
          <t>PAT-01</t>
        </is>
      </c>
      <c r="D395" s="36">
        <f>INDEX(Branches!$C$2:$C$15,MATCH(C395,Branches!$A$2:$A$15,0))</f>
        <v/>
      </c>
      <c r="E395" s="35" t="inlineStr">
        <is>
          <t>Auto Loan</t>
        </is>
      </c>
      <c r="F395" s="37" t="n">
        <v>45494</v>
      </c>
      <c r="G395" s="38" t="n">
        <v>1389000</v>
      </c>
      <c r="H395" s="39" t="n">
        <v>0.1037</v>
      </c>
      <c r="I395" s="35" t="n">
        <v>48</v>
      </c>
      <c r="J395" s="35" t="n">
        <v>667</v>
      </c>
      <c r="K395" s="35" t="n">
        <v>0</v>
      </c>
      <c r="L395" s="40">
        <f>ROUND(PMT(H395/12,I395,-G395),0)</f>
        <v/>
      </c>
      <c r="M395" s="41">
        <f>MAX(0,(YEAR(AsOfDate)-YEAR(F395))*12+MONTH(AsOfDate)-MONTH(F395))</f>
        <v/>
      </c>
      <c r="N395" s="41">
        <f>MAX(0,MIN(I395,M395)-INT(K395/30))</f>
        <v/>
      </c>
      <c r="O395" s="40">
        <f>IF(N395&gt;=I395,0,ROUND(PV(H395/12,I395-N395,-L395),0))</f>
        <v/>
      </c>
      <c r="P395" s="40">
        <f>MIN(I395,M395)*L395-N395*L395</f>
        <v/>
      </c>
      <c r="Q395" s="41">
        <f>INDEX(DPD_Bucket,MATCH(K395,DPD_From,1))</f>
        <v/>
      </c>
      <c r="R395" s="41">
        <f>INDEX(DPD_Class,MATCH(K395,DPD_From,1))</f>
        <v/>
      </c>
      <c r="S395" s="41">
        <f>INDEX(DPD_NPA,MATCH(K395,DPD_From,1))</f>
        <v/>
      </c>
      <c r="T395" s="42">
        <f>INDEX(DPD_Prov,MATCH(K395,DPD_From,1))</f>
        <v/>
      </c>
      <c r="U395" s="40">
        <f>ROUND(O395*T395,0)</f>
        <v/>
      </c>
      <c r="V395" s="41">
        <f>INDEX(CIBIL_Grade,MATCH(J395,CIBIL_From,1))</f>
        <v/>
      </c>
      <c r="W395" s="41">
        <f>YEAR(F395)&amp;"-Q"&amp;ROUNDUP(MONTH(F395)/3,0)</f>
        <v/>
      </c>
      <c r="X395" s="41">
        <f>IF(AND(OR(Dashboard!$C$4="All",D395=Dashboard!$C$4),OR(Dashboard!$C$5="All",E395=Dashboard!$C$5)),1,0)</f>
        <v/>
      </c>
      <c r="Y395" s="43">
        <f>IF(AND(X395=1,S395="Yes"),O395+ROW()/1000000,0)</f>
        <v/>
      </c>
    </row>
    <row r="396">
      <c r="A396" s="35" t="inlineStr">
        <is>
          <t>LN100395</t>
        </is>
      </c>
      <c r="B396" s="35" t="inlineStr">
        <is>
          <t>Suresh Sahoo</t>
        </is>
      </c>
      <c r="C396" s="35" t="inlineStr">
        <is>
          <t>KOC-01</t>
        </is>
      </c>
      <c r="D396" s="36">
        <f>INDEX(Branches!$C$2:$C$15,MATCH(C396,Branches!$A$2:$A$15,0))</f>
        <v/>
      </c>
      <c r="E396" s="35" t="inlineStr">
        <is>
          <t>Personal Loan</t>
        </is>
      </c>
      <c r="F396" s="37" t="n">
        <v>45939</v>
      </c>
      <c r="G396" s="38" t="n">
        <v>1442000</v>
      </c>
      <c r="H396" s="39" t="n">
        <v>0.1562</v>
      </c>
      <c r="I396" s="35" t="n">
        <v>12</v>
      </c>
      <c r="J396" s="35" t="n">
        <v>705</v>
      </c>
      <c r="K396" s="35" t="n">
        <v>0</v>
      </c>
      <c r="L396" s="40">
        <f>ROUND(PMT(H396/12,I396,-G396),0)</f>
        <v/>
      </c>
      <c r="M396" s="41">
        <f>MAX(0,(YEAR(AsOfDate)-YEAR(F396))*12+MONTH(AsOfDate)-MONTH(F396))</f>
        <v/>
      </c>
      <c r="N396" s="41">
        <f>MAX(0,MIN(I396,M396)-INT(K396/30))</f>
        <v/>
      </c>
      <c r="O396" s="40">
        <f>IF(N396&gt;=I396,0,ROUND(PV(H396/12,I396-N396,-L396),0))</f>
        <v/>
      </c>
      <c r="P396" s="40">
        <f>MIN(I396,M396)*L396-N396*L396</f>
        <v/>
      </c>
      <c r="Q396" s="41">
        <f>INDEX(DPD_Bucket,MATCH(K396,DPD_From,1))</f>
        <v/>
      </c>
      <c r="R396" s="41">
        <f>INDEX(DPD_Class,MATCH(K396,DPD_From,1))</f>
        <v/>
      </c>
      <c r="S396" s="41">
        <f>INDEX(DPD_NPA,MATCH(K396,DPD_From,1))</f>
        <v/>
      </c>
      <c r="T396" s="42">
        <f>INDEX(DPD_Prov,MATCH(K396,DPD_From,1))</f>
        <v/>
      </c>
      <c r="U396" s="40">
        <f>ROUND(O396*T396,0)</f>
        <v/>
      </c>
      <c r="V396" s="41">
        <f>INDEX(CIBIL_Grade,MATCH(J396,CIBIL_From,1))</f>
        <v/>
      </c>
      <c r="W396" s="41">
        <f>YEAR(F396)&amp;"-Q"&amp;ROUNDUP(MONTH(F396)/3,0)</f>
        <v/>
      </c>
      <c r="X396" s="41">
        <f>IF(AND(OR(Dashboard!$C$4="All",D396=Dashboard!$C$4),OR(Dashboard!$C$5="All",E396=Dashboard!$C$5)),1,0)</f>
        <v/>
      </c>
      <c r="Y396" s="43">
        <f>IF(AND(X396=1,S396="Yes"),O396+ROW()/1000000,0)</f>
        <v/>
      </c>
    </row>
    <row r="397">
      <c r="A397" s="35" t="inlineStr">
        <is>
          <t>LN100396</t>
        </is>
      </c>
      <c r="B397" s="35" t="inlineStr">
        <is>
          <t>Zoya Singh</t>
        </is>
      </c>
      <c r="C397" s="35" t="inlineStr">
        <is>
          <t>BLR-01</t>
        </is>
      </c>
      <c r="D397" s="36">
        <f>INDEX(Branches!$C$2:$C$15,MATCH(C397,Branches!$A$2:$A$15,0))</f>
        <v/>
      </c>
      <c r="E397" s="35" t="inlineStr">
        <is>
          <t>Auto Loan</t>
        </is>
      </c>
      <c r="F397" s="37" t="n">
        <v>45383</v>
      </c>
      <c r="G397" s="38" t="n">
        <v>1858000</v>
      </c>
      <c r="H397" s="39" t="n">
        <v>0.1145</v>
      </c>
      <c r="I397" s="35" t="n">
        <v>36</v>
      </c>
      <c r="J397" s="35" t="n">
        <v>682</v>
      </c>
      <c r="K397" s="35" t="n">
        <v>0</v>
      </c>
      <c r="L397" s="40">
        <f>ROUND(PMT(H397/12,I397,-G397),0)</f>
        <v/>
      </c>
      <c r="M397" s="41">
        <f>MAX(0,(YEAR(AsOfDate)-YEAR(F397))*12+MONTH(AsOfDate)-MONTH(F397))</f>
        <v/>
      </c>
      <c r="N397" s="41">
        <f>MAX(0,MIN(I397,M397)-INT(K397/30))</f>
        <v/>
      </c>
      <c r="O397" s="40">
        <f>IF(N397&gt;=I397,0,ROUND(PV(H397/12,I397-N397,-L397),0))</f>
        <v/>
      </c>
      <c r="P397" s="40">
        <f>MIN(I397,M397)*L397-N397*L397</f>
        <v/>
      </c>
      <c r="Q397" s="41">
        <f>INDEX(DPD_Bucket,MATCH(K397,DPD_From,1))</f>
        <v/>
      </c>
      <c r="R397" s="41">
        <f>INDEX(DPD_Class,MATCH(K397,DPD_From,1))</f>
        <v/>
      </c>
      <c r="S397" s="41">
        <f>INDEX(DPD_NPA,MATCH(K397,DPD_From,1))</f>
        <v/>
      </c>
      <c r="T397" s="42">
        <f>INDEX(DPD_Prov,MATCH(K397,DPD_From,1))</f>
        <v/>
      </c>
      <c r="U397" s="40">
        <f>ROUND(O397*T397,0)</f>
        <v/>
      </c>
      <c r="V397" s="41">
        <f>INDEX(CIBIL_Grade,MATCH(J397,CIBIL_From,1))</f>
        <v/>
      </c>
      <c r="W397" s="41">
        <f>YEAR(F397)&amp;"-Q"&amp;ROUNDUP(MONTH(F397)/3,0)</f>
        <v/>
      </c>
      <c r="X397" s="41">
        <f>IF(AND(OR(Dashboard!$C$4="All",D397=Dashboard!$C$4),OR(Dashboard!$C$5="All",E397=Dashboard!$C$5)),1,0)</f>
        <v/>
      </c>
      <c r="Y397" s="43">
        <f>IF(AND(X397=1,S397="Yes"),O397+ROW()/1000000,0)</f>
        <v/>
      </c>
    </row>
    <row r="398">
      <c r="A398" s="35" t="inlineStr">
        <is>
          <t>LN100397</t>
        </is>
      </c>
      <c r="B398" s="35" t="inlineStr">
        <is>
          <t>Rahul Iyer</t>
        </is>
      </c>
      <c r="C398" s="35" t="inlineStr">
        <is>
          <t>CHN-01</t>
        </is>
      </c>
      <c r="D398" s="36">
        <f>INDEX(Branches!$C$2:$C$15,MATCH(C398,Branches!$A$2:$A$15,0))</f>
        <v/>
      </c>
      <c r="E398" s="35" t="inlineStr">
        <is>
          <t>Auto Loan</t>
        </is>
      </c>
      <c r="F398" s="37" t="n">
        <v>45177</v>
      </c>
      <c r="G398" s="38" t="n">
        <v>668000</v>
      </c>
      <c r="H398" s="39" t="n">
        <v>0.1186</v>
      </c>
      <c r="I398" s="35" t="n">
        <v>84</v>
      </c>
      <c r="J398" s="35" t="n">
        <v>848</v>
      </c>
      <c r="K398" s="35" t="n">
        <v>0</v>
      </c>
      <c r="L398" s="40">
        <f>ROUND(PMT(H398/12,I398,-G398),0)</f>
        <v/>
      </c>
      <c r="M398" s="41">
        <f>MAX(0,(YEAR(AsOfDate)-YEAR(F398))*12+MONTH(AsOfDate)-MONTH(F398))</f>
        <v/>
      </c>
      <c r="N398" s="41">
        <f>MAX(0,MIN(I398,M398)-INT(K398/30))</f>
        <v/>
      </c>
      <c r="O398" s="40">
        <f>IF(N398&gt;=I398,0,ROUND(PV(H398/12,I398-N398,-L398),0))</f>
        <v/>
      </c>
      <c r="P398" s="40">
        <f>MIN(I398,M398)*L398-N398*L398</f>
        <v/>
      </c>
      <c r="Q398" s="41">
        <f>INDEX(DPD_Bucket,MATCH(K398,DPD_From,1))</f>
        <v/>
      </c>
      <c r="R398" s="41">
        <f>INDEX(DPD_Class,MATCH(K398,DPD_From,1))</f>
        <v/>
      </c>
      <c r="S398" s="41">
        <f>INDEX(DPD_NPA,MATCH(K398,DPD_From,1))</f>
        <v/>
      </c>
      <c r="T398" s="42">
        <f>INDEX(DPD_Prov,MATCH(K398,DPD_From,1))</f>
        <v/>
      </c>
      <c r="U398" s="40">
        <f>ROUND(O398*T398,0)</f>
        <v/>
      </c>
      <c r="V398" s="41">
        <f>INDEX(CIBIL_Grade,MATCH(J398,CIBIL_From,1))</f>
        <v/>
      </c>
      <c r="W398" s="41">
        <f>YEAR(F398)&amp;"-Q"&amp;ROUNDUP(MONTH(F398)/3,0)</f>
        <v/>
      </c>
      <c r="X398" s="41">
        <f>IF(AND(OR(Dashboard!$C$4="All",D398=Dashboard!$C$4),OR(Dashboard!$C$5="All",E398=Dashboard!$C$5)),1,0)</f>
        <v/>
      </c>
      <c r="Y398" s="43">
        <f>IF(AND(X398=1,S398="Yes"),O398+ROW()/1000000,0)</f>
        <v/>
      </c>
    </row>
    <row r="399">
      <c r="A399" s="35" t="inlineStr">
        <is>
          <t>LN100398</t>
        </is>
      </c>
      <c r="B399" s="35" t="inlineStr">
        <is>
          <t>Lakshmi Das</t>
        </is>
      </c>
      <c r="C399" s="35" t="inlineStr">
        <is>
          <t>GUW-01</t>
        </is>
      </c>
      <c r="D399" s="36">
        <f>INDEX(Branches!$C$2:$C$15,MATCH(C399,Branches!$A$2:$A$15,0))</f>
        <v/>
      </c>
      <c r="E399" s="35" t="inlineStr">
        <is>
          <t>Personal Loan</t>
        </is>
      </c>
      <c r="F399" s="37" t="n">
        <v>46039</v>
      </c>
      <c r="G399" s="38" t="n">
        <v>1060000</v>
      </c>
      <c r="H399" s="39" t="n">
        <v>0.1677</v>
      </c>
      <c r="I399" s="35" t="n">
        <v>12</v>
      </c>
      <c r="J399" s="35" t="n">
        <v>766</v>
      </c>
      <c r="K399" s="35" t="n">
        <v>0</v>
      </c>
      <c r="L399" s="40">
        <f>ROUND(PMT(H399/12,I399,-G399),0)</f>
        <v/>
      </c>
      <c r="M399" s="41">
        <f>MAX(0,(YEAR(AsOfDate)-YEAR(F399))*12+MONTH(AsOfDate)-MONTH(F399))</f>
        <v/>
      </c>
      <c r="N399" s="41">
        <f>MAX(0,MIN(I399,M399)-INT(K399/30))</f>
        <v/>
      </c>
      <c r="O399" s="40">
        <f>IF(N399&gt;=I399,0,ROUND(PV(H399/12,I399-N399,-L399),0))</f>
        <v/>
      </c>
      <c r="P399" s="40">
        <f>MIN(I399,M399)*L399-N399*L399</f>
        <v/>
      </c>
      <c r="Q399" s="41">
        <f>INDEX(DPD_Bucket,MATCH(K399,DPD_From,1))</f>
        <v/>
      </c>
      <c r="R399" s="41">
        <f>INDEX(DPD_Class,MATCH(K399,DPD_From,1))</f>
        <v/>
      </c>
      <c r="S399" s="41">
        <f>INDEX(DPD_NPA,MATCH(K399,DPD_From,1))</f>
        <v/>
      </c>
      <c r="T399" s="42">
        <f>INDEX(DPD_Prov,MATCH(K399,DPD_From,1))</f>
        <v/>
      </c>
      <c r="U399" s="40">
        <f>ROUND(O399*T399,0)</f>
        <v/>
      </c>
      <c r="V399" s="41">
        <f>INDEX(CIBIL_Grade,MATCH(J399,CIBIL_From,1))</f>
        <v/>
      </c>
      <c r="W399" s="41">
        <f>YEAR(F399)&amp;"-Q"&amp;ROUNDUP(MONTH(F399)/3,0)</f>
        <v/>
      </c>
      <c r="X399" s="41">
        <f>IF(AND(OR(Dashboard!$C$4="All",D399=Dashboard!$C$4),OR(Dashboard!$C$5="All",E399=Dashboard!$C$5)),1,0)</f>
        <v/>
      </c>
      <c r="Y399" s="43">
        <f>IF(AND(X399=1,S399="Yes"),O399+ROW()/1000000,0)</f>
        <v/>
      </c>
    </row>
    <row r="400">
      <c r="A400" s="35" t="inlineStr">
        <is>
          <t>LN100399</t>
        </is>
      </c>
      <c r="B400" s="35" t="inlineStr">
        <is>
          <t>Sai Sharma</t>
        </is>
      </c>
      <c r="C400" s="35" t="inlineStr">
        <is>
          <t>DEL-01</t>
        </is>
      </c>
      <c r="D400" s="36">
        <f>INDEX(Branches!$C$2:$C$15,MATCH(C400,Branches!$A$2:$A$15,0))</f>
        <v/>
      </c>
      <c r="E400" s="35" t="inlineStr">
        <is>
          <t>Home Loan</t>
        </is>
      </c>
      <c r="F400" s="37" t="n">
        <v>45282</v>
      </c>
      <c r="G400" s="38" t="n">
        <v>11319000</v>
      </c>
      <c r="H400" s="39" t="n">
        <v>0.08450000000000001</v>
      </c>
      <c r="I400" s="35" t="n">
        <v>240</v>
      </c>
      <c r="J400" s="35" t="n">
        <v>656</v>
      </c>
      <c r="K400" s="35" t="n">
        <v>0</v>
      </c>
      <c r="L400" s="40">
        <f>ROUND(PMT(H400/12,I400,-G400),0)</f>
        <v/>
      </c>
      <c r="M400" s="41">
        <f>MAX(0,(YEAR(AsOfDate)-YEAR(F400))*12+MONTH(AsOfDate)-MONTH(F400))</f>
        <v/>
      </c>
      <c r="N400" s="41">
        <f>MAX(0,MIN(I400,M400)-INT(K400/30))</f>
        <v/>
      </c>
      <c r="O400" s="40">
        <f>IF(N400&gt;=I400,0,ROUND(PV(H400/12,I400-N400,-L400),0))</f>
        <v/>
      </c>
      <c r="P400" s="40">
        <f>MIN(I400,M400)*L400-N400*L400</f>
        <v/>
      </c>
      <c r="Q400" s="41">
        <f>INDEX(DPD_Bucket,MATCH(K400,DPD_From,1))</f>
        <v/>
      </c>
      <c r="R400" s="41">
        <f>INDEX(DPD_Class,MATCH(K400,DPD_From,1))</f>
        <v/>
      </c>
      <c r="S400" s="41">
        <f>INDEX(DPD_NPA,MATCH(K400,DPD_From,1))</f>
        <v/>
      </c>
      <c r="T400" s="42">
        <f>INDEX(DPD_Prov,MATCH(K400,DPD_From,1))</f>
        <v/>
      </c>
      <c r="U400" s="40">
        <f>ROUND(O400*T400,0)</f>
        <v/>
      </c>
      <c r="V400" s="41">
        <f>INDEX(CIBIL_Grade,MATCH(J400,CIBIL_From,1))</f>
        <v/>
      </c>
      <c r="W400" s="41">
        <f>YEAR(F400)&amp;"-Q"&amp;ROUNDUP(MONTH(F400)/3,0)</f>
        <v/>
      </c>
      <c r="X400" s="41">
        <f>IF(AND(OR(Dashboard!$C$4="All",D400=Dashboard!$C$4),OR(Dashboard!$C$5="All",E400=Dashboard!$C$5)),1,0)</f>
        <v/>
      </c>
      <c r="Y400" s="43">
        <f>IF(AND(X400=1,S400="Yes"),O400+ROW()/1000000,0)</f>
        <v/>
      </c>
    </row>
    <row r="401">
      <c r="A401" s="35" t="inlineStr">
        <is>
          <t>LN100400</t>
        </is>
      </c>
      <c r="B401" s="35" t="inlineStr">
        <is>
          <t>Karthik Mohanty</t>
        </is>
      </c>
      <c r="C401" s="35" t="inlineStr">
        <is>
          <t>MUM-01</t>
        </is>
      </c>
      <c r="D401" s="36">
        <f>INDEX(Branches!$C$2:$C$15,MATCH(C401,Branches!$A$2:$A$15,0))</f>
        <v/>
      </c>
      <c r="E401" s="35" t="inlineStr">
        <is>
          <t>Home Loan</t>
        </is>
      </c>
      <c r="F401" s="37" t="n">
        <v>45658</v>
      </c>
      <c r="G401" s="38" t="n">
        <v>7299000</v>
      </c>
      <c r="H401" s="39" t="n">
        <v>0.09030000000000001</v>
      </c>
      <c r="I401" s="35" t="n">
        <v>120</v>
      </c>
      <c r="J401" s="35" t="n">
        <v>631</v>
      </c>
      <c r="K401" s="35" t="n">
        <v>0</v>
      </c>
      <c r="L401" s="40">
        <f>ROUND(PMT(H401/12,I401,-G401),0)</f>
        <v/>
      </c>
      <c r="M401" s="41">
        <f>MAX(0,(YEAR(AsOfDate)-YEAR(F401))*12+MONTH(AsOfDate)-MONTH(F401))</f>
        <v/>
      </c>
      <c r="N401" s="41">
        <f>MAX(0,MIN(I401,M401)-INT(K401/30))</f>
        <v/>
      </c>
      <c r="O401" s="40">
        <f>IF(N401&gt;=I401,0,ROUND(PV(H401/12,I401-N401,-L401),0))</f>
        <v/>
      </c>
      <c r="P401" s="40">
        <f>MIN(I401,M401)*L401-N401*L401</f>
        <v/>
      </c>
      <c r="Q401" s="41">
        <f>INDEX(DPD_Bucket,MATCH(K401,DPD_From,1))</f>
        <v/>
      </c>
      <c r="R401" s="41">
        <f>INDEX(DPD_Class,MATCH(K401,DPD_From,1))</f>
        <v/>
      </c>
      <c r="S401" s="41">
        <f>INDEX(DPD_NPA,MATCH(K401,DPD_From,1))</f>
        <v/>
      </c>
      <c r="T401" s="42">
        <f>INDEX(DPD_Prov,MATCH(K401,DPD_From,1))</f>
        <v/>
      </c>
      <c r="U401" s="40">
        <f>ROUND(O401*T401,0)</f>
        <v/>
      </c>
      <c r="V401" s="41">
        <f>INDEX(CIBIL_Grade,MATCH(J401,CIBIL_From,1))</f>
        <v/>
      </c>
      <c r="W401" s="41">
        <f>YEAR(F401)&amp;"-Q"&amp;ROUNDUP(MONTH(F401)/3,0)</f>
        <v/>
      </c>
      <c r="X401" s="41">
        <f>IF(AND(OR(Dashboard!$C$4="All",D401=Dashboard!$C$4),OR(Dashboard!$C$5="All",E401=Dashboard!$C$5)),1,0)</f>
        <v/>
      </c>
      <c r="Y401" s="43">
        <f>IF(AND(X401=1,S401="Yes"),O401+ROW()/1000000,0)</f>
        <v/>
      </c>
    </row>
    <row r="402">
      <c r="A402" s="35" t="inlineStr">
        <is>
          <t>LN100401</t>
        </is>
      </c>
      <c r="B402" s="35" t="inlineStr">
        <is>
          <t>Diya Singh</t>
        </is>
      </c>
      <c r="C402" s="35" t="inlineStr">
        <is>
          <t>JAI-01</t>
        </is>
      </c>
      <c r="D402" s="36">
        <f>INDEX(Branches!$C$2:$C$15,MATCH(C402,Branches!$A$2:$A$15,0))</f>
        <v/>
      </c>
      <c r="E402" s="35" t="inlineStr">
        <is>
          <t>Auto Loan</t>
        </is>
      </c>
      <c r="F402" s="37" t="n">
        <v>46139</v>
      </c>
      <c r="G402" s="38" t="n">
        <v>538000</v>
      </c>
      <c r="H402" s="39" t="n">
        <v>0.1127</v>
      </c>
      <c r="I402" s="35" t="n">
        <v>60</v>
      </c>
      <c r="J402" s="35" t="n">
        <v>713</v>
      </c>
      <c r="K402" s="35" t="n">
        <v>24</v>
      </c>
      <c r="L402" s="40">
        <f>ROUND(PMT(H402/12,I402,-G402),0)</f>
        <v/>
      </c>
      <c r="M402" s="41">
        <f>MAX(0,(YEAR(AsOfDate)-YEAR(F402))*12+MONTH(AsOfDate)-MONTH(F402))</f>
        <v/>
      </c>
      <c r="N402" s="41">
        <f>MAX(0,MIN(I402,M402)-INT(K402/30))</f>
        <v/>
      </c>
      <c r="O402" s="40">
        <f>IF(N402&gt;=I402,0,ROUND(PV(H402/12,I402-N402,-L402),0))</f>
        <v/>
      </c>
      <c r="P402" s="40">
        <f>MIN(I402,M402)*L402-N402*L402</f>
        <v/>
      </c>
      <c r="Q402" s="41">
        <f>INDEX(DPD_Bucket,MATCH(K402,DPD_From,1))</f>
        <v/>
      </c>
      <c r="R402" s="41">
        <f>INDEX(DPD_Class,MATCH(K402,DPD_From,1))</f>
        <v/>
      </c>
      <c r="S402" s="41">
        <f>INDEX(DPD_NPA,MATCH(K402,DPD_From,1))</f>
        <v/>
      </c>
      <c r="T402" s="42">
        <f>INDEX(DPD_Prov,MATCH(K402,DPD_From,1))</f>
        <v/>
      </c>
      <c r="U402" s="40">
        <f>ROUND(O402*T402,0)</f>
        <v/>
      </c>
      <c r="V402" s="41">
        <f>INDEX(CIBIL_Grade,MATCH(J402,CIBIL_From,1))</f>
        <v/>
      </c>
      <c r="W402" s="41">
        <f>YEAR(F402)&amp;"-Q"&amp;ROUNDUP(MONTH(F402)/3,0)</f>
        <v/>
      </c>
      <c r="X402" s="41">
        <f>IF(AND(OR(Dashboard!$C$4="All",D402=Dashboard!$C$4),OR(Dashboard!$C$5="All",E402=Dashboard!$C$5)),1,0)</f>
        <v/>
      </c>
      <c r="Y402" s="43">
        <f>IF(AND(X402=1,S402="Yes"),O402+ROW()/1000000,0)</f>
        <v/>
      </c>
    </row>
    <row r="403">
      <c r="A403" s="35" t="inlineStr">
        <is>
          <t>LN100402</t>
        </is>
      </c>
      <c r="B403" s="35" t="inlineStr">
        <is>
          <t>Rohan Mohanty</t>
        </is>
      </c>
      <c r="C403" s="35" t="inlineStr">
        <is>
          <t>HYD-01</t>
        </is>
      </c>
      <c r="D403" s="36">
        <f>INDEX(Branches!$C$2:$C$15,MATCH(C403,Branches!$A$2:$A$15,0))</f>
        <v/>
      </c>
      <c r="E403" s="35" t="inlineStr">
        <is>
          <t>Personal Loan</t>
        </is>
      </c>
      <c r="F403" s="37" t="n">
        <v>46110</v>
      </c>
      <c r="G403" s="38" t="n">
        <v>1145000</v>
      </c>
      <c r="H403" s="39" t="n">
        <v>0.1648</v>
      </c>
      <c r="I403" s="35" t="n">
        <v>48</v>
      </c>
      <c r="J403" s="35" t="n">
        <v>752</v>
      </c>
      <c r="K403" s="35" t="n">
        <v>0</v>
      </c>
      <c r="L403" s="40">
        <f>ROUND(PMT(H403/12,I403,-G403),0)</f>
        <v/>
      </c>
      <c r="M403" s="41">
        <f>MAX(0,(YEAR(AsOfDate)-YEAR(F403))*12+MONTH(AsOfDate)-MONTH(F403))</f>
        <v/>
      </c>
      <c r="N403" s="41">
        <f>MAX(0,MIN(I403,M403)-INT(K403/30))</f>
        <v/>
      </c>
      <c r="O403" s="40">
        <f>IF(N403&gt;=I403,0,ROUND(PV(H403/12,I403-N403,-L403),0))</f>
        <v/>
      </c>
      <c r="P403" s="40">
        <f>MIN(I403,M403)*L403-N403*L403</f>
        <v/>
      </c>
      <c r="Q403" s="41">
        <f>INDEX(DPD_Bucket,MATCH(K403,DPD_From,1))</f>
        <v/>
      </c>
      <c r="R403" s="41">
        <f>INDEX(DPD_Class,MATCH(K403,DPD_From,1))</f>
        <v/>
      </c>
      <c r="S403" s="41">
        <f>INDEX(DPD_NPA,MATCH(K403,DPD_From,1))</f>
        <v/>
      </c>
      <c r="T403" s="42">
        <f>INDEX(DPD_Prov,MATCH(K403,DPD_From,1))</f>
        <v/>
      </c>
      <c r="U403" s="40">
        <f>ROUND(O403*T403,0)</f>
        <v/>
      </c>
      <c r="V403" s="41">
        <f>INDEX(CIBIL_Grade,MATCH(J403,CIBIL_From,1))</f>
        <v/>
      </c>
      <c r="W403" s="41">
        <f>YEAR(F403)&amp;"-Q"&amp;ROUNDUP(MONTH(F403)/3,0)</f>
        <v/>
      </c>
      <c r="X403" s="41">
        <f>IF(AND(OR(Dashboard!$C$4="All",D403=Dashboard!$C$4),OR(Dashboard!$C$5="All",E403=Dashboard!$C$5)),1,0)</f>
        <v/>
      </c>
      <c r="Y403" s="43">
        <f>IF(AND(X403=1,S403="Yes"),O403+ROW()/1000000,0)</f>
        <v/>
      </c>
    </row>
    <row r="404">
      <c r="A404" s="35" t="inlineStr">
        <is>
          <t>LN100403</t>
        </is>
      </c>
      <c r="B404" s="35" t="inlineStr">
        <is>
          <t>Gaurav Menon</t>
        </is>
      </c>
      <c r="C404" s="35" t="inlineStr">
        <is>
          <t>BLR-01</t>
        </is>
      </c>
      <c r="D404" s="36">
        <f>INDEX(Branches!$C$2:$C$15,MATCH(C404,Branches!$A$2:$A$15,0))</f>
        <v/>
      </c>
      <c r="E404" s="35" t="inlineStr">
        <is>
          <t>Business Loan</t>
        </is>
      </c>
      <c r="F404" s="37" t="n">
        <v>45878</v>
      </c>
      <c r="G404" s="38" t="n">
        <v>2991000</v>
      </c>
      <c r="H404" s="39" t="n">
        <v>0.1689</v>
      </c>
      <c r="I404" s="35" t="n">
        <v>36</v>
      </c>
      <c r="J404" s="35" t="n">
        <v>700</v>
      </c>
      <c r="K404" s="35" t="n">
        <v>0</v>
      </c>
      <c r="L404" s="40">
        <f>ROUND(PMT(H404/12,I404,-G404),0)</f>
        <v/>
      </c>
      <c r="M404" s="41">
        <f>MAX(0,(YEAR(AsOfDate)-YEAR(F404))*12+MONTH(AsOfDate)-MONTH(F404))</f>
        <v/>
      </c>
      <c r="N404" s="41">
        <f>MAX(0,MIN(I404,M404)-INT(K404/30))</f>
        <v/>
      </c>
      <c r="O404" s="40">
        <f>IF(N404&gt;=I404,0,ROUND(PV(H404/12,I404-N404,-L404),0))</f>
        <v/>
      </c>
      <c r="P404" s="40">
        <f>MIN(I404,M404)*L404-N404*L404</f>
        <v/>
      </c>
      <c r="Q404" s="41">
        <f>INDEX(DPD_Bucket,MATCH(K404,DPD_From,1))</f>
        <v/>
      </c>
      <c r="R404" s="41">
        <f>INDEX(DPD_Class,MATCH(K404,DPD_From,1))</f>
        <v/>
      </c>
      <c r="S404" s="41">
        <f>INDEX(DPD_NPA,MATCH(K404,DPD_From,1))</f>
        <v/>
      </c>
      <c r="T404" s="42">
        <f>INDEX(DPD_Prov,MATCH(K404,DPD_From,1))</f>
        <v/>
      </c>
      <c r="U404" s="40">
        <f>ROUND(O404*T404,0)</f>
        <v/>
      </c>
      <c r="V404" s="41">
        <f>INDEX(CIBIL_Grade,MATCH(J404,CIBIL_From,1))</f>
        <v/>
      </c>
      <c r="W404" s="41">
        <f>YEAR(F404)&amp;"-Q"&amp;ROUNDUP(MONTH(F404)/3,0)</f>
        <v/>
      </c>
      <c r="X404" s="41">
        <f>IF(AND(OR(Dashboard!$C$4="All",D404=Dashboard!$C$4),OR(Dashboard!$C$5="All",E404=Dashboard!$C$5)),1,0)</f>
        <v/>
      </c>
      <c r="Y404" s="43">
        <f>IF(AND(X404=1,S404="Yes"),O404+ROW()/1000000,0)</f>
        <v/>
      </c>
    </row>
    <row r="405">
      <c r="A405" s="35" t="inlineStr">
        <is>
          <t>LN100404</t>
        </is>
      </c>
      <c r="B405" s="35" t="inlineStr">
        <is>
          <t>Aditya Singh</t>
        </is>
      </c>
      <c r="C405" s="35" t="inlineStr">
        <is>
          <t>KOC-01</t>
        </is>
      </c>
      <c r="D405" s="36">
        <f>INDEX(Branches!$C$2:$C$15,MATCH(C405,Branches!$A$2:$A$15,0))</f>
        <v/>
      </c>
      <c r="E405" s="35" t="inlineStr">
        <is>
          <t>Home Loan</t>
        </is>
      </c>
      <c r="F405" s="37" t="n">
        <v>45366</v>
      </c>
      <c r="G405" s="38" t="n">
        <v>11728000</v>
      </c>
      <c r="H405" s="39" t="n">
        <v>0.09660000000000001</v>
      </c>
      <c r="I405" s="35" t="n">
        <v>120</v>
      </c>
      <c r="J405" s="35" t="n">
        <v>844</v>
      </c>
      <c r="K405" s="35" t="n">
        <v>0</v>
      </c>
      <c r="L405" s="40">
        <f>ROUND(PMT(H405/12,I405,-G405),0)</f>
        <v/>
      </c>
      <c r="M405" s="41">
        <f>MAX(0,(YEAR(AsOfDate)-YEAR(F405))*12+MONTH(AsOfDate)-MONTH(F405))</f>
        <v/>
      </c>
      <c r="N405" s="41">
        <f>MAX(0,MIN(I405,M405)-INT(K405/30))</f>
        <v/>
      </c>
      <c r="O405" s="40">
        <f>IF(N405&gt;=I405,0,ROUND(PV(H405/12,I405-N405,-L405),0))</f>
        <v/>
      </c>
      <c r="P405" s="40">
        <f>MIN(I405,M405)*L405-N405*L405</f>
        <v/>
      </c>
      <c r="Q405" s="41">
        <f>INDEX(DPD_Bucket,MATCH(K405,DPD_From,1))</f>
        <v/>
      </c>
      <c r="R405" s="41">
        <f>INDEX(DPD_Class,MATCH(K405,DPD_From,1))</f>
        <v/>
      </c>
      <c r="S405" s="41">
        <f>INDEX(DPD_NPA,MATCH(K405,DPD_From,1))</f>
        <v/>
      </c>
      <c r="T405" s="42">
        <f>INDEX(DPD_Prov,MATCH(K405,DPD_From,1))</f>
        <v/>
      </c>
      <c r="U405" s="40">
        <f>ROUND(O405*T405,0)</f>
        <v/>
      </c>
      <c r="V405" s="41">
        <f>INDEX(CIBIL_Grade,MATCH(J405,CIBIL_From,1))</f>
        <v/>
      </c>
      <c r="W405" s="41">
        <f>YEAR(F405)&amp;"-Q"&amp;ROUNDUP(MONTH(F405)/3,0)</f>
        <v/>
      </c>
      <c r="X405" s="41">
        <f>IF(AND(OR(Dashboard!$C$4="All",D405=Dashboard!$C$4),OR(Dashboard!$C$5="All",E405=Dashboard!$C$5)),1,0)</f>
        <v/>
      </c>
      <c r="Y405" s="43">
        <f>IF(AND(X405=1,S405="Yes"),O405+ROW()/1000000,0)</f>
        <v/>
      </c>
    </row>
    <row r="406">
      <c r="A406" s="35" t="inlineStr">
        <is>
          <t>LN100405</t>
        </is>
      </c>
      <c r="B406" s="35" t="inlineStr">
        <is>
          <t>Ananya Das</t>
        </is>
      </c>
      <c r="C406" s="35" t="inlineStr">
        <is>
          <t>CHN-01</t>
        </is>
      </c>
      <c r="D406" s="36">
        <f>INDEX(Branches!$C$2:$C$15,MATCH(C406,Branches!$A$2:$A$15,0))</f>
        <v/>
      </c>
      <c r="E406" s="35" t="inlineStr">
        <is>
          <t>Auto Loan</t>
        </is>
      </c>
      <c r="F406" s="37" t="n">
        <v>45124</v>
      </c>
      <c r="G406" s="38" t="n">
        <v>690000</v>
      </c>
      <c r="H406" s="39" t="n">
        <v>0.1138</v>
      </c>
      <c r="I406" s="35" t="n">
        <v>84</v>
      </c>
      <c r="J406" s="35" t="n">
        <v>756</v>
      </c>
      <c r="K406" s="35" t="n">
        <v>0</v>
      </c>
      <c r="L406" s="40">
        <f>ROUND(PMT(H406/12,I406,-G406),0)</f>
        <v/>
      </c>
      <c r="M406" s="41">
        <f>MAX(0,(YEAR(AsOfDate)-YEAR(F406))*12+MONTH(AsOfDate)-MONTH(F406))</f>
        <v/>
      </c>
      <c r="N406" s="41">
        <f>MAX(0,MIN(I406,M406)-INT(K406/30))</f>
        <v/>
      </c>
      <c r="O406" s="40">
        <f>IF(N406&gt;=I406,0,ROUND(PV(H406/12,I406-N406,-L406),0))</f>
        <v/>
      </c>
      <c r="P406" s="40">
        <f>MIN(I406,M406)*L406-N406*L406</f>
        <v/>
      </c>
      <c r="Q406" s="41">
        <f>INDEX(DPD_Bucket,MATCH(K406,DPD_From,1))</f>
        <v/>
      </c>
      <c r="R406" s="41">
        <f>INDEX(DPD_Class,MATCH(K406,DPD_From,1))</f>
        <v/>
      </c>
      <c r="S406" s="41">
        <f>INDEX(DPD_NPA,MATCH(K406,DPD_From,1))</f>
        <v/>
      </c>
      <c r="T406" s="42">
        <f>INDEX(DPD_Prov,MATCH(K406,DPD_From,1))</f>
        <v/>
      </c>
      <c r="U406" s="40">
        <f>ROUND(O406*T406,0)</f>
        <v/>
      </c>
      <c r="V406" s="41">
        <f>INDEX(CIBIL_Grade,MATCH(J406,CIBIL_From,1))</f>
        <v/>
      </c>
      <c r="W406" s="41">
        <f>YEAR(F406)&amp;"-Q"&amp;ROUNDUP(MONTH(F406)/3,0)</f>
        <v/>
      </c>
      <c r="X406" s="41">
        <f>IF(AND(OR(Dashboard!$C$4="All",D406=Dashboard!$C$4),OR(Dashboard!$C$5="All",E406=Dashboard!$C$5)),1,0)</f>
        <v/>
      </c>
      <c r="Y406" s="43">
        <f>IF(AND(X406=1,S406="Yes"),O406+ROW()/1000000,0)</f>
        <v/>
      </c>
    </row>
    <row r="407">
      <c r="A407" s="35" t="inlineStr">
        <is>
          <t>LN100406</t>
        </is>
      </c>
      <c r="B407" s="35" t="inlineStr">
        <is>
          <t>Aditya Gupta</t>
        </is>
      </c>
      <c r="C407" s="35" t="inlineStr">
        <is>
          <t>CHN-01</t>
        </is>
      </c>
      <c r="D407" s="36">
        <f>INDEX(Branches!$C$2:$C$15,MATCH(C407,Branches!$A$2:$A$15,0))</f>
        <v/>
      </c>
      <c r="E407" s="35" t="inlineStr">
        <is>
          <t>Business Loan</t>
        </is>
      </c>
      <c r="F407" s="37" t="n">
        <v>46024</v>
      </c>
      <c r="G407" s="38" t="n">
        <v>1388000</v>
      </c>
      <c r="H407" s="39" t="n">
        <v>0.1706</v>
      </c>
      <c r="I407" s="35" t="n">
        <v>60</v>
      </c>
      <c r="J407" s="35" t="n">
        <v>762</v>
      </c>
      <c r="K407" s="35" t="n">
        <v>0</v>
      </c>
      <c r="L407" s="40">
        <f>ROUND(PMT(H407/12,I407,-G407),0)</f>
        <v/>
      </c>
      <c r="M407" s="41">
        <f>MAX(0,(YEAR(AsOfDate)-YEAR(F407))*12+MONTH(AsOfDate)-MONTH(F407))</f>
        <v/>
      </c>
      <c r="N407" s="41">
        <f>MAX(0,MIN(I407,M407)-INT(K407/30))</f>
        <v/>
      </c>
      <c r="O407" s="40">
        <f>IF(N407&gt;=I407,0,ROUND(PV(H407/12,I407-N407,-L407),0))</f>
        <v/>
      </c>
      <c r="P407" s="40">
        <f>MIN(I407,M407)*L407-N407*L407</f>
        <v/>
      </c>
      <c r="Q407" s="41">
        <f>INDEX(DPD_Bucket,MATCH(K407,DPD_From,1))</f>
        <v/>
      </c>
      <c r="R407" s="41">
        <f>INDEX(DPD_Class,MATCH(K407,DPD_From,1))</f>
        <v/>
      </c>
      <c r="S407" s="41">
        <f>INDEX(DPD_NPA,MATCH(K407,DPD_From,1))</f>
        <v/>
      </c>
      <c r="T407" s="42">
        <f>INDEX(DPD_Prov,MATCH(K407,DPD_From,1))</f>
        <v/>
      </c>
      <c r="U407" s="40">
        <f>ROUND(O407*T407,0)</f>
        <v/>
      </c>
      <c r="V407" s="41">
        <f>INDEX(CIBIL_Grade,MATCH(J407,CIBIL_From,1))</f>
        <v/>
      </c>
      <c r="W407" s="41">
        <f>YEAR(F407)&amp;"-Q"&amp;ROUNDUP(MONTH(F407)/3,0)</f>
        <v/>
      </c>
      <c r="X407" s="41">
        <f>IF(AND(OR(Dashboard!$C$4="All",D407=Dashboard!$C$4),OR(Dashboard!$C$5="All",E407=Dashboard!$C$5)),1,0)</f>
        <v/>
      </c>
      <c r="Y407" s="43">
        <f>IF(AND(X407=1,S407="Yes"),O407+ROW()/1000000,0)</f>
        <v/>
      </c>
    </row>
    <row r="408">
      <c r="A408" s="35" t="inlineStr">
        <is>
          <t>LN100407</t>
        </is>
      </c>
      <c r="B408" s="35" t="inlineStr">
        <is>
          <t>Aditya Das</t>
        </is>
      </c>
      <c r="C408" s="35" t="inlineStr">
        <is>
          <t>PUN-01</t>
        </is>
      </c>
      <c r="D408" s="36">
        <f>INDEX(Branches!$C$2:$C$15,MATCH(C408,Branches!$A$2:$A$15,0))</f>
        <v/>
      </c>
      <c r="E408" s="35" t="inlineStr">
        <is>
          <t>Gold Loan</t>
        </is>
      </c>
      <c r="F408" s="37" t="n">
        <v>45911</v>
      </c>
      <c r="G408" s="38" t="n">
        <v>269000</v>
      </c>
      <c r="H408" s="39" t="n">
        <v>0.0999</v>
      </c>
      <c r="I408" s="35" t="n">
        <v>12</v>
      </c>
      <c r="J408" s="35" t="n">
        <v>715</v>
      </c>
      <c r="K408" s="35" t="n">
        <v>0</v>
      </c>
      <c r="L408" s="40">
        <f>ROUND(PMT(H408/12,I408,-G408),0)</f>
        <v/>
      </c>
      <c r="M408" s="41">
        <f>MAX(0,(YEAR(AsOfDate)-YEAR(F408))*12+MONTH(AsOfDate)-MONTH(F408))</f>
        <v/>
      </c>
      <c r="N408" s="41">
        <f>MAX(0,MIN(I408,M408)-INT(K408/30))</f>
        <v/>
      </c>
      <c r="O408" s="40">
        <f>IF(N408&gt;=I408,0,ROUND(PV(H408/12,I408-N408,-L408),0))</f>
        <v/>
      </c>
      <c r="P408" s="40">
        <f>MIN(I408,M408)*L408-N408*L408</f>
        <v/>
      </c>
      <c r="Q408" s="41">
        <f>INDEX(DPD_Bucket,MATCH(K408,DPD_From,1))</f>
        <v/>
      </c>
      <c r="R408" s="41">
        <f>INDEX(DPD_Class,MATCH(K408,DPD_From,1))</f>
        <v/>
      </c>
      <c r="S408" s="41">
        <f>INDEX(DPD_NPA,MATCH(K408,DPD_From,1))</f>
        <v/>
      </c>
      <c r="T408" s="42">
        <f>INDEX(DPD_Prov,MATCH(K408,DPD_From,1))</f>
        <v/>
      </c>
      <c r="U408" s="40">
        <f>ROUND(O408*T408,0)</f>
        <v/>
      </c>
      <c r="V408" s="41">
        <f>INDEX(CIBIL_Grade,MATCH(J408,CIBIL_From,1))</f>
        <v/>
      </c>
      <c r="W408" s="41">
        <f>YEAR(F408)&amp;"-Q"&amp;ROUNDUP(MONTH(F408)/3,0)</f>
        <v/>
      </c>
      <c r="X408" s="41">
        <f>IF(AND(OR(Dashboard!$C$4="All",D408=Dashboard!$C$4),OR(Dashboard!$C$5="All",E408=Dashboard!$C$5)),1,0)</f>
        <v/>
      </c>
      <c r="Y408" s="43">
        <f>IF(AND(X408=1,S408="Yes"),O408+ROW()/1000000,0)</f>
        <v/>
      </c>
    </row>
    <row r="409">
      <c r="A409" s="35" t="inlineStr">
        <is>
          <t>LN100408</t>
        </is>
      </c>
      <c r="B409" s="35" t="inlineStr">
        <is>
          <t>Sneha Rao</t>
        </is>
      </c>
      <c r="C409" s="35" t="inlineStr">
        <is>
          <t>AMD-01</t>
        </is>
      </c>
      <c r="D409" s="36">
        <f>INDEX(Branches!$C$2:$C$15,MATCH(C409,Branches!$A$2:$A$15,0))</f>
        <v/>
      </c>
      <c r="E409" s="35" t="inlineStr">
        <is>
          <t>Personal Loan</t>
        </is>
      </c>
      <c r="F409" s="37" t="n">
        <v>45861</v>
      </c>
      <c r="G409" s="38" t="n">
        <v>336000</v>
      </c>
      <c r="H409" s="39" t="n">
        <v>0.1285</v>
      </c>
      <c r="I409" s="35" t="n">
        <v>60</v>
      </c>
      <c r="J409" s="35" t="n">
        <v>699</v>
      </c>
      <c r="K409" s="35" t="n">
        <v>0</v>
      </c>
      <c r="L409" s="40">
        <f>ROUND(PMT(H409/12,I409,-G409),0)</f>
        <v/>
      </c>
      <c r="M409" s="41">
        <f>MAX(0,(YEAR(AsOfDate)-YEAR(F409))*12+MONTH(AsOfDate)-MONTH(F409))</f>
        <v/>
      </c>
      <c r="N409" s="41">
        <f>MAX(0,MIN(I409,M409)-INT(K409/30))</f>
        <v/>
      </c>
      <c r="O409" s="40">
        <f>IF(N409&gt;=I409,0,ROUND(PV(H409/12,I409-N409,-L409),0))</f>
        <v/>
      </c>
      <c r="P409" s="40">
        <f>MIN(I409,M409)*L409-N409*L409</f>
        <v/>
      </c>
      <c r="Q409" s="41">
        <f>INDEX(DPD_Bucket,MATCH(K409,DPD_From,1))</f>
        <v/>
      </c>
      <c r="R409" s="41">
        <f>INDEX(DPD_Class,MATCH(K409,DPD_From,1))</f>
        <v/>
      </c>
      <c r="S409" s="41">
        <f>INDEX(DPD_NPA,MATCH(K409,DPD_From,1))</f>
        <v/>
      </c>
      <c r="T409" s="42">
        <f>INDEX(DPD_Prov,MATCH(K409,DPD_From,1))</f>
        <v/>
      </c>
      <c r="U409" s="40">
        <f>ROUND(O409*T409,0)</f>
        <v/>
      </c>
      <c r="V409" s="41">
        <f>INDEX(CIBIL_Grade,MATCH(J409,CIBIL_From,1))</f>
        <v/>
      </c>
      <c r="W409" s="41">
        <f>YEAR(F409)&amp;"-Q"&amp;ROUNDUP(MONTH(F409)/3,0)</f>
        <v/>
      </c>
      <c r="X409" s="41">
        <f>IF(AND(OR(Dashboard!$C$4="All",D409=Dashboard!$C$4),OR(Dashboard!$C$5="All",E409=Dashboard!$C$5)),1,0)</f>
        <v/>
      </c>
      <c r="Y409" s="43">
        <f>IF(AND(X409=1,S409="Yes"),O409+ROW()/1000000,0)</f>
        <v/>
      </c>
    </row>
    <row r="410">
      <c r="A410" s="35" t="inlineStr">
        <is>
          <t>LN100409</t>
        </is>
      </c>
      <c r="B410" s="35" t="inlineStr">
        <is>
          <t>Swati Pillai</t>
        </is>
      </c>
      <c r="C410" s="35" t="inlineStr">
        <is>
          <t>DEL-01</t>
        </is>
      </c>
      <c r="D410" s="36">
        <f>INDEX(Branches!$C$2:$C$15,MATCH(C410,Branches!$A$2:$A$15,0))</f>
        <v/>
      </c>
      <c r="E410" s="35" t="inlineStr">
        <is>
          <t>Business Loan</t>
        </is>
      </c>
      <c r="F410" s="37" t="n">
        <v>45607</v>
      </c>
      <c r="G410" s="38" t="n">
        <v>2504000</v>
      </c>
      <c r="H410" s="39" t="n">
        <v>0.1842</v>
      </c>
      <c r="I410" s="35" t="n">
        <v>60</v>
      </c>
      <c r="J410" s="35" t="n">
        <v>750</v>
      </c>
      <c r="K410" s="35" t="n">
        <v>0</v>
      </c>
      <c r="L410" s="40">
        <f>ROUND(PMT(H410/12,I410,-G410),0)</f>
        <v/>
      </c>
      <c r="M410" s="41">
        <f>MAX(0,(YEAR(AsOfDate)-YEAR(F410))*12+MONTH(AsOfDate)-MONTH(F410))</f>
        <v/>
      </c>
      <c r="N410" s="41">
        <f>MAX(0,MIN(I410,M410)-INT(K410/30))</f>
        <v/>
      </c>
      <c r="O410" s="40">
        <f>IF(N410&gt;=I410,0,ROUND(PV(H410/12,I410-N410,-L410),0))</f>
        <v/>
      </c>
      <c r="P410" s="40">
        <f>MIN(I410,M410)*L410-N410*L410</f>
        <v/>
      </c>
      <c r="Q410" s="41">
        <f>INDEX(DPD_Bucket,MATCH(K410,DPD_From,1))</f>
        <v/>
      </c>
      <c r="R410" s="41">
        <f>INDEX(DPD_Class,MATCH(K410,DPD_From,1))</f>
        <v/>
      </c>
      <c r="S410" s="41">
        <f>INDEX(DPD_NPA,MATCH(K410,DPD_From,1))</f>
        <v/>
      </c>
      <c r="T410" s="42">
        <f>INDEX(DPD_Prov,MATCH(K410,DPD_From,1))</f>
        <v/>
      </c>
      <c r="U410" s="40">
        <f>ROUND(O410*T410,0)</f>
        <v/>
      </c>
      <c r="V410" s="41">
        <f>INDEX(CIBIL_Grade,MATCH(J410,CIBIL_From,1))</f>
        <v/>
      </c>
      <c r="W410" s="41">
        <f>YEAR(F410)&amp;"-Q"&amp;ROUNDUP(MONTH(F410)/3,0)</f>
        <v/>
      </c>
      <c r="X410" s="41">
        <f>IF(AND(OR(Dashboard!$C$4="All",D410=Dashboard!$C$4),OR(Dashboard!$C$5="All",E410=Dashboard!$C$5)),1,0)</f>
        <v/>
      </c>
      <c r="Y410" s="43">
        <f>IF(AND(X410=1,S410="Yes"),O410+ROW()/1000000,0)</f>
        <v/>
      </c>
    </row>
    <row r="411">
      <c r="A411" s="35" t="inlineStr">
        <is>
          <t>LN100410</t>
        </is>
      </c>
      <c r="B411" s="35" t="inlineStr">
        <is>
          <t>Aditya Gupta</t>
        </is>
      </c>
      <c r="C411" s="35" t="inlineStr">
        <is>
          <t>GUW-01</t>
        </is>
      </c>
      <c r="D411" s="36">
        <f>INDEX(Branches!$C$2:$C$15,MATCH(C411,Branches!$A$2:$A$15,0))</f>
        <v/>
      </c>
      <c r="E411" s="35" t="inlineStr">
        <is>
          <t>Personal Loan</t>
        </is>
      </c>
      <c r="F411" s="37" t="n">
        <v>45814</v>
      </c>
      <c r="G411" s="38" t="n">
        <v>1257000</v>
      </c>
      <c r="H411" s="39" t="n">
        <v>0.1718</v>
      </c>
      <c r="I411" s="35" t="n">
        <v>12</v>
      </c>
      <c r="J411" s="35" t="n">
        <v>710</v>
      </c>
      <c r="K411" s="35" t="n">
        <v>0</v>
      </c>
      <c r="L411" s="40">
        <f>ROUND(PMT(H411/12,I411,-G411),0)</f>
        <v/>
      </c>
      <c r="M411" s="41">
        <f>MAX(0,(YEAR(AsOfDate)-YEAR(F411))*12+MONTH(AsOfDate)-MONTH(F411))</f>
        <v/>
      </c>
      <c r="N411" s="41">
        <f>MAX(0,MIN(I411,M411)-INT(K411/30))</f>
        <v/>
      </c>
      <c r="O411" s="40">
        <f>IF(N411&gt;=I411,0,ROUND(PV(H411/12,I411-N411,-L411),0))</f>
        <v/>
      </c>
      <c r="P411" s="40">
        <f>MIN(I411,M411)*L411-N411*L411</f>
        <v/>
      </c>
      <c r="Q411" s="41">
        <f>INDEX(DPD_Bucket,MATCH(K411,DPD_From,1))</f>
        <v/>
      </c>
      <c r="R411" s="41">
        <f>INDEX(DPD_Class,MATCH(K411,DPD_From,1))</f>
        <v/>
      </c>
      <c r="S411" s="41">
        <f>INDEX(DPD_NPA,MATCH(K411,DPD_From,1))</f>
        <v/>
      </c>
      <c r="T411" s="42">
        <f>INDEX(DPD_Prov,MATCH(K411,DPD_From,1))</f>
        <v/>
      </c>
      <c r="U411" s="40">
        <f>ROUND(O411*T411,0)</f>
        <v/>
      </c>
      <c r="V411" s="41">
        <f>INDEX(CIBIL_Grade,MATCH(J411,CIBIL_From,1))</f>
        <v/>
      </c>
      <c r="W411" s="41">
        <f>YEAR(F411)&amp;"-Q"&amp;ROUNDUP(MONTH(F411)/3,0)</f>
        <v/>
      </c>
      <c r="X411" s="41">
        <f>IF(AND(OR(Dashboard!$C$4="All",D411=Dashboard!$C$4),OR(Dashboard!$C$5="All",E411=Dashboard!$C$5)),1,0)</f>
        <v/>
      </c>
      <c r="Y411" s="43">
        <f>IF(AND(X411=1,S411="Yes"),O411+ROW()/1000000,0)</f>
        <v/>
      </c>
    </row>
    <row r="412">
      <c r="A412" s="35" t="inlineStr">
        <is>
          <t>LN100411</t>
        </is>
      </c>
      <c r="B412" s="35" t="inlineStr">
        <is>
          <t>Lakshmi Sharma</t>
        </is>
      </c>
      <c r="C412" s="35" t="inlineStr">
        <is>
          <t>GUW-01</t>
        </is>
      </c>
      <c r="D412" s="36">
        <f>INDEX(Branches!$C$2:$C$15,MATCH(C412,Branches!$A$2:$A$15,0))</f>
        <v/>
      </c>
      <c r="E412" s="35" t="inlineStr">
        <is>
          <t>Home Loan</t>
        </is>
      </c>
      <c r="F412" s="37" t="n">
        <v>46017</v>
      </c>
      <c r="G412" s="38" t="n">
        <v>9565000</v>
      </c>
      <c r="H412" s="39" t="n">
        <v>0.0897</v>
      </c>
      <c r="I412" s="35" t="n">
        <v>240</v>
      </c>
      <c r="J412" s="35" t="n">
        <v>718</v>
      </c>
      <c r="K412" s="35" t="n">
        <v>0</v>
      </c>
      <c r="L412" s="40">
        <f>ROUND(PMT(H412/12,I412,-G412),0)</f>
        <v/>
      </c>
      <c r="M412" s="41">
        <f>MAX(0,(YEAR(AsOfDate)-YEAR(F412))*12+MONTH(AsOfDate)-MONTH(F412))</f>
        <v/>
      </c>
      <c r="N412" s="41">
        <f>MAX(0,MIN(I412,M412)-INT(K412/30))</f>
        <v/>
      </c>
      <c r="O412" s="40">
        <f>IF(N412&gt;=I412,0,ROUND(PV(H412/12,I412-N412,-L412),0))</f>
        <v/>
      </c>
      <c r="P412" s="40">
        <f>MIN(I412,M412)*L412-N412*L412</f>
        <v/>
      </c>
      <c r="Q412" s="41">
        <f>INDEX(DPD_Bucket,MATCH(K412,DPD_From,1))</f>
        <v/>
      </c>
      <c r="R412" s="41">
        <f>INDEX(DPD_Class,MATCH(K412,DPD_From,1))</f>
        <v/>
      </c>
      <c r="S412" s="41">
        <f>INDEX(DPD_NPA,MATCH(K412,DPD_From,1))</f>
        <v/>
      </c>
      <c r="T412" s="42">
        <f>INDEX(DPD_Prov,MATCH(K412,DPD_From,1))</f>
        <v/>
      </c>
      <c r="U412" s="40">
        <f>ROUND(O412*T412,0)</f>
        <v/>
      </c>
      <c r="V412" s="41">
        <f>INDEX(CIBIL_Grade,MATCH(J412,CIBIL_From,1))</f>
        <v/>
      </c>
      <c r="W412" s="41">
        <f>YEAR(F412)&amp;"-Q"&amp;ROUNDUP(MONTH(F412)/3,0)</f>
        <v/>
      </c>
      <c r="X412" s="41">
        <f>IF(AND(OR(Dashboard!$C$4="All",D412=Dashboard!$C$4),OR(Dashboard!$C$5="All",E412=Dashboard!$C$5)),1,0)</f>
        <v/>
      </c>
      <c r="Y412" s="43">
        <f>IF(AND(X412=1,S412="Yes"),O412+ROW()/1000000,0)</f>
        <v/>
      </c>
    </row>
    <row r="413">
      <c r="A413" s="35" t="inlineStr">
        <is>
          <t>LN100412</t>
        </is>
      </c>
      <c r="B413" s="35" t="inlineStr">
        <is>
          <t>Rohan Pillai</t>
        </is>
      </c>
      <c r="C413" s="35" t="inlineStr">
        <is>
          <t>KOL-01</t>
        </is>
      </c>
      <c r="D413" s="36">
        <f>INDEX(Branches!$C$2:$C$15,MATCH(C413,Branches!$A$2:$A$15,0))</f>
        <v/>
      </c>
      <c r="E413" s="35" t="inlineStr">
        <is>
          <t>Personal Loan</t>
        </is>
      </c>
      <c r="F413" s="37" t="n">
        <v>45640</v>
      </c>
      <c r="G413" s="38" t="n">
        <v>1185000</v>
      </c>
      <c r="H413" s="39" t="n">
        <v>0.1324</v>
      </c>
      <c r="I413" s="35" t="n">
        <v>12</v>
      </c>
      <c r="J413" s="35" t="n">
        <v>620</v>
      </c>
      <c r="K413" s="35" t="n">
        <v>0</v>
      </c>
      <c r="L413" s="40">
        <f>ROUND(PMT(H413/12,I413,-G413),0)</f>
        <v/>
      </c>
      <c r="M413" s="41">
        <f>MAX(0,(YEAR(AsOfDate)-YEAR(F413))*12+MONTH(AsOfDate)-MONTH(F413))</f>
        <v/>
      </c>
      <c r="N413" s="41">
        <f>MAX(0,MIN(I413,M413)-INT(K413/30))</f>
        <v/>
      </c>
      <c r="O413" s="40">
        <f>IF(N413&gt;=I413,0,ROUND(PV(H413/12,I413-N413,-L413),0))</f>
        <v/>
      </c>
      <c r="P413" s="40">
        <f>MIN(I413,M413)*L413-N413*L413</f>
        <v/>
      </c>
      <c r="Q413" s="41">
        <f>INDEX(DPD_Bucket,MATCH(K413,DPD_From,1))</f>
        <v/>
      </c>
      <c r="R413" s="41">
        <f>INDEX(DPD_Class,MATCH(K413,DPD_From,1))</f>
        <v/>
      </c>
      <c r="S413" s="41">
        <f>INDEX(DPD_NPA,MATCH(K413,DPD_From,1))</f>
        <v/>
      </c>
      <c r="T413" s="42">
        <f>INDEX(DPD_Prov,MATCH(K413,DPD_From,1))</f>
        <v/>
      </c>
      <c r="U413" s="40">
        <f>ROUND(O413*T413,0)</f>
        <v/>
      </c>
      <c r="V413" s="41">
        <f>INDEX(CIBIL_Grade,MATCH(J413,CIBIL_From,1))</f>
        <v/>
      </c>
      <c r="W413" s="41">
        <f>YEAR(F413)&amp;"-Q"&amp;ROUNDUP(MONTH(F413)/3,0)</f>
        <v/>
      </c>
      <c r="X413" s="41">
        <f>IF(AND(OR(Dashboard!$C$4="All",D413=Dashboard!$C$4),OR(Dashboard!$C$5="All",E413=Dashboard!$C$5)),1,0)</f>
        <v/>
      </c>
      <c r="Y413" s="43">
        <f>IF(AND(X413=1,S413="Yes"),O413+ROW()/1000000,0)</f>
        <v/>
      </c>
    </row>
    <row r="414">
      <c r="A414" s="35" t="inlineStr">
        <is>
          <t>LN100413</t>
        </is>
      </c>
      <c r="B414" s="35" t="inlineStr">
        <is>
          <t>Rahul Sharma</t>
        </is>
      </c>
      <c r="C414" s="35" t="inlineStr">
        <is>
          <t>KOL-01</t>
        </is>
      </c>
      <c r="D414" s="36">
        <f>INDEX(Branches!$C$2:$C$15,MATCH(C414,Branches!$A$2:$A$15,0))</f>
        <v/>
      </c>
      <c r="E414" s="35" t="inlineStr">
        <is>
          <t>Auto Loan</t>
        </is>
      </c>
      <c r="F414" s="37" t="n">
        <v>45899</v>
      </c>
      <c r="G414" s="38" t="n">
        <v>782000</v>
      </c>
      <c r="H414" s="39" t="n">
        <v>0.1189</v>
      </c>
      <c r="I414" s="35" t="n">
        <v>60</v>
      </c>
      <c r="J414" s="35" t="n">
        <v>670</v>
      </c>
      <c r="K414" s="35" t="n">
        <v>0</v>
      </c>
      <c r="L414" s="40">
        <f>ROUND(PMT(H414/12,I414,-G414),0)</f>
        <v/>
      </c>
      <c r="M414" s="41">
        <f>MAX(0,(YEAR(AsOfDate)-YEAR(F414))*12+MONTH(AsOfDate)-MONTH(F414))</f>
        <v/>
      </c>
      <c r="N414" s="41">
        <f>MAX(0,MIN(I414,M414)-INT(K414/30))</f>
        <v/>
      </c>
      <c r="O414" s="40">
        <f>IF(N414&gt;=I414,0,ROUND(PV(H414/12,I414-N414,-L414),0))</f>
        <v/>
      </c>
      <c r="P414" s="40">
        <f>MIN(I414,M414)*L414-N414*L414</f>
        <v/>
      </c>
      <c r="Q414" s="41">
        <f>INDEX(DPD_Bucket,MATCH(K414,DPD_From,1))</f>
        <v/>
      </c>
      <c r="R414" s="41">
        <f>INDEX(DPD_Class,MATCH(K414,DPD_From,1))</f>
        <v/>
      </c>
      <c r="S414" s="41">
        <f>INDEX(DPD_NPA,MATCH(K414,DPD_From,1))</f>
        <v/>
      </c>
      <c r="T414" s="42">
        <f>INDEX(DPD_Prov,MATCH(K414,DPD_From,1))</f>
        <v/>
      </c>
      <c r="U414" s="40">
        <f>ROUND(O414*T414,0)</f>
        <v/>
      </c>
      <c r="V414" s="41">
        <f>INDEX(CIBIL_Grade,MATCH(J414,CIBIL_From,1))</f>
        <v/>
      </c>
      <c r="W414" s="41">
        <f>YEAR(F414)&amp;"-Q"&amp;ROUNDUP(MONTH(F414)/3,0)</f>
        <v/>
      </c>
      <c r="X414" s="41">
        <f>IF(AND(OR(Dashboard!$C$4="All",D414=Dashboard!$C$4),OR(Dashboard!$C$5="All",E414=Dashboard!$C$5)),1,0)</f>
        <v/>
      </c>
      <c r="Y414" s="43">
        <f>IF(AND(X414=1,S414="Yes"),O414+ROW()/1000000,0)</f>
        <v/>
      </c>
    </row>
    <row r="415">
      <c r="A415" s="35" t="inlineStr">
        <is>
          <t>LN100414</t>
        </is>
      </c>
      <c r="B415" s="35" t="inlineStr">
        <is>
          <t>Reyansh Patel</t>
        </is>
      </c>
      <c r="C415" s="35" t="inlineStr">
        <is>
          <t>JAI-01</t>
        </is>
      </c>
      <c r="D415" s="36">
        <f>INDEX(Branches!$C$2:$C$15,MATCH(C415,Branches!$A$2:$A$15,0))</f>
        <v/>
      </c>
      <c r="E415" s="35" t="inlineStr">
        <is>
          <t>Gold Loan</t>
        </is>
      </c>
      <c r="F415" s="37" t="n">
        <v>45121</v>
      </c>
      <c r="G415" s="38" t="n">
        <v>477000</v>
      </c>
      <c r="H415" s="39" t="n">
        <v>0.1098</v>
      </c>
      <c r="I415" s="35" t="n">
        <v>6</v>
      </c>
      <c r="J415" s="35" t="n">
        <v>749</v>
      </c>
      <c r="K415" s="35" t="n">
        <v>0</v>
      </c>
      <c r="L415" s="40">
        <f>ROUND(PMT(H415/12,I415,-G415),0)</f>
        <v/>
      </c>
      <c r="M415" s="41">
        <f>MAX(0,(YEAR(AsOfDate)-YEAR(F415))*12+MONTH(AsOfDate)-MONTH(F415))</f>
        <v/>
      </c>
      <c r="N415" s="41">
        <f>MAX(0,MIN(I415,M415)-INT(K415/30))</f>
        <v/>
      </c>
      <c r="O415" s="40">
        <f>IF(N415&gt;=I415,0,ROUND(PV(H415/12,I415-N415,-L415),0))</f>
        <v/>
      </c>
      <c r="P415" s="40">
        <f>MIN(I415,M415)*L415-N415*L415</f>
        <v/>
      </c>
      <c r="Q415" s="41">
        <f>INDEX(DPD_Bucket,MATCH(K415,DPD_From,1))</f>
        <v/>
      </c>
      <c r="R415" s="41">
        <f>INDEX(DPD_Class,MATCH(K415,DPD_From,1))</f>
        <v/>
      </c>
      <c r="S415" s="41">
        <f>INDEX(DPD_NPA,MATCH(K415,DPD_From,1))</f>
        <v/>
      </c>
      <c r="T415" s="42">
        <f>INDEX(DPD_Prov,MATCH(K415,DPD_From,1))</f>
        <v/>
      </c>
      <c r="U415" s="40">
        <f>ROUND(O415*T415,0)</f>
        <v/>
      </c>
      <c r="V415" s="41">
        <f>INDEX(CIBIL_Grade,MATCH(J415,CIBIL_From,1))</f>
        <v/>
      </c>
      <c r="W415" s="41">
        <f>YEAR(F415)&amp;"-Q"&amp;ROUNDUP(MONTH(F415)/3,0)</f>
        <v/>
      </c>
      <c r="X415" s="41">
        <f>IF(AND(OR(Dashboard!$C$4="All",D415=Dashboard!$C$4),OR(Dashboard!$C$5="All",E415=Dashboard!$C$5)),1,0)</f>
        <v/>
      </c>
      <c r="Y415" s="43">
        <f>IF(AND(X415=1,S415="Yes"),O415+ROW()/1000000,0)</f>
        <v/>
      </c>
    </row>
    <row r="416">
      <c r="A416" s="35" t="inlineStr">
        <is>
          <t>LN100415</t>
        </is>
      </c>
      <c r="B416" s="35" t="inlineStr">
        <is>
          <t>Ananya Menon</t>
        </is>
      </c>
      <c r="C416" s="35" t="inlineStr">
        <is>
          <t>KOC-01</t>
        </is>
      </c>
      <c r="D416" s="36">
        <f>INDEX(Branches!$C$2:$C$15,MATCH(C416,Branches!$A$2:$A$15,0))</f>
        <v/>
      </c>
      <c r="E416" s="35" t="inlineStr">
        <is>
          <t>Gold Loan</t>
        </is>
      </c>
      <c r="F416" s="37" t="n">
        <v>45439</v>
      </c>
      <c r="G416" s="38" t="n">
        <v>69000</v>
      </c>
      <c r="H416" s="39" t="n">
        <v>0.09619999999999999</v>
      </c>
      <c r="I416" s="35" t="n">
        <v>12</v>
      </c>
      <c r="J416" s="35" t="n">
        <v>825</v>
      </c>
      <c r="K416" s="35" t="n">
        <v>0</v>
      </c>
      <c r="L416" s="40">
        <f>ROUND(PMT(H416/12,I416,-G416),0)</f>
        <v/>
      </c>
      <c r="M416" s="41">
        <f>MAX(0,(YEAR(AsOfDate)-YEAR(F416))*12+MONTH(AsOfDate)-MONTH(F416))</f>
        <v/>
      </c>
      <c r="N416" s="41">
        <f>MAX(0,MIN(I416,M416)-INT(K416/30))</f>
        <v/>
      </c>
      <c r="O416" s="40">
        <f>IF(N416&gt;=I416,0,ROUND(PV(H416/12,I416-N416,-L416),0))</f>
        <v/>
      </c>
      <c r="P416" s="40">
        <f>MIN(I416,M416)*L416-N416*L416</f>
        <v/>
      </c>
      <c r="Q416" s="41">
        <f>INDEX(DPD_Bucket,MATCH(K416,DPD_From,1))</f>
        <v/>
      </c>
      <c r="R416" s="41">
        <f>INDEX(DPD_Class,MATCH(K416,DPD_From,1))</f>
        <v/>
      </c>
      <c r="S416" s="41">
        <f>INDEX(DPD_NPA,MATCH(K416,DPD_From,1))</f>
        <v/>
      </c>
      <c r="T416" s="42">
        <f>INDEX(DPD_Prov,MATCH(K416,DPD_From,1))</f>
        <v/>
      </c>
      <c r="U416" s="40">
        <f>ROUND(O416*T416,0)</f>
        <v/>
      </c>
      <c r="V416" s="41">
        <f>INDEX(CIBIL_Grade,MATCH(J416,CIBIL_From,1))</f>
        <v/>
      </c>
      <c r="W416" s="41">
        <f>YEAR(F416)&amp;"-Q"&amp;ROUNDUP(MONTH(F416)/3,0)</f>
        <v/>
      </c>
      <c r="X416" s="41">
        <f>IF(AND(OR(Dashboard!$C$4="All",D416=Dashboard!$C$4),OR(Dashboard!$C$5="All",E416=Dashboard!$C$5)),1,0)</f>
        <v/>
      </c>
      <c r="Y416" s="43">
        <f>IF(AND(X416=1,S416="Yes"),O416+ROW()/1000000,0)</f>
        <v/>
      </c>
    </row>
    <row r="417">
      <c r="A417" s="35" t="inlineStr">
        <is>
          <t>LN100416</t>
        </is>
      </c>
      <c r="B417" s="35" t="inlineStr">
        <is>
          <t>Riya Verma</t>
        </is>
      </c>
      <c r="C417" s="35" t="inlineStr">
        <is>
          <t>BLR-01</t>
        </is>
      </c>
      <c r="D417" s="36">
        <f>INDEX(Branches!$C$2:$C$15,MATCH(C417,Branches!$A$2:$A$15,0))</f>
        <v/>
      </c>
      <c r="E417" s="35" t="inlineStr">
        <is>
          <t>Gold Loan</t>
        </is>
      </c>
      <c r="F417" s="37" t="n">
        <v>45379</v>
      </c>
      <c r="G417" s="38" t="n">
        <v>491000</v>
      </c>
      <c r="H417" s="39" t="n">
        <v>0.0997</v>
      </c>
      <c r="I417" s="35" t="n">
        <v>12</v>
      </c>
      <c r="J417" s="35" t="n">
        <v>758</v>
      </c>
      <c r="K417" s="35" t="n">
        <v>0</v>
      </c>
      <c r="L417" s="40">
        <f>ROUND(PMT(H417/12,I417,-G417),0)</f>
        <v/>
      </c>
      <c r="M417" s="41">
        <f>MAX(0,(YEAR(AsOfDate)-YEAR(F417))*12+MONTH(AsOfDate)-MONTH(F417))</f>
        <v/>
      </c>
      <c r="N417" s="41">
        <f>MAX(0,MIN(I417,M417)-INT(K417/30))</f>
        <v/>
      </c>
      <c r="O417" s="40">
        <f>IF(N417&gt;=I417,0,ROUND(PV(H417/12,I417-N417,-L417),0))</f>
        <v/>
      </c>
      <c r="P417" s="40">
        <f>MIN(I417,M417)*L417-N417*L417</f>
        <v/>
      </c>
      <c r="Q417" s="41">
        <f>INDEX(DPD_Bucket,MATCH(K417,DPD_From,1))</f>
        <v/>
      </c>
      <c r="R417" s="41">
        <f>INDEX(DPD_Class,MATCH(K417,DPD_From,1))</f>
        <v/>
      </c>
      <c r="S417" s="41">
        <f>INDEX(DPD_NPA,MATCH(K417,DPD_From,1))</f>
        <v/>
      </c>
      <c r="T417" s="42">
        <f>INDEX(DPD_Prov,MATCH(K417,DPD_From,1))</f>
        <v/>
      </c>
      <c r="U417" s="40">
        <f>ROUND(O417*T417,0)</f>
        <v/>
      </c>
      <c r="V417" s="41">
        <f>INDEX(CIBIL_Grade,MATCH(J417,CIBIL_From,1))</f>
        <v/>
      </c>
      <c r="W417" s="41">
        <f>YEAR(F417)&amp;"-Q"&amp;ROUNDUP(MONTH(F417)/3,0)</f>
        <v/>
      </c>
      <c r="X417" s="41">
        <f>IF(AND(OR(Dashboard!$C$4="All",D417=Dashboard!$C$4),OR(Dashboard!$C$5="All",E417=Dashboard!$C$5)),1,0)</f>
        <v/>
      </c>
      <c r="Y417" s="43">
        <f>IF(AND(X417=1,S417="Yes"),O417+ROW()/1000000,0)</f>
        <v/>
      </c>
    </row>
    <row r="418">
      <c r="A418" s="35" t="inlineStr">
        <is>
          <t>LN100417</t>
        </is>
      </c>
      <c r="B418" s="35" t="inlineStr">
        <is>
          <t>Kavya Menon</t>
        </is>
      </c>
      <c r="C418" s="35" t="inlineStr">
        <is>
          <t>JAI-01</t>
        </is>
      </c>
      <c r="D418" s="36">
        <f>INDEX(Branches!$C$2:$C$15,MATCH(C418,Branches!$A$2:$A$15,0))</f>
        <v/>
      </c>
      <c r="E418" s="35" t="inlineStr">
        <is>
          <t>Business Loan</t>
        </is>
      </c>
      <c r="F418" s="37" t="n">
        <v>45634</v>
      </c>
      <c r="G418" s="38" t="n">
        <v>3440000</v>
      </c>
      <c r="H418" s="39" t="n">
        <v>0.1885</v>
      </c>
      <c r="I418" s="35" t="n">
        <v>36</v>
      </c>
      <c r="J418" s="35" t="n">
        <v>672</v>
      </c>
      <c r="K418" s="35" t="n">
        <v>0</v>
      </c>
      <c r="L418" s="40">
        <f>ROUND(PMT(H418/12,I418,-G418),0)</f>
        <v/>
      </c>
      <c r="M418" s="41">
        <f>MAX(0,(YEAR(AsOfDate)-YEAR(F418))*12+MONTH(AsOfDate)-MONTH(F418))</f>
        <v/>
      </c>
      <c r="N418" s="41">
        <f>MAX(0,MIN(I418,M418)-INT(K418/30))</f>
        <v/>
      </c>
      <c r="O418" s="40">
        <f>IF(N418&gt;=I418,0,ROUND(PV(H418/12,I418-N418,-L418),0))</f>
        <v/>
      </c>
      <c r="P418" s="40">
        <f>MIN(I418,M418)*L418-N418*L418</f>
        <v/>
      </c>
      <c r="Q418" s="41">
        <f>INDEX(DPD_Bucket,MATCH(K418,DPD_From,1))</f>
        <v/>
      </c>
      <c r="R418" s="41">
        <f>INDEX(DPD_Class,MATCH(K418,DPD_From,1))</f>
        <v/>
      </c>
      <c r="S418" s="41">
        <f>INDEX(DPD_NPA,MATCH(K418,DPD_From,1))</f>
        <v/>
      </c>
      <c r="T418" s="42">
        <f>INDEX(DPD_Prov,MATCH(K418,DPD_From,1))</f>
        <v/>
      </c>
      <c r="U418" s="40">
        <f>ROUND(O418*T418,0)</f>
        <v/>
      </c>
      <c r="V418" s="41">
        <f>INDEX(CIBIL_Grade,MATCH(J418,CIBIL_From,1))</f>
        <v/>
      </c>
      <c r="W418" s="41">
        <f>YEAR(F418)&amp;"-Q"&amp;ROUNDUP(MONTH(F418)/3,0)</f>
        <v/>
      </c>
      <c r="X418" s="41">
        <f>IF(AND(OR(Dashboard!$C$4="All",D418=Dashboard!$C$4),OR(Dashboard!$C$5="All",E418=Dashboard!$C$5)),1,0)</f>
        <v/>
      </c>
      <c r="Y418" s="43">
        <f>IF(AND(X418=1,S418="Yes"),O418+ROW()/1000000,0)</f>
        <v/>
      </c>
    </row>
    <row r="419">
      <c r="A419" s="35" t="inlineStr">
        <is>
          <t>LN100418</t>
        </is>
      </c>
      <c r="B419" s="35" t="inlineStr">
        <is>
          <t>Sneha Menon</t>
        </is>
      </c>
      <c r="C419" s="35" t="inlineStr">
        <is>
          <t>DEL-01</t>
        </is>
      </c>
      <c r="D419" s="36">
        <f>INDEX(Branches!$C$2:$C$15,MATCH(C419,Branches!$A$2:$A$15,0))</f>
        <v/>
      </c>
      <c r="E419" s="35" t="inlineStr">
        <is>
          <t>Personal Loan</t>
        </is>
      </c>
      <c r="F419" s="37" t="n">
        <v>45717</v>
      </c>
      <c r="G419" s="38" t="n">
        <v>1210000</v>
      </c>
      <c r="H419" s="39" t="n">
        <v>0.1715</v>
      </c>
      <c r="I419" s="35" t="n">
        <v>48</v>
      </c>
      <c r="J419" s="35" t="n">
        <v>701</v>
      </c>
      <c r="K419" s="35" t="n">
        <v>0</v>
      </c>
      <c r="L419" s="40">
        <f>ROUND(PMT(H419/12,I419,-G419),0)</f>
        <v/>
      </c>
      <c r="M419" s="41">
        <f>MAX(0,(YEAR(AsOfDate)-YEAR(F419))*12+MONTH(AsOfDate)-MONTH(F419))</f>
        <v/>
      </c>
      <c r="N419" s="41">
        <f>MAX(0,MIN(I419,M419)-INT(K419/30))</f>
        <v/>
      </c>
      <c r="O419" s="40">
        <f>IF(N419&gt;=I419,0,ROUND(PV(H419/12,I419-N419,-L419),0))</f>
        <v/>
      </c>
      <c r="P419" s="40">
        <f>MIN(I419,M419)*L419-N419*L419</f>
        <v/>
      </c>
      <c r="Q419" s="41">
        <f>INDEX(DPD_Bucket,MATCH(K419,DPD_From,1))</f>
        <v/>
      </c>
      <c r="R419" s="41">
        <f>INDEX(DPD_Class,MATCH(K419,DPD_From,1))</f>
        <v/>
      </c>
      <c r="S419" s="41">
        <f>INDEX(DPD_NPA,MATCH(K419,DPD_From,1))</f>
        <v/>
      </c>
      <c r="T419" s="42">
        <f>INDEX(DPD_Prov,MATCH(K419,DPD_From,1))</f>
        <v/>
      </c>
      <c r="U419" s="40">
        <f>ROUND(O419*T419,0)</f>
        <v/>
      </c>
      <c r="V419" s="41">
        <f>INDEX(CIBIL_Grade,MATCH(J419,CIBIL_From,1))</f>
        <v/>
      </c>
      <c r="W419" s="41">
        <f>YEAR(F419)&amp;"-Q"&amp;ROUNDUP(MONTH(F419)/3,0)</f>
        <v/>
      </c>
      <c r="X419" s="41">
        <f>IF(AND(OR(Dashboard!$C$4="All",D419=Dashboard!$C$4),OR(Dashboard!$C$5="All",E419=Dashboard!$C$5)),1,0)</f>
        <v/>
      </c>
      <c r="Y419" s="43">
        <f>IF(AND(X419=1,S419="Yes"),O419+ROW()/1000000,0)</f>
        <v/>
      </c>
    </row>
    <row r="420">
      <c r="A420" s="35" t="inlineStr">
        <is>
          <t>LN100419</t>
        </is>
      </c>
      <c r="B420" s="35" t="inlineStr">
        <is>
          <t>Ishaan Reddy</t>
        </is>
      </c>
      <c r="C420" s="35" t="inlineStr">
        <is>
          <t>HYD-01</t>
        </is>
      </c>
      <c r="D420" s="36">
        <f>INDEX(Branches!$C$2:$C$15,MATCH(C420,Branches!$A$2:$A$15,0))</f>
        <v/>
      </c>
      <c r="E420" s="35" t="inlineStr">
        <is>
          <t>Home Loan</t>
        </is>
      </c>
      <c r="F420" s="37" t="n">
        <v>45273</v>
      </c>
      <c r="G420" s="38" t="n">
        <v>4046000</v>
      </c>
      <c r="H420" s="39" t="n">
        <v>0.0924</v>
      </c>
      <c r="I420" s="35" t="n">
        <v>120</v>
      </c>
      <c r="J420" s="35" t="n">
        <v>746</v>
      </c>
      <c r="K420" s="35" t="n">
        <v>0</v>
      </c>
      <c r="L420" s="40">
        <f>ROUND(PMT(H420/12,I420,-G420),0)</f>
        <v/>
      </c>
      <c r="M420" s="41">
        <f>MAX(0,(YEAR(AsOfDate)-YEAR(F420))*12+MONTH(AsOfDate)-MONTH(F420))</f>
        <v/>
      </c>
      <c r="N420" s="41">
        <f>MAX(0,MIN(I420,M420)-INT(K420/30))</f>
        <v/>
      </c>
      <c r="O420" s="40">
        <f>IF(N420&gt;=I420,0,ROUND(PV(H420/12,I420-N420,-L420),0))</f>
        <v/>
      </c>
      <c r="P420" s="40">
        <f>MIN(I420,M420)*L420-N420*L420</f>
        <v/>
      </c>
      <c r="Q420" s="41">
        <f>INDEX(DPD_Bucket,MATCH(K420,DPD_From,1))</f>
        <v/>
      </c>
      <c r="R420" s="41">
        <f>INDEX(DPD_Class,MATCH(K420,DPD_From,1))</f>
        <v/>
      </c>
      <c r="S420" s="41">
        <f>INDEX(DPD_NPA,MATCH(K420,DPD_From,1))</f>
        <v/>
      </c>
      <c r="T420" s="42">
        <f>INDEX(DPD_Prov,MATCH(K420,DPD_From,1))</f>
        <v/>
      </c>
      <c r="U420" s="40">
        <f>ROUND(O420*T420,0)</f>
        <v/>
      </c>
      <c r="V420" s="41">
        <f>INDEX(CIBIL_Grade,MATCH(J420,CIBIL_From,1))</f>
        <v/>
      </c>
      <c r="W420" s="41">
        <f>YEAR(F420)&amp;"-Q"&amp;ROUNDUP(MONTH(F420)/3,0)</f>
        <v/>
      </c>
      <c r="X420" s="41">
        <f>IF(AND(OR(Dashboard!$C$4="All",D420=Dashboard!$C$4),OR(Dashboard!$C$5="All",E420=Dashboard!$C$5)),1,0)</f>
        <v/>
      </c>
      <c r="Y420" s="43">
        <f>IF(AND(X420=1,S420="Yes"),O420+ROW()/1000000,0)</f>
        <v/>
      </c>
    </row>
    <row r="421">
      <c r="A421" s="35" t="inlineStr">
        <is>
          <t>LN100420</t>
        </is>
      </c>
      <c r="B421" s="35" t="inlineStr">
        <is>
          <t>Zoya Nair</t>
        </is>
      </c>
      <c r="C421" s="35" t="inlineStr">
        <is>
          <t>DEL-01</t>
        </is>
      </c>
      <c r="D421" s="36">
        <f>INDEX(Branches!$C$2:$C$15,MATCH(C421,Branches!$A$2:$A$15,0))</f>
        <v/>
      </c>
      <c r="E421" s="35" t="inlineStr">
        <is>
          <t>Business Loan</t>
        </is>
      </c>
      <c r="F421" s="37" t="n">
        <v>45324</v>
      </c>
      <c r="G421" s="38" t="n">
        <v>3539000</v>
      </c>
      <c r="H421" s="39" t="n">
        <v>0.1635</v>
      </c>
      <c r="I421" s="35" t="n">
        <v>24</v>
      </c>
      <c r="J421" s="35" t="n">
        <v>754</v>
      </c>
      <c r="K421" s="35" t="n">
        <v>0</v>
      </c>
      <c r="L421" s="40">
        <f>ROUND(PMT(H421/12,I421,-G421),0)</f>
        <v/>
      </c>
      <c r="M421" s="41">
        <f>MAX(0,(YEAR(AsOfDate)-YEAR(F421))*12+MONTH(AsOfDate)-MONTH(F421))</f>
        <v/>
      </c>
      <c r="N421" s="41">
        <f>MAX(0,MIN(I421,M421)-INT(K421/30))</f>
        <v/>
      </c>
      <c r="O421" s="40">
        <f>IF(N421&gt;=I421,0,ROUND(PV(H421/12,I421-N421,-L421),0))</f>
        <v/>
      </c>
      <c r="P421" s="40">
        <f>MIN(I421,M421)*L421-N421*L421</f>
        <v/>
      </c>
      <c r="Q421" s="41">
        <f>INDEX(DPD_Bucket,MATCH(K421,DPD_From,1))</f>
        <v/>
      </c>
      <c r="R421" s="41">
        <f>INDEX(DPD_Class,MATCH(K421,DPD_From,1))</f>
        <v/>
      </c>
      <c r="S421" s="41">
        <f>INDEX(DPD_NPA,MATCH(K421,DPD_From,1))</f>
        <v/>
      </c>
      <c r="T421" s="42">
        <f>INDEX(DPD_Prov,MATCH(K421,DPD_From,1))</f>
        <v/>
      </c>
      <c r="U421" s="40">
        <f>ROUND(O421*T421,0)</f>
        <v/>
      </c>
      <c r="V421" s="41">
        <f>INDEX(CIBIL_Grade,MATCH(J421,CIBIL_From,1))</f>
        <v/>
      </c>
      <c r="W421" s="41">
        <f>YEAR(F421)&amp;"-Q"&amp;ROUNDUP(MONTH(F421)/3,0)</f>
        <v/>
      </c>
      <c r="X421" s="41">
        <f>IF(AND(OR(Dashboard!$C$4="All",D421=Dashboard!$C$4),OR(Dashboard!$C$5="All",E421=Dashboard!$C$5)),1,0)</f>
        <v/>
      </c>
      <c r="Y421" s="43">
        <f>IF(AND(X421=1,S421="Yes"),O421+ROW()/1000000,0)</f>
        <v/>
      </c>
    </row>
    <row r="422">
      <c r="A422" s="35" t="inlineStr">
        <is>
          <t>LN100421</t>
        </is>
      </c>
      <c r="B422" s="35" t="inlineStr">
        <is>
          <t>Sai Chatterjee</t>
        </is>
      </c>
      <c r="C422" s="35" t="inlineStr">
        <is>
          <t>BLR-01</t>
        </is>
      </c>
      <c r="D422" s="36">
        <f>INDEX(Branches!$C$2:$C$15,MATCH(C422,Branches!$A$2:$A$15,0))</f>
        <v/>
      </c>
      <c r="E422" s="35" t="inlineStr">
        <is>
          <t>Personal Loan</t>
        </is>
      </c>
      <c r="F422" s="37" t="n">
        <v>46128</v>
      </c>
      <c r="G422" s="38" t="n">
        <v>1347000</v>
      </c>
      <c r="H422" s="39" t="n">
        <v>0.116</v>
      </c>
      <c r="I422" s="35" t="n">
        <v>48</v>
      </c>
      <c r="J422" s="35" t="n">
        <v>736</v>
      </c>
      <c r="K422" s="35" t="n">
        <v>0</v>
      </c>
      <c r="L422" s="40">
        <f>ROUND(PMT(H422/12,I422,-G422),0)</f>
        <v/>
      </c>
      <c r="M422" s="41">
        <f>MAX(0,(YEAR(AsOfDate)-YEAR(F422))*12+MONTH(AsOfDate)-MONTH(F422))</f>
        <v/>
      </c>
      <c r="N422" s="41">
        <f>MAX(0,MIN(I422,M422)-INT(K422/30))</f>
        <v/>
      </c>
      <c r="O422" s="40">
        <f>IF(N422&gt;=I422,0,ROUND(PV(H422/12,I422-N422,-L422),0))</f>
        <v/>
      </c>
      <c r="P422" s="40">
        <f>MIN(I422,M422)*L422-N422*L422</f>
        <v/>
      </c>
      <c r="Q422" s="41">
        <f>INDEX(DPD_Bucket,MATCH(K422,DPD_From,1))</f>
        <v/>
      </c>
      <c r="R422" s="41">
        <f>INDEX(DPD_Class,MATCH(K422,DPD_From,1))</f>
        <v/>
      </c>
      <c r="S422" s="41">
        <f>INDEX(DPD_NPA,MATCH(K422,DPD_From,1))</f>
        <v/>
      </c>
      <c r="T422" s="42">
        <f>INDEX(DPD_Prov,MATCH(K422,DPD_From,1))</f>
        <v/>
      </c>
      <c r="U422" s="40">
        <f>ROUND(O422*T422,0)</f>
        <v/>
      </c>
      <c r="V422" s="41">
        <f>INDEX(CIBIL_Grade,MATCH(J422,CIBIL_From,1))</f>
        <v/>
      </c>
      <c r="W422" s="41">
        <f>YEAR(F422)&amp;"-Q"&amp;ROUNDUP(MONTH(F422)/3,0)</f>
        <v/>
      </c>
      <c r="X422" s="41">
        <f>IF(AND(OR(Dashboard!$C$4="All",D422=Dashboard!$C$4),OR(Dashboard!$C$5="All",E422=Dashboard!$C$5)),1,0)</f>
        <v/>
      </c>
      <c r="Y422" s="43">
        <f>IF(AND(X422=1,S422="Yes"),O422+ROW()/1000000,0)</f>
        <v/>
      </c>
    </row>
    <row r="423">
      <c r="A423" s="35" t="inlineStr">
        <is>
          <t>LN100422</t>
        </is>
      </c>
      <c r="B423" s="35" t="inlineStr">
        <is>
          <t>Suresh Mishra</t>
        </is>
      </c>
      <c r="C423" s="35" t="inlineStr">
        <is>
          <t>KOL-01</t>
        </is>
      </c>
      <c r="D423" s="36">
        <f>INDEX(Branches!$C$2:$C$15,MATCH(C423,Branches!$A$2:$A$15,0))</f>
        <v/>
      </c>
      <c r="E423" s="35" t="inlineStr">
        <is>
          <t>Home Loan</t>
        </is>
      </c>
      <c r="F423" s="37" t="n">
        <v>45115</v>
      </c>
      <c r="G423" s="38" t="n">
        <v>2242000</v>
      </c>
      <c r="H423" s="39" t="n">
        <v>0.0941</v>
      </c>
      <c r="I423" s="35" t="n">
        <v>120</v>
      </c>
      <c r="J423" s="35" t="n">
        <v>763</v>
      </c>
      <c r="K423" s="35" t="n">
        <v>0</v>
      </c>
      <c r="L423" s="40">
        <f>ROUND(PMT(H423/12,I423,-G423),0)</f>
        <v/>
      </c>
      <c r="M423" s="41">
        <f>MAX(0,(YEAR(AsOfDate)-YEAR(F423))*12+MONTH(AsOfDate)-MONTH(F423))</f>
        <v/>
      </c>
      <c r="N423" s="41">
        <f>MAX(0,MIN(I423,M423)-INT(K423/30))</f>
        <v/>
      </c>
      <c r="O423" s="40">
        <f>IF(N423&gt;=I423,0,ROUND(PV(H423/12,I423-N423,-L423),0))</f>
        <v/>
      </c>
      <c r="P423" s="40">
        <f>MIN(I423,M423)*L423-N423*L423</f>
        <v/>
      </c>
      <c r="Q423" s="41">
        <f>INDEX(DPD_Bucket,MATCH(K423,DPD_From,1))</f>
        <v/>
      </c>
      <c r="R423" s="41">
        <f>INDEX(DPD_Class,MATCH(K423,DPD_From,1))</f>
        <v/>
      </c>
      <c r="S423" s="41">
        <f>INDEX(DPD_NPA,MATCH(K423,DPD_From,1))</f>
        <v/>
      </c>
      <c r="T423" s="42">
        <f>INDEX(DPD_Prov,MATCH(K423,DPD_From,1))</f>
        <v/>
      </c>
      <c r="U423" s="40">
        <f>ROUND(O423*T423,0)</f>
        <v/>
      </c>
      <c r="V423" s="41">
        <f>INDEX(CIBIL_Grade,MATCH(J423,CIBIL_From,1))</f>
        <v/>
      </c>
      <c r="W423" s="41">
        <f>YEAR(F423)&amp;"-Q"&amp;ROUNDUP(MONTH(F423)/3,0)</f>
        <v/>
      </c>
      <c r="X423" s="41">
        <f>IF(AND(OR(Dashboard!$C$4="All",D423=Dashboard!$C$4),OR(Dashboard!$C$5="All",E423=Dashboard!$C$5)),1,0)</f>
        <v/>
      </c>
      <c r="Y423" s="43">
        <f>IF(AND(X423=1,S423="Yes"),O423+ROW()/1000000,0)</f>
        <v/>
      </c>
    </row>
    <row r="424">
      <c r="A424" s="35" t="inlineStr">
        <is>
          <t>LN100423</t>
        </is>
      </c>
      <c r="B424" s="35" t="inlineStr">
        <is>
          <t>Pooja Patel</t>
        </is>
      </c>
      <c r="C424" s="35" t="inlineStr">
        <is>
          <t>KOC-01</t>
        </is>
      </c>
      <c r="D424" s="36">
        <f>INDEX(Branches!$C$2:$C$15,MATCH(C424,Branches!$A$2:$A$15,0))</f>
        <v/>
      </c>
      <c r="E424" s="35" t="inlineStr">
        <is>
          <t>Personal Loan</t>
        </is>
      </c>
      <c r="F424" s="37" t="n">
        <v>45998</v>
      </c>
      <c r="G424" s="38" t="n">
        <v>1263000</v>
      </c>
      <c r="H424" s="39" t="n">
        <v>0.1501</v>
      </c>
      <c r="I424" s="35" t="n">
        <v>36</v>
      </c>
      <c r="J424" s="35" t="n">
        <v>750</v>
      </c>
      <c r="K424" s="35" t="n">
        <v>0</v>
      </c>
      <c r="L424" s="40">
        <f>ROUND(PMT(H424/12,I424,-G424),0)</f>
        <v/>
      </c>
      <c r="M424" s="41">
        <f>MAX(0,(YEAR(AsOfDate)-YEAR(F424))*12+MONTH(AsOfDate)-MONTH(F424))</f>
        <v/>
      </c>
      <c r="N424" s="41">
        <f>MAX(0,MIN(I424,M424)-INT(K424/30))</f>
        <v/>
      </c>
      <c r="O424" s="40">
        <f>IF(N424&gt;=I424,0,ROUND(PV(H424/12,I424-N424,-L424),0))</f>
        <v/>
      </c>
      <c r="P424" s="40">
        <f>MIN(I424,M424)*L424-N424*L424</f>
        <v/>
      </c>
      <c r="Q424" s="41">
        <f>INDEX(DPD_Bucket,MATCH(K424,DPD_From,1))</f>
        <v/>
      </c>
      <c r="R424" s="41">
        <f>INDEX(DPD_Class,MATCH(K424,DPD_From,1))</f>
        <v/>
      </c>
      <c r="S424" s="41">
        <f>INDEX(DPD_NPA,MATCH(K424,DPD_From,1))</f>
        <v/>
      </c>
      <c r="T424" s="42">
        <f>INDEX(DPD_Prov,MATCH(K424,DPD_From,1))</f>
        <v/>
      </c>
      <c r="U424" s="40">
        <f>ROUND(O424*T424,0)</f>
        <v/>
      </c>
      <c r="V424" s="41">
        <f>INDEX(CIBIL_Grade,MATCH(J424,CIBIL_From,1))</f>
        <v/>
      </c>
      <c r="W424" s="41">
        <f>YEAR(F424)&amp;"-Q"&amp;ROUNDUP(MONTH(F424)/3,0)</f>
        <v/>
      </c>
      <c r="X424" s="41">
        <f>IF(AND(OR(Dashboard!$C$4="All",D424=Dashboard!$C$4),OR(Dashboard!$C$5="All",E424=Dashboard!$C$5)),1,0)</f>
        <v/>
      </c>
      <c r="Y424" s="43">
        <f>IF(AND(X424=1,S424="Yes"),O424+ROW()/1000000,0)</f>
        <v/>
      </c>
    </row>
    <row r="425">
      <c r="A425" s="35" t="inlineStr">
        <is>
          <t>LN100424</t>
        </is>
      </c>
      <c r="B425" s="35" t="inlineStr">
        <is>
          <t>Zoya Rao</t>
        </is>
      </c>
      <c r="C425" s="35" t="inlineStr">
        <is>
          <t>DEL-01</t>
        </is>
      </c>
      <c r="D425" s="36">
        <f>INDEX(Branches!$C$2:$C$15,MATCH(C425,Branches!$A$2:$A$15,0))</f>
        <v/>
      </c>
      <c r="E425" s="35" t="inlineStr">
        <is>
          <t>Business Loan</t>
        </is>
      </c>
      <c r="F425" s="37" t="n">
        <v>45127</v>
      </c>
      <c r="G425" s="38" t="n">
        <v>3184000</v>
      </c>
      <c r="H425" s="39" t="n">
        <v>0.1348</v>
      </c>
      <c r="I425" s="35" t="n">
        <v>24</v>
      </c>
      <c r="J425" s="35" t="n">
        <v>808</v>
      </c>
      <c r="K425" s="35" t="n">
        <v>0</v>
      </c>
      <c r="L425" s="40">
        <f>ROUND(PMT(H425/12,I425,-G425),0)</f>
        <v/>
      </c>
      <c r="M425" s="41">
        <f>MAX(0,(YEAR(AsOfDate)-YEAR(F425))*12+MONTH(AsOfDate)-MONTH(F425))</f>
        <v/>
      </c>
      <c r="N425" s="41">
        <f>MAX(0,MIN(I425,M425)-INT(K425/30))</f>
        <v/>
      </c>
      <c r="O425" s="40">
        <f>IF(N425&gt;=I425,0,ROUND(PV(H425/12,I425-N425,-L425),0))</f>
        <v/>
      </c>
      <c r="P425" s="40">
        <f>MIN(I425,M425)*L425-N425*L425</f>
        <v/>
      </c>
      <c r="Q425" s="41">
        <f>INDEX(DPD_Bucket,MATCH(K425,DPD_From,1))</f>
        <v/>
      </c>
      <c r="R425" s="41">
        <f>INDEX(DPD_Class,MATCH(K425,DPD_From,1))</f>
        <v/>
      </c>
      <c r="S425" s="41">
        <f>INDEX(DPD_NPA,MATCH(K425,DPD_From,1))</f>
        <v/>
      </c>
      <c r="T425" s="42">
        <f>INDEX(DPD_Prov,MATCH(K425,DPD_From,1))</f>
        <v/>
      </c>
      <c r="U425" s="40">
        <f>ROUND(O425*T425,0)</f>
        <v/>
      </c>
      <c r="V425" s="41">
        <f>INDEX(CIBIL_Grade,MATCH(J425,CIBIL_From,1))</f>
        <v/>
      </c>
      <c r="W425" s="41">
        <f>YEAR(F425)&amp;"-Q"&amp;ROUNDUP(MONTH(F425)/3,0)</f>
        <v/>
      </c>
      <c r="X425" s="41">
        <f>IF(AND(OR(Dashboard!$C$4="All",D425=Dashboard!$C$4),OR(Dashboard!$C$5="All",E425=Dashboard!$C$5)),1,0)</f>
        <v/>
      </c>
      <c r="Y425" s="43">
        <f>IF(AND(X425=1,S425="Yes"),O425+ROW()/1000000,0)</f>
        <v/>
      </c>
    </row>
    <row r="426">
      <c r="A426" s="35" t="inlineStr">
        <is>
          <t>LN100425</t>
        </is>
      </c>
      <c r="B426" s="35" t="inlineStr">
        <is>
          <t>Deepa Khan</t>
        </is>
      </c>
      <c r="C426" s="35" t="inlineStr">
        <is>
          <t>GUW-01</t>
        </is>
      </c>
      <c r="D426" s="36">
        <f>INDEX(Branches!$C$2:$C$15,MATCH(C426,Branches!$A$2:$A$15,0))</f>
        <v/>
      </c>
      <c r="E426" s="35" t="inlineStr">
        <is>
          <t>Auto Loan</t>
        </is>
      </c>
      <c r="F426" s="37" t="n">
        <v>45951</v>
      </c>
      <c r="G426" s="38" t="n">
        <v>639000</v>
      </c>
      <c r="H426" s="39" t="n">
        <v>0.092</v>
      </c>
      <c r="I426" s="35" t="n">
        <v>48</v>
      </c>
      <c r="J426" s="35" t="n">
        <v>801</v>
      </c>
      <c r="K426" s="35" t="n">
        <v>0</v>
      </c>
      <c r="L426" s="40">
        <f>ROUND(PMT(H426/12,I426,-G426),0)</f>
        <v/>
      </c>
      <c r="M426" s="41">
        <f>MAX(0,(YEAR(AsOfDate)-YEAR(F426))*12+MONTH(AsOfDate)-MONTH(F426))</f>
        <v/>
      </c>
      <c r="N426" s="41">
        <f>MAX(0,MIN(I426,M426)-INT(K426/30))</f>
        <v/>
      </c>
      <c r="O426" s="40">
        <f>IF(N426&gt;=I426,0,ROUND(PV(H426/12,I426-N426,-L426),0))</f>
        <v/>
      </c>
      <c r="P426" s="40">
        <f>MIN(I426,M426)*L426-N426*L426</f>
        <v/>
      </c>
      <c r="Q426" s="41">
        <f>INDEX(DPD_Bucket,MATCH(K426,DPD_From,1))</f>
        <v/>
      </c>
      <c r="R426" s="41">
        <f>INDEX(DPD_Class,MATCH(K426,DPD_From,1))</f>
        <v/>
      </c>
      <c r="S426" s="41">
        <f>INDEX(DPD_NPA,MATCH(K426,DPD_From,1))</f>
        <v/>
      </c>
      <c r="T426" s="42">
        <f>INDEX(DPD_Prov,MATCH(K426,DPD_From,1))</f>
        <v/>
      </c>
      <c r="U426" s="40">
        <f>ROUND(O426*T426,0)</f>
        <v/>
      </c>
      <c r="V426" s="41">
        <f>INDEX(CIBIL_Grade,MATCH(J426,CIBIL_From,1))</f>
        <v/>
      </c>
      <c r="W426" s="41">
        <f>YEAR(F426)&amp;"-Q"&amp;ROUNDUP(MONTH(F426)/3,0)</f>
        <v/>
      </c>
      <c r="X426" s="41">
        <f>IF(AND(OR(Dashboard!$C$4="All",D426=Dashboard!$C$4),OR(Dashboard!$C$5="All",E426=Dashboard!$C$5)),1,0)</f>
        <v/>
      </c>
      <c r="Y426" s="43">
        <f>IF(AND(X426=1,S426="Yes"),O426+ROW()/1000000,0)</f>
        <v/>
      </c>
    </row>
    <row r="427">
      <c r="A427" s="35" t="inlineStr">
        <is>
          <t>LN100426</t>
        </is>
      </c>
      <c r="B427" s="35" t="inlineStr">
        <is>
          <t>Rohan Chatterjee</t>
        </is>
      </c>
      <c r="C427" s="35" t="inlineStr">
        <is>
          <t>PAT-01</t>
        </is>
      </c>
      <c r="D427" s="36">
        <f>INDEX(Branches!$C$2:$C$15,MATCH(C427,Branches!$A$2:$A$15,0))</f>
        <v/>
      </c>
      <c r="E427" s="35" t="inlineStr">
        <is>
          <t>Personal Loan</t>
        </is>
      </c>
      <c r="F427" s="37" t="n">
        <v>46094</v>
      </c>
      <c r="G427" s="38" t="n">
        <v>265000</v>
      </c>
      <c r="H427" s="39" t="n">
        <v>0.1412</v>
      </c>
      <c r="I427" s="35" t="n">
        <v>60</v>
      </c>
      <c r="J427" s="35" t="n">
        <v>741</v>
      </c>
      <c r="K427" s="35" t="n">
        <v>0</v>
      </c>
      <c r="L427" s="40">
        <f>ROUND(PMT(H427/12,I427,-G427),0)</f>
        <v/>
      </c>
      <c r="M427" s="41">
        <f>MAX(0,(YEAR(AsOfDate)-YEAR(F427))*12+MONTH(AsOfDate)-MONTH(F427))</f>
        <v/>
      </c>
      <c r="N427" s="41">
        <f>MAX(0,MIN(I427,M427)-INT(K427/30))</f>
        <v/>
      </c>
      <c r="O427" s="40">
        <f>IF(N427&gt;=I427,0,ROUND(PV(H427/12,I427-N427,-L427),0))</f>
        <v/>
      </c>
      <c r="P427" s="40">
        <f>MIN(I427,M427)*L427-N427*L427</f>
        <v/>
      </c>
      <c r="Q427" s="41">
        <f>INDEX(DPD_Bucket,MATCH(K427,DPD_From,1))</f>
        <v/>
      </c>
      <c r="R427" s="41">
        <f>INDEX(DPD_Class,MATCH(K427,DPD_From,1))</f>
        <v/>
      </c>
      <c r="S427" s="41">
        <f>INDEX(DPD_NPA,MATCH(K427,DPD_From,1))</f>
        <v/>
      </c>
      <c r="T427" s="42">
        <f>INDEX(DPD_Prov,MATCH(K427,DPD_From,1))</f>
        <v/>
      </c>
      <c r="U427" s="40">
        <f>ROUND(O427*T427,0)</f>
        <v/>
      </c>
      <c r="V427" s="41">
        <f>INDEX(CIBIL_Grade,MATCH(J427,CIBIL_From,1))</f>
        <v/>
      </c>
      <c r="W427" s="41">
        <f>YEAR(F427)&amp;"-Q"&amp;ROUNDUP(MONTH(F427)/3,0)</f>
        <v/>
      </c>
      <c r="X427" s="41">
        <f>IF(AND(OR(Dashboard!$C$4="All",D427=Dashboard!$C$4),OR(Dashboard!$C$5="All",E427=Dashboard!$C$5)),1,0)</f>
        <v/>
      </c>
      <c r="Y427" s="43">
        <f>IF(AND(X427=1,S427="Yes"),O427+ROW()/1000000,0)</f>
        <v/>
      </c>
    </row>
    <row r="428">
      <c r="A428" s="35" t="inlineStr">
        <is>
          <t>LN100427</t>
        </is>
      </c>
      <c r="B428" s="35" t="inlineStr">
        <is>
          <t>Rahul Khan</t>
        </is>
      </c>
      <c r="C428" s="35" t="inlineStr">
        <is>
          <t>PUN-01</t>
        </is>
      </c>
      <c r="D428" s="36">
        <f>INDEX(Branches!$C$2:$C$15,MATCH(C428,Branches!$A$2:$A$15,0))</f>
        <v/>
      </c>
      <c r="E428" s="35" t="inlineStr">
        <is>
          <t>Home Loan</t>
        </is>
      </c>
      <c r="F428" s="37" t="n">
        <v>46171</v>
      </c>
      <c r="G428" s="38" t="n">
        <v>13373000</v>
      </c>
      <c r="H428" s="39" t="n">
        <v>0.09379999999999999</v>
      </c>
      <c r="I428" s="35" t="n">
        <v>240</v>
      </c>
      <c r="J428" s="35" t="n">
        <v>810</v>
      </c>
      <c r="K428" s="35" t="n">
        <v>0</v>
      </c>
      <c r="L428" s="40">
        <f>ROUND(PMT(H428/12,I428,-G428),0)</f>
        <v/>
      </c>
      <c r="M428" s="41">
        <f>MAX(0,(YEAR(AsOfDate)-YEAR(F428))*12+MONTH(AsOfDate)-MONTH(F428))</f>
        <v/>
      </c>
      <c r="N428" s="41">
        <f>MAX(0,MIN(I428,M428)-INT(K428/30))</f>
        <v/>
      </c>
      <c r="O428" s="40">
        <f>IF(N428&gt;=I428,0,ROUND(PV(H428/12,I428-N428,-L428),0))</f>
        <v/>
      </c>
      <c r="P428" s="40">
        <f>MIN(I428,M428)*L428-N428*L428</f>
        <v/>
      </c>
      <c r="Q428" s="41">
        <f>INDEX(DPD_Bucket,MATCH(K428,DPD_From,1))</f>
        <v/>
      </c>
      <c r="R428" s="41">
        <f>INDEX(DPD_Class,MATCH(K428,DPD_From,1))</f>
        <v/>
      </c>
      <c r="S428" s="41">
        <f>INDEX(DPD_NPA,MATCH(K428,DPD_From,1))</f>
        <v/>
      </c>
      <c r="T428" s="42">
        <f>INDEX(DPD_Prov,MATCH(K428,DPD_From,1))</f>
        <v/>
      </c>
      <c r="U428" s="40">
        <f>ROUND(O428*T428,0)</f>
        <v/>
      </c>
      <c r="V428" s="41">
        <f>INDEX(CIBIL_Grade,MATCH(J428,CIBIL_From,1))</f>
        <v/>
      </c>
      <c r="W428" s="41">
        <f>YEAR(F428)&amp;"-Q"&amp;ROUNDUP(MONTH(F428)/3,0)</f>
        <v/>
      </c>
      <c r="X428" s="41">
        <f>IF(AND(OR(Dashboard!$C$4="All",D428=Dashboard!$C$4),OR(Dashboard!$C$5="All",E428=Dashboard!$C$5)),1,0)</f>
        <v/>
      </c>
      <c r="Y428" s="43">
        <f>IF(AND(X428=1,S428="Yes"),O428+ROW()/1000000,0)</f>
        <v/>
      </c>
    </row>
    <row r="429">
      <c r="A429" s="35" t="inlineStr">
        <is>
          <t>LN100428</t>
        </is>
      </c>
      <c r="B429" s="35" t="inlineStr">
        <is>
          <t>Nikhil Mishra</t>
        </is>
      </c>
      <c r="C429" s="35" t="inlineStr">
        <is>
          <t>CHN-01</t>
        </is>
      </c>
      <c r="D429" s="36">
        <f>INDEX(Branches!$C$2:$C$15,MATCH(C429,Branches!$A$2:$A$15,0))</f>
        <v/>
      </c>
      <c r="E429" s="35" t="inlineStr">
        <is>
          <t>Personal Loan</t>
        </is>
      </c>
      <c r="F429" s="37" t="n">
        <v>45393</v>
      </c>
      <c r="G429" s="38" t="n">
        <v>696000</v>
      </c>
      <c r="H429" s="39" t="n">
        <v>0.1241</v>
      </c>
      <c r="I429" s="35" t="n">
        <v>48</v>
      </c>
      <c r="J429" s="35" t="n">
        <v>677</v>
      </c>
      <c r="K429" s="35" t="n">
        <v>0</v>
      </c>
      <c r="L429" s="40">
        <f>ROUND(PMT(H429/12,I429,-G429),0)</f>
        <v/>
      </c>
      <c r="M429" s="41">
        <f>MAX(0,(YEAR(AsOfDate)-YEAR(F429))*12+MONTH(AsOfDate)-MONTH(F429))</f>
        <v/>
      </c>
      <c r="N429" s="41">
        <f>MAX(0,MIN(I429,M429)-INT(K429/30))</f>
        <v/>
      </c>
      <c r="O429" s="40">
        <f>IF(N429&gt;=I429,0,ROUND(PV(H429/12,I429-N429,-L429),0))</f>
        <v/>
      </c>
      <c r="P429" s="40">
        <f>MIN(I429,M429)*L429-N429*L429</f>
        <v/>
      </c>
      <c r="Q429" s="41">
        <f>INDEX(DPD_Bucket,MATCH(K429,DPD_From,1))</f>
        <v/>
      </c>
      <c r="R429" s="41">
        <f>INDEX(DPD_Class,MATCH(K429,DPD_From,1))</f>
        <v/>
      </c>
      <c r="S429" s="41">
        <f>INDEX(DPD_NPA,MATCH(K429,DPD_From,1))</f>
        <v/>
      </c>
      <c r="T429" s="42">
        <f>INDEX(DPD_Prov,MATCH(K429,DPD_From,1))</f>
        <v/>
      </c>
      <c r="U429" s="40">
        <f>ROUND(O429*T429,0)</f>
        <v/>
      </c>
      <c r="V429" s="41">
        <f>INDEX(CIBIL_Grade,MATCH(J429,CIBIL_From,1))</f>
        <v/>
      </c>
      <c r="W429" s="41">
        <f>YEAR(F429)&amp;"-Q"&amp;ROUNDUP(MONTH(F429)/3,0)</f>
        <v/>
      </c>
      <c r="X429" s="41">
        <f>IF(AND(OR(Dashboard!$C$4="All",D429=Dashboard!$C$4),OR(Dashboard!$C$5="All",E429=Dashboard!$C$5)),1,0)</f>
        <v/>
      </c>
      <c r="Y429" s="43">
        <f>IF(AND(X429=1,S429="Yes"),O429+ROW()/1000000,0)</f>
        <v/>
      </c>
    </row>
    <row r="430">
      <c r="A430" s="35" t="inlineStr">
        <is>
          <t>LN100429</t>
        </is>
      </c>
      <c r="B430" s="35" t="inlineStr">
        <is>
          <t>Aarav Sharma</t>
        </is>
      </c>
      <c r="C430" s="35" t="inlineStr">
        <is>
          <t>JAI-01</t>
        </is>
      </c>
      <c r="D430" s="36">
        <f>INDEX(Branches!$C$2:$C$15,MATCH(C430,Branches!$A$2:$A$15,0))</f>
        <v/>
      </c>
      <c r="E430" s="35" t="inlineStr">
        <is>
          <t>Business Loan</t>
        </is>
      </c>
      <c r="F430" s="37" t="n">
        <v>45593</v>
      </c>
      <c r="G430" s="38" t="n">
        <v>2851000</v>
      </c>
      <c r="H430" s="39" t="n">
        <v>0.1664</v>
      </c>
      <c r="I430" s="35" t="n">
        <v>12</v>
      </c>
      <c r="J430" s="35" t="n">
        <v>678</v>
      </c>
      <c r="K430" s="35" t="n">
        <v>0</v>
      </c>
      <c r="L430" s="40">
        <f>ROUND(PMT(H430/12,I430,-G430),0)</f>
        <v/>
      </c>
      <c r="M430" s="41">
        <f>MAX(0,(YEAR(AsOfDate)-YEAR(F430))*12+MONTH(AsOfDate)-MONTH(F430))</f>
        <v/>
      </c>
      <c r="N430" s="41">
        <f>MAX(0,MIN(I430,M430)-INT(K430/30))</f>
        <v/>
      </c>
      <c r="O430" s="40">
        <f>IF(N430&gt;=I430,0,ROUND(PV(H430/12,I430-N430,-L430),0))</f>
        <v/>
      </c>
      <c r="P430" s="40">
        <f>MIN(I430,M430)*L430-N430*L430</f>
        <v/>
      </c>
      <c r="Q430" s="41">
        <f>INDEX(DPD_Bucket,MATCH(K430,DPD_From,1))</f>
        <v/>
      </c>
      <c r="R430" s="41">
        <f>INDEX(DPD_Class,MATCH(K430,DPD_From,1))</f>
        <v/>
      </c>
      <c r="S430" s="41">
        <f>INDEX(DPD_NPA,MATCH(K430,DPD_From,1))</f>
        <v/>
      </c>
      <c r="T430" s="42">
        <f>INDEX(DPD_Prov,MATCH(K430,DPD_From,1))</f>
        <v/>
      </c>
      <c r="U430" s="40">
        <f>ROUND(O430*T430,0)</f>
        <v/>
      </c>
      <c r="V430" s="41">
        <f>INDEX(CIBIL_Grade,MATCH(J430,CIBIL_From,1))</f>
        <v/>
      </c>
      <c r="W430" s="41">
        <f>YEAR(F430)&amp;"-Q"&amp;ROUNDUP(MONTH(F430)/3,0)</f>
        <v/>
      </c>
      <c r="X430" s="41">
        <f>IF(AND(OR(Dashboard!$C$4="All",D430=Dashboard!$C$4),OR(Dashboard!$C$5="All",E430=Dashboard!$C$5)),1,0)</f>
        <v/>
      </c>
      <c r="Y430" s="43">
        <f>IF(AND(X430=1,S430="Yes"),O430+ROW()/1000000,0)</f>
        <v/>
      </c>
    </row>
    <row r="431">
      <c r="A431" s="35" t="inlineStr">
        <is>
          <t>LN100430</t>
        </is>
      </c>
      <c r="B431" s="35" t="inlineStr">
        <is>
          <t>Arjun Reddy</t>
        </is>
      </c>
      <c r="C431" s="35" t="inlineStr">
        <is>
          <t>AMD-01</t>
        </is>
      </c>
      <c r="D431" s="36">
        <f>INDEX(Branches!$C$2:$C$15,MATCH(C431,Branches!$A$2:$A$15,0))</f>
        <v/>
      </c>
      <c r="E431" s="35" t="inlineStr">
        <is>
          <t>Auto Loan</t>
        </is>
      </c>
      <c r="F431" s="37" t="n">
        <v>45527</v>
      </c>
      <c r="G431" s="38" t="n">
        <v>1443000</v>
      </c>
      <c r="H431" s="39" t="n">
        <v>0.0969</v>
      </c>
      <c r="I431" s="35" t="n">
        <v>48</v>
      </c>
      <c r="J431" s="35" t="n">
        <v>695</v>
      </c>
      <c r="K431" s="35" t="n">
        <v>0</v>
      </c>
      <c r="L431" s="40">
        <f>ROUND(PMT(H431/12,I431,-G431),0)</f>
        <v/>
      </c>
      <c r="M431" s="41">
        <f>MAX(0,(YEAR(AsOfDate)-YEAR(F431))*12+MONTH(AsOfDate)-MONTH(F431))</f>
        <v/>
      </c>
      <c r="N431" s="41">
        <f>MAX(0,MIN(I431,M431)-INT(K431/30))</f>
        <v/>
      </c>
      <c r="O431" s="40">
        <f>IF(N431&gt;=I431,0,ROUND(PV(H431/12,I431-N431,-L431),0))</f>
        <v/>
      </c>
      <c r="P431" s="40">
        <f>MIN(I431,M431)*L431-N431*L431</f>
        <v/>
      </c>
      <c r="Q431" s="41">
        <f>INDEX(DPD_Bucket,MATCH(K431,DPD_From,1))</f>
        <v/>
      </c>
      <c r="R431" s="41">
        <f>INDEX(DPD_Class,MATCH(K431,DPD_From,1))</f>
        <v/>
      </c>
      <c r="S431" s="41">
        <f>INDEX(DPD_NPA,MATCH(K431,DPD_From,1))</f>
        <v/>
      </c>
      <c r="T431" s="42">
        <f>INDEX(DPD_Prov,MATCH(K431,DPD_From,1))</f>
        <v/>
      </c>
      <c r="U431" s="40">
        <f>ROUND(O431*T431,0)</f>
        <v/>
      </c>
      <c r="V431" s="41">
        <f>INDEX(CIBIL_Grade,MATCH(J431,CIBIL_From,1))</f>
        <v/>
      </c>
      <c r="W431" s="41">
        <f>YEAR(F431)&amp;"-Q"&amp;ROUNDUP(MONTH(F431)/3,0)</f>
        <v/>
      </c>
      <c r="X431" s="41">
        <f>IF(AND(OR(Dashboard!$C$4="All",D431=Dashboard!$C$4),OR(Dashboard!$C$5="All",E431=Dashboard!$C$5)),1,0)</f>
        <v/>
      </c>
      <c r="Y431" s="43">
        <f>IF(AND(X431=1,S431="Yes"),O431+ROW()/1000000,0)</f>
        <v/>
      </c>
    </row>
    <row r="432">
      <c r="A432" s="35" t="inlineStr">
        <is>
          <t>LN100431</t>
        </is>
      </c>
      <c r="B432" s="35" t="inlineStr">
        <is>
          <t>Pooja Gupta</t>
        </is>
      </c>
      <c r="C432" s="35" t="inlineStr">
        <is>
          <t>MUM-01</t>
        </is>
      </c>
      <c r="D432" s="36">
        <f>INDEX(Branches!$C$2:$C$15,MATCH(C432,Branches!$A$2:$A$15,0))</f>
        <v/>
      </c>
      <c r="E432" s="35" t="inlineStr">
        <is>
          <t>Business Loan</t>
        </is>
      </c>
      <c r="F432" s="37" t="n">
        <v>45425</v>
      </c>
      <c r="G432" s="38" t="n">
        <v>3099000</v>
      </c>
      <c r="H432" s="39" t="n">
        <v>0.1842</v>
      </c>
      <c r="I432" s="35" t="n">
        <v>60</v>
      </c>
      <c r="J432" s="35" t="n">
        <v>604</v>
      </c>
      <c r="K432" s="35" t="n">
        <v>182</v>
      </c>
      <c r="L432" s="40">
        <f>ROUND(PMT(H432/12,I432,-G432),0)</f>
        <v/>
      </c>
      <c r="M432" s="41">
        <f>MAX(0,(YEAR(AsOfDate)-YEAR(F432))*12+MONTH(AsOfDate)-MONTH(F432))</f>
        <v/>
      </c>
      <c r="N432" s="41">
        <f>MAX(0,MIN(I432,M432)-INT(K432/30))</f>
        <v/>
      </c>
      <c r="O432" s="40">
        <f>IF(N432&gt;=I432,0,ROUND(PV(H432/12,I432-N432,-L432),0))</f>
        <v/>
      </c>
      <c r="P432" s="40">
        <f>MIN(I432,M432)*L432-N432*L432</f>
        <v/>
      </c>
      <c r="Q432" s="41">
        <f>INDEX(DPD_Bucket,MATCH(K432,DPD_From,1))</f>
        <v/>
      </c>
      <c r="R432" s="41">
        <f>INDEX(DPD_Class,MATCH(K432,DPD_From,1))</f>
        <v/>
      </c>
      <c r="S432" s="41">
        <f>INDEX(DPD_NPA,MATCH(K432,DPD_From,1))</f>
        <v/>
      </c>
      <c r="T432" s="42">
        <f>INDEX(DPD_Prov,MATCH(K432,DPD_From,1))</f>
        <v/>
      </c>
      <c r="U432" s="40">
        <f>ROUND(O432*T432,0)</f>
        <v/>
      </c>
      <c r="V432" s="41">
        <f>INDEX(CIBIL_Grade,MATCH(J432,CIBIL_From,1))</f>
        <v/>
      </c>
      <c r="W432" s="41">
        <f>YEAR(F432)&amp;"-Q"&amp;ROUNDUP(MONTH(F432)/3,0)</f>
        <v/>
      </c>
      <c r="X432" s="41">
        <f>IF(AND(OR(Dashboard!$C$4="All",D432=Dashboard!$C$4),OR(Dashboard!$C$5="All",E432=Dashboard!$C$5)),1,0)</f>
        <v/>
      </c>
      <c r="Y432" s="43">
        <f>IF(AND(X432=1,S432="Yes"),O432+ROW()/1000000,0)</f>
        <v/>
      </c>
    </row>
    <row r="433">
      <c r="A433" s="35" t="inlineStr">
        <is>
          <t>LN100432</t>
        </is>
      </c>
      <c r="B433" s="35" t="inlineStr">
        <is>
          <t>Riya Patel</t>
        </is>
      </c>
      <c r="C433" s="35" t="inlineStr">
        <is>
          <t>CHN-01</t>
        </is>
      </c>
      <c r="D433" s="36">
        <f>INDEX(Branches!$C$2:$C$15,MATCH(C433,Branches!$A$2:$A$15,0))</f>
        <v/>
      </c>
      <c r="E433" s="35" t="inlineStr">
        <is>
          <t>Auto Loan</t>
        </is>
      </c>
      <c r="F433" s="37" t="n">
        <v>45930</v>
      </c>
      <c r="G433" s="38" t="n">
        <v>743000</v>
      </c>
      <c r="H433" s="39" t="n">
        <v>0.1014</v>
      </c>
      <c r="I433" s="35" t="n">
        <v>48</v>
      </c>
      <c r="J433" s="35" t="n">
        <v>624</v>
      </c>
      <c r="K433" s="35" t="n">
        <v>0</v>
      </c>
      <c r="L433" s="40">
        <f>ROUND(PMT(H433/12,I433,-G433),0)</f>
        <v/>
      </c>
      <c r="M433" s="41">
        <f>MAX(0,(YEAR(AsOfDate)-YEAR(F433))*12+MONTH(AsOfDate)-MONTH(F433))</f>
        <v/>
      </c>
      <c r="N433" s="41">
        <f>MAX(0,MIN(I433,M433)-INT(K433/30))</f>
        <v/>
      </c>
      <c r="O433" s="40">
        <f>IF(N433&gt;=I433,0,ROUND(PV(H433/12,I433-N433,-L433),0))</f>
        <v/>
      </c>
      <c r="P433" s="40">
        <f>MIN(I433,M433)*L433-N433*L433</f>
        <v/>
      </c>
      <c r="Q433" s="41">
        <f>INDEX(DPD_Bucket,MATCH(K433,DPD_From,1))</f>
        <v/>
      </c>
      <c r="R433" s="41">
        <f>INDEX(DPD_Class,MATCH(K433,DPD_From,1))</f>
        <v/>
      </c>
      <c r="S433" s="41">
        <f>INDEX(DPD_NPA,MATCH(K433,DPD_From,1))</f>
        <v/>
      </c>
      <c r="T433" s="42">
        <f>INDEX(DPD_Prov,MATCH(K433,DPD_From,1))</f>
        <v/>
      </c>
      <c r="U433" s="40">
        <f>ROUND(O433*T433,0)</f>
        <v/>
      </c>
      <c r="V433" s="41">
        <f>INDEX(CIBIL_Grade,MATCH(J433,CIBIL_From,1))</f>
        <v/>
      </c>
      <c r="W433" s="41">
        <f>YEAR(F433)&amp;"-Q"&amp;ROUNDUP(MONTH(F433)/3,0)</f>
        <v/>
      </c>
      <c r="X433" s="41">
        <f>IF(AND(OR(Dashboard!$C$4="All",D433=Dashboard!$C$4),OR(Dashboard!$C$5="All",E433=Dashboard!$C$5)),1,0)</f>
        <v/>
      </c>
      <c r="Y433" s="43">
        <f>IF(AND(X433=1,S433="Yes"),O433+ROW()/1000000,0)</f>
        <v/>
      </c>
    </row>
    <row r="434">
      <c r="A434" s="35" t="inlineStr">
        <is>
          <t>LN100433</t>
        </is>
      </c>
      <c r="B434" s="35" t="inlineStr">
        <is>
          <t>Tanvi Reddy</t>
        </is>
      </c>
      <c r="C434" s="35" t="inlineStr">
        <is>
          <t>DEL-01</t>
        </is>
      </c>
      <c r="D434" s="36">
        <f>INDEX(Branches!$C$2:$C$15,MATCH(C434,Branches!$A$2:$A$15,0))</f>
        <v/>
      </c>
      <c r="E434" s="35" t="inlineStr">
        <is>
          <t>Auto Loan</t>
        </is>
      </c>
      <c r="F434" s="37" t="n">
        <v>45844</v>
      </c>
      <c r="G434" s="38" t="n">
        <v>1881000</v>
      </c>
      <c r="H434" s="39" t="n">
        <v>0.1025</v>
      </c>
      <c r="I434" s="35" t="n">
        <v>36</v>
      </c>
      <c r="J434" s="35" t="n">
        <v>675</v>
      </c>
      <c r="K434" s="35" t="n">
        <v>0</v>
      </c>
      <c r="L434" s="40">
        <f>ROUND(PMT(H434/12,I434,-G434),0)</f>
        <v/>
      </c>
      <c r="M434" s="41">
        <f>MAX(0,(YEAR(AsOfDate)-YEAR(F434))*12+MONTH(AsOfDate)-MONTH(F434))</f>
        <v/>
      </c>
      <c r="N434" s="41">
        <f>MAX(0,MIN(I434,M434)-INT(K434/30))</f>
        <v/>
      </c>
      <c r="O434" s="40">
        <f>IF(N434&gt;=I434,0,ROUND(PV(H434/12,I434-N434,-L434),0))</f>
        <v/>
      </c>
      <c r="P434" s="40">
        <f>MIN(I434,M434)*L434-N434*L434</f>
        <v/>
      </c>
      <c r="Q434" s="41">
        <f>INDEX(DPD_Bucket,MATCH(K434,DPD_From,1))</f>
        <v/>
      </c>
      <c r="R434" s="41">
        <f>INDEX(DPD_Class,MATCH(K434,DPD_From,1))</f>
        <v/>
      </c>
      <c r="S434" s="41">
        <f>INDEX(DPD_NPA,MATCH(K434,DPD_From,1))</f>
        <v/>
      </c>
      <c r="T434" s="42">
        <f>INDEX(DPD_Prov,MATCH(K434,DPD_From,1))</f>
        <v/>
      </c>
      <c r="U434" s="40">
        <f>ROUND(O434*T434,0)</f>
        <v/>
      </c>
      <c r="V434" s="41">
        <f>INDEX(CIBIL_Grade,MATCH(J434,CIBIL_From,1))</f>
        <v/>
      </c>
      <c r="W434" s="41">
        <f>YEAR(F434)&amp;"-Q"&amp;ROUNDUP(MONTH(F434)/3,0)</f>
        <v/>
      </c>
      <c r="X434" s="41">
        <f>IF(AND(OR(Dashboard!$C$4="All",D434=Dashboard!$C$4),OR(Dashboard!$C$5="All",E434=Dashboard!$C$5)),1,0)</f>
        <v/>
      </c>
      <c r="Y434" s="43">
        <f>IF(AND(X434=1,S434="Yes"),O434+ROW()/1000000,0)</f>
        <v/>
      </c>
    </row>
    <row r="435">
      <c r="A435" s="35" t="inlineStr">
        <is>
          <t>LN100434</t>
        </is>
      </c>
      <c r="B435" s="35" t="inlineStr">
        <is>
          <t>Vivaan Banerjee</t>
        </is>
      </c>
      <c r="C435" s="35" t="inlineStr">
        <is>
          <t>AMD-01</t>
        </is>
      </c>
      <c r="D435" s="36">
        <f>INDEX(Branches!$C$2:$C$15,MATCH(C435,Branches!$A$2:$A$15,0))</f>
        <v/>
      </c>
      <c r="E435" s="35" t="inlineStr">
        <is>
          <t>Home Loan</t>
        </is>
      </c>
      <c r="F435" s="37" t="n">
        <v>45414</v>
      </c>
      <c r="G435" s="38" t="n">
        <v>9982000</v>
      </c>
      <c r="H435" s="39" t="n">
        <v>0.09130000000000001</v>
      </c>
      <c r="I435" s="35" t="n">
        <v>120</v>
      </c>
      <c r="J435" s="35" t="n">
        <v>785</v>
      </c>
      <c r="K435" s="35" t="n">
        <v>0</v>
      </c>
      <c r="L435" s="40">
        <f>ROUND(PMT(H435/12,I435,-G435),0)</f>
        <v/>
      </c>
      <c r="M435" s="41">
        <f>MAX(0,(YEAR(AsOfDate)-YEAR(F435))*12+MONTH(AsOfDate)-MONTH(F435))</f>
        <v/>
      </c>
      <c r="N435" s="41">
        <f>MAX(0,MIN(I435,M435)-INT(K435/30))</f>
        <v/>
      </c>
      <c r="O435" s="40">
        <f>IF(N435&gt;=I435,0,ROUND(PV(H435/12,I435-N435,-L435),0))</f>
        <v/>
      </c>
      <c r="P435" s="40">
        <f>MIN(I435,M435)*L435-N435*L435</f>
        <v/>
      </c>
      <c r="Q435" s="41">
        <f>INDEX(DPD_Bucket,MATCH(K435,DPD_From,1))</f>
        <v/>
      </c>
      <c r="R435" s="41">
        <f>INDEX(DPD_Class,MATCH(K435,DPD_From,1))</f>
        <v/>
      </c>
      <c r="S435" s="41">
        <f>INDEX(DPD_NPA,MATCH(K435,DPD_From,1))</f>
        <v/>
      </c>
      <c r="T435" s="42">
        <f>INDEX(DPD_Prov,MATCH(K435,DPD_From,1))</f>
        <v/>
      </c>
      <c r="U435" s="40">
        <f>ROUND(O435*T435,0)</f>
        <v/>
      </c>
      <c r="V435" s="41">
        <f>INDEX(CIBIL_Grade,MATCH(J435,CIBIL_From,1))</f>
        <v/>
      </c>
      <c r="W435" s="41">
        <f>YEAR(F435)&amp;"-Q"&amp;ROUNDUP(MONTH(F435)/3,0)</f>
        <v/>
      </c>
      <c r="X435" s="41">
        <f>IF(AND(OR(Dashboard!$C$4="All",D435=Dashboard!$C$4),OR(Dashboard!$C$5="All",E435=Dashboard!$C$5)),1,0)</f>
        <v/>
      </c>
      <c r="Y435" s="43">
        <f>IF(AND(X435=1,S435="Yes"),O435+ROW()/1000000,0)</f>
        <v/>
      </c>
    </row>
    <row r="436">
      <c r="A436" s="35" t="inlineStr">
        <is>
          <t>LN100435</t>
        </is>
      </c>
      <c r="B436" s="35" t="inlineStr">
        <is>
          <t>Suresh Chatterjee</t>
        </is>
      </c>
      <c r="C436" s="35" t="inlineStr">
        <is>
          <t>LKO-01</t>
        </is>
      </c>
      <c r="D436" s="36">
        <f>INDEX(Branches!$C$2:$C$15,MATCH(C436,Branches!$A$2:$A$15,0))</f>
        <v/>
      </c>
      <c r="E436" s="35" t="inlineStr">
        <is>
          <t>Business Loan</t>
        </is>
      </c>
      <c r="F436" s="37" t="n">
        <v>45815</v>
      </c>
      <c r="G436" s="38" t="n">
        <v>3643000</v>
      </c>
      <c r="H436" s="39" t="n">
        <v>0.1731</v>
      </c>
      <c r="I436" s="35" t="n">
        <v>12</v>
      </c>
      <c r="J436" s="35" t="n">
        <v>697</v>
      </c>
      <c r="K436" s="35" t="n">
        <v>0</v>
      </c>
      <c r="L436" s="40">
        <f>ROUND(PMT(H436/12,I436,-G436),0)</f>
        <v/>
      </c>
      <c r="M436" s="41">
        <f>MAX(0,(YEAR(AsOfDate)-YEAR(F436))*12+MONTH(AsOfDate)-MONTH(F436))</f>
        <v/>
      </c>
      <c r="N436" s="41">
        <f>MAX(0,MIN(I436,M436)-INT(K436/30))</f>
        <v/>
      </c>
      <c r="O436" s="40">
        <f>IF(N436&gt;=I436,0,ROUND(PV(H436/12,I436-N436,-L436),0))</f>
        <v/>
      </c>
      <c r="P436" s="40">
        <f>MIN(I436,M436)*L436-N436*L436</f>
        <v/>
      </c>
      <c r="Q436" s="41">
        <f>INDEX(DPD_Bucket,MATCH(K436,DPD_From,1))</f>
        <v/>
      </c>
      <c r="R436" s="41">
        <f>INDEX(DPD_Class,MATCH(K436,DPD_From,1))</f>
        <v/>
      </c>
      <c r="S436" s="41">
        <f>INDEX(DPD_NPA,MATCH(K436,DPD_From,1))</f>
        <v/>
      </c>
      <c r="T436" s="42">
        <f>INDEX(DPD_Prov,MATCH(K436,DPD_From,1))</f>
        <v/>
      </c>
      <c r="U436" s="40">
        <f>ROUND(O436*T436,0)</f>
        <v/>
      </c>
      <c r="V436" s="41">
        <f>INDEX(CIBIL_Grade,MATCH(J436,CIBIL_From,1))</f>
        <v/>
      </c>
      <c r="W436" s="41">
        <f>YEAR(F436)&amp;"-Q"&amp;ROUNDUP(MONTH(F436)/3,0)</f>
        <v/>
      </c>
      <c r="X436" s="41">
        <f>IF(AND(OR(Dashboard!$C$4="All",D436=Dashboard!$C$4),OR(Dashboard!$C$5="All",E436=Dashboard!$C$5)),1,0)</f>
        <v/>
      </c>
      <c r="Y436" s="43">
        <f>IF(AND(X436=1,S436="Yes"),O436+ROW()/1000000,0)</f>
        <v/>
      </c>
    </row>
    <row r="437">
      <c r="A437" s="35" t="inlineStr">
        <is>
          <t>LN100436</t>
        </is>
      </c>
      <c r="B437" s="35" t="inlineStr">
        <is>
          <t>Reyansh Iyer</t>
        </is>
      </c>
      <c r="C437" s="35" t="inlineStr">
        <is>
          <t>MUM-01</t>
        </is>
      </c>
      <c r="D437" s="36">
        <f>INDEX(Branches!$C$2:$C$15,MATCH(C437,Branches!$A$2:$A$15,0))</f>
        <v/>
      </c>
      <c r="E437" s="35" t="inlineStr">
        <is>
          <t>Personal Loan</t>
        </is>
      </c>
      <c r="F437" s="37" t="n">
        <v>45684</v>
      </c>
      <c r="G437" s="38" t="n">
        <v>1192000</v>
      </c>
      <c r="H437" s="39" t="n">
        <v>0.1315</v>
      </c>
      <c r="I437" s="35" t="n">
        <v>36</v>
      </c>
      <c r="J437" s="35" t="n">
        <v>689</v>
      </c>
      <c r="K437" s="35" t="n">
        <v>0</v>
      </c>
      <c r="L437" s="40">
        <f>ROUND(PMT(H437/12,I437,-G437),0)</f>
        <v/>
      </c>
      <c r="M437" s="41">
        <f>MAX(0,(YEAR(AsOfDate)-YEAR(F437))*12+MONTH(AsOfDate)-MONTH(F437))</f>
        <v/>
      </c>
      <c r="N437" s="41">
        <f>MAX(0,MIN(I437,M437)-INT(K437/30))</f>
        <v/>
      </c>
      <c r="O437" s="40">
        <f>IF(N437&gt;=I437,0,ROUND(PV(H437/12,I437-N437,-L437),0))</f>
        <v/>
      </c>
      <c r="P437" s="40">
        <f>MIN(I437,M437)*L437-N437*L437</f>
        <v/>
      </c>
      <c r="Q437" s="41">
        <f>INDEX(DPD_Bucket,MATCH(K437,DPD_From,1))</f>
        <v/>
      </c>
      <c r="R437" s="41">
        <f>INDEX(DPD_Class,MATCH(K437,DPD_From,1))</f>
        <v/>
      </c>
      <c r="S437" s="41">
        <f>INDEX(DPD_NPA,MATCH(K437,DPD_From,1))</f>
        <v/>
      </c>
      <c r="T437" s="42">
        <f>INDEX(DPD_Prov,MATCH(K437,DPD_From,1))</f>
        <v/>
      </c>
      <c r="U437" s="40">
        <f>ROUND(O437*T437,0)</f>
        <v/>
      </c>
      <c r="V437" s="41">
        <f>INDEX(CIBIL_Grade,MATCH(J437,CIBIL_From,1))</f>
        <v/>
      </c>
      <c r="W437" s="41">
        <f>YEAR(F437)&amp;"-Q"&amp;ROUNDUP(MONTH(F437)/3,0)</f>
        <v/>
      </c>
      <c r="X437" s="41">
        <f>IF(AND(OR(Dashboard!$C$4="All",D437=Dashboard!$C$4),OR(Dashboard!$C$5="All",E437=Dashboard!$C$5)),1,0)</f>
        <v/>
      </c>
      <c r="Y437" s="43">
        <f>IF(AND(X437=1,S437="Yes"),O437+ROW()/1000000,0)</f>
        <v/>
      </c>
    </row>
    <row r="438">
      <c r="A438" s="35" t="inlineStr">
        <is>
          <t>LN100437</t>
        </is>
      </c>
      <c r="B438" s="35" t="inlineStr">
        <is>
          <t>Rohan Singh</t>
        </is>
      </c>
      <c r="C438" s="35" t="inlineStr">
        <is>
          <t>BBS-01</t>
        </is>
      </c>
      <c r="D438" s="36">
        <f>INDEX(Branches!$C$2:$C$15,MATCH(C438,Branches!$A$2:$A$15,0))</f>
        <v/>
      </c>
      <c r="E438" s="35" t="inlineStr">
        <is>
          <t>Auto Loan</t>
        </is>
      </c>
      <c r="F438" s="37" t="n">
        <v>45113</v>
      </c>
      <c r="G438" s="38" t="n">
        <v>1728000</v>
      </c>
      <c r="H438" s="39" t="n">
        <v>0.1174</v>
      </c>
      <c r="I438" s="35" t="n">
        <v>48</v>
      </c>
      <c r="J438" s="35" t="n">
        <v>820</v>
      </c>
      <c r="K438" s="35" t="n">
        <v>0</v>
      </c>
      <c r="L438" s="40">
        <f>ROUND(PMT(H438/12,I438,-G438),0)</f>
        <v/>
      </c>
      <c r="M438" s="41">
        <f>MAX(0,(YEAR(AsOfDate)-YEAR(F438))*12+MONTH(AsOfDate)-MONTH(F438))</f>
        <v/>
      </c>
      <c r="N438" s="41">
        <f>MAX(0,MIN(I438,M438)-INT(K438/30))</f>
        <v/>
      </c>
      <c r="O438" s="40">
        <f>IF(N438&gt;=I438,0,ROUND(PV(H438/12,I438-N438,-L438),0))</f>
        <v/>
      </c>
      <c r="P438" s="40">
        <f>MIN(I438,M438)*L438-N438*L438</f>
        <v/>
      </c>
      <c r="Q438" s="41">
        <f>INDEX(DPD_Bucket,MATCH(K438,DPD_From,1))</f>
        <v/>
      </c>
      <c r="R438" s="41">
        <f>INDEX(DPD_Class,MATCH(K438,DPD_From,1))</f>
        <v/>
      </c>
      <c r="S438" s="41">
        <f>INDEX(DPD_NPA,MATCH(K438,DPD_From,1))</f>
        <v/>
      </c>
      <c r="T438" s="42">
        <f>INDEX(DPD_Prov,MATCH(K438,DPD_From,1))</f>
        <v/>
      </c>
      <c r="U438" s="40">
        <f>ROUND(O438*T438,0)</f>
        <v/>
      </c>
      <c r="V438" s="41">
        <f>INDEX(CIBIL_Grade,MATCH(J438,CIBIL_From,1))</f>
        <v/>
      </c>
      <c r="W438" s="41">
        <f>YEAR(F438)&amp;"-Q"&amp;ROUNDUP(MONTH(F438)/3,0)</f>
        <v/>
      </c>
      <c r="X438" s="41">
        <f>IF(AND(OR(Dashboard!$C$4="All",D438=Dashboard!$C$4),OR(Dashboard!$C$5="All",E438=Dashboard!$C$5)),1,0)</f>
        <v/>
      </c>
      <c r="Y438" s="43">
        <f>IF(AND(X438=1,S438="Yes"),O438+ROW()/1000000,0)</f>
        <v/>
      </c>
    </row>
    <row r="439">
      <c r="A439" s="35" t="inlineStr">
        <is>
          <t>LN100438</t>
        </is>
      </c>
      <c r="B439" s="35" t="inlineStr">
        <is>
          <t>Ishaan Joshi</t>
        </is>
      </c>
      <c r="C439" s="35" t="inlineStr">
        <is>
          <t>AMD-01</t>
        </is>
      </c>
      <c r="D439" s="36">
        <f>INDEX(Branches!$C$2:$C$15,MATCH(C439,Branches!$A$2:$A$15,0))</f>
        <v/>
      </c>
      <c r="E439" s="35" t="inlineStr">
        <is>
          <t>Auto Loan</t>
        </is>
      </c>
      <c r="F439" s="37" t="n">
        <v>45710</v>
      </c>
      <c r="G439" s="38" t="n">
        <v>1320000</v>
      </c>
      <c r="H439" s="39" t="n">
        <v>0.09710000000000001</v>
      </c>
      <c r="I439" s="35" t="n">
        <v>60</v>
      </c>
      <c r="J439" s="35" t="n">
        <v>743</v>
      </c>
      <c r="K439" s="35" t="n">
        <v>0</v>
      </c>
      <c r="L439" s="40">
        <f>ROUND(PMT(H439/12,I439,-G439),0)</f>
        <v/>
      </c>
      <c r="M439" s="41">
        <f>MAX(0,(YEAR(AsOfDate)-YEAR(F439))*12+MONTH(AsOfDate)-MONTH(F439))</f>
        <v/>
      </c>
      <c r="N439" s="41">
        <f>MAX(0,MIN(I439,M439)-INT(K439/30))</f>
        <v/>
      </c>
      <c r="O439" s="40">
        <f>IF(N439&gt;=I439,0,ROUND(PV(H439/12,I439-N439,-L439),0))</f>
        <v/>
      </c>
      <c r="P439" s="40">
        <f>MIN(I439,M439)*L439-N439*L439</f>
        <v/>
      </c>
      <c r="Q439" s="41">
        <f>INDEX(DPD_Bucket,MATCH(K439,DPD_From,1))</f>
        <v/>
      </c>
      <c r="R439" s="41">
        <f>INDEX(DPD_Class,MATCH(K439,DPD_From,1))</f>
        <v/>
      </c>
      <c r="S439" s="41">
        <f>INDEX(DPD_NPA,MATCH(K439,DPD_From,1))</f>
        <v/>
      </c>
      <c r="T439" s="42">
        <f>INDEX(DPD_Prov,MATCH(K439,DPD_From,1))</f>
        <v/>
      </c>
      <c r="U439" s="40">
        <f>ROUND(O439*T439,0)</f>
        <v/>
      </c>
      <c r="V439" s="41">
        <f>INDEX(CIBIL_Grade,MATCH(J439,CIBIL_From,1))</f>
        <v/>
      </c>
      <c r="W439" s="41">
        <f>YEAR(F439)&amp;"-Q"&amp;ROUNDUP(MONTH(F439)/3,0)</f>
        <v/>
      </c>
      <c r="X439" s="41">
        <f>IF(AND(OR(Dashboard!$C$4="All",D439=Dashboard!$C$4),OR(Dashboard!$C$5="All",E439=Dashboard!$C$5)),1,0)</f>
        <v/>
      </c>
      <c r="Y439" s="43">
        <f>IF(AND(X439=1,S439="Yes"),O439+ROW()/1000000,0)</f>
        <v/>
      </c>
    </row>
    <row r="440">
      <c r="A440" s="35" t="inlineStr">
        <is>
          <t>LN100439</t>
        </is>
      </c>
      <c r="B440" s="35" t="inlineStr">
        <is>
          <t>Rahul Gupta</t>
        </is>
      </c>
      <c r="C440" s="35" t="inlineStr">
        <is>
          <t>LKO-01</t>
        </is>
      </c>
      <c r="D440" s="36">
        <f>INDEX(Branches!$C$2:$C$15,MATCH(C440,Branches!$A$2:$A$15,0))</f>
        <v/>
      </c>
      <c r="E440" s="35" t="inlineStr">
        <is>
          <t>Auto Loan</t>
        </is>
      </c>
      <c r="F440" s="37" t="n">
        <v>46025</v>
      </c>
      <c r="G440" s="38" t="n">
        <v>1701000</v>
      </c>
      <c r="H440" s="39" t="n">
        <v>0.1068</v>
      </c>
      <c r="I440" s="35" t="n">
        <v>36</v>
      </c>
      <c r="J440" s="35" t="n">
        <v>684</v>
      </c>
      <c r="K440" s="35" t="n">
        <v>0</v>
      </c>
      <c r="L440" s="40">
        <f>ROUND(PMT(H440/12,I440,-G440),0)</f>
        <v/>
      </c>
      <c r="M440" s="41">
        <f>MAX(0,(YEAR(AsOfDate)-YEAR(F440))*12+MONTH(AsOfDate)-MONTH(F440))</f>
        <v/>
      </c>
      <c r="N440" s="41">
        <f>MAX(0,MIN(I440,M440)-INT(K440/30))</f>
        <v/>
      </c>
      <c r="O440" s="40">
        <f>IF(N440&gt;=I440,0,ROUND(PV(H440/12,I440-N440,-L440),0))</f>
        <v/>
      </c>
      <c r="P440" s="40">
        <f>MIN(I440,M440)*L440-N440*L440</f>
        <v/>
      </c>
      <c r="Q440" s="41">
        <f>INDEX(DPD_Bucket,MATCH(K440,DPD_From,1))</f>
        <v/>
      </c>
      <c r="R440" s="41">
        <f>INDEX(DPD_Class,MATCH(K440,DPD_From,1))</f>
        <v/>
      </c>
      <c r="S440" s="41">
        <f>INDEX(DPD_NPA,MATCH(K440,DPD_From,1))</f>
        <v/>
      </c>
      <c r="T440" s="42">
        <f>INDEX(DPD_Prov,MATCH(K440,DPD_From,1))</f>
        <v/>
      </c>
      <c r="U440" s="40">
        <f>ROUND(O440*T440,0)</f>
        <v/>
      </c>
      <c r="V440" s="41">
        <f>INDEX(CIBIL_Grade,MATCH(J440,CIBIL_From,1))</f>
        <v/>
      </c>
      <c r="W440" s="41">
        <f>YEAR(F440)&amp;"-Q"&amp;ROUNDUP(MONTH(F440)/3,0)</f>
        <v/>
      </c>
      <c r="X440" s="41">
        <f>IF(AND(OR(Dashboard!$C$4="All",D440=Dashboard!$C$4),OR(Dashboard!$C$5="All",E440=Dashboard!$C$5)),1,0)</f>
        <v/>
      </c>
      <c r="Y440" s="43">
        <f>IF(AND(X440=1,S440="Yes"),O440+ROW()/1000000,0)</f>
        <v/>
      </c>
    </row>
    <row r="441">
      <c r="A441" s="35" t="inlineStr">
        <is>
          <t>LN100440</t>
        </is>
      </c>
      <c r="B441" s="35" t="inlineStr">
        <is>
          <t>Manish Rao</t>
        </is>
      </c>
      <c r="C441" s="35" t="inlineStr">
        <is>
          <t>PAT-01</t>
        </is>
      </c>
      <c r="D441" s="36">
        <f>INDEX(Branches!$C$2:$C$15,MATCH(C441,Branches!$A$2:$A$15,0))</f>
        <v/>
      </c>
      <c r="E441" s="35" t="inlineStr">
        <is>
          <t>Personal Loan</t>
        </is>
      </c>
      <c r="F441" s="37" t="n">
        <v>45183</v>
      </c>
      <c r="G441" s="38" t="n">
        <v>742000</v>
      </c>
      <c r="H441" s="39" t="n">
        <v>0.1396</v>
      </c>
      <c r="I441" s="35" t="n">
        <v>48</v>
      </c>
      <c r="J441" s="35" t="n">
        <v>734</v>
      </c>
      <c r="K441" s="35" t="n">
        <v>0</v>
      </c>
      <c r="L441" s="40">
        <f>ROUND(PMT(H441/12,I441,-G441),0)</f>
        <v/>
      </c>
      <c r="M441" s="41">
        <f>MAX(0,(YEAR(AsOfDate)-YEAR(F441))*12+MONTH(AsOfDate)-MONTH(F441))</f>
        <v/>
      </c>
      <c r="N441" s="41">
        <f>MAX(0,MIN(I441,M441)-INT(K441/30))</f>
        <v/>
      </c>
      <c r="O441" s="40">
        <f>IF(N441&gt;=I441,0,ROUND(PV(H441/12,I441-N441,-L441),0))</f>
        <v/>
      </c>
      <c r="P441" s="40">
        <f>MIN(I441,M441)*L441-N441*L441</f>
        <v/>
      </c>
      <c r="Q441" s="41">
        <f>INDEX(DPD_Bucket,MATCH(K441,DPD_From,1))</f>
        <v/>
      </c>
      <c r="R441" s="41">
        <f>INDEX(DPD_Class,MATCH(K441,DPD_From,1))</f>
        <v/>
      </c>
      <c r="S441" s="41">
        <f>INDEX(DPD_NPA,MATCH(K441,DPD_From,1))</f>
        <v/>
      </c>
      <c r="T441" s="42">
        <f>INDEX(DPD_Prov,MATCH(K441,DPD_From,1))</f>
        <v/>
      </c>
      <c r="U441" s="40">
        <f>ROUND(O441*T441,0)</f>
        <v/>
      </c>
      <c r="V441" s="41">
        <f>INDEX(CIBIL_Grade,MATCH(J441,CIBIL_From,1))</f>
        <v/>
      </c>
      <c r="W441" s="41">
        <f>YEAR(F441)&amp;"-Q"&amp;ROUNDUP(MONTH(F441)/3,0)</f>
        <v/>
      </c>
      <c r="X441" s="41">
        <f>IF(AND(OR(Dashboard!$C$4="All",D441=Dashboard!$C$4),OR(Dashboard!$C$5="All",E441=Dashboard!$C$5)),1,0)</f>
        <v/>
      </c>
      <c r="Y441" s="43">
        <f>IF(AND(X441=1,S441="Yes"),O441+ROW()/1000000,0)</f>
        <v/>
      </c>
    </row>
    <row r="442">
      <c r="A442" s="35" t="inlineStr">
        <is>
          <t>LN100441</t>
        </is>
      </c>
      <c r="B442" s="35" t="inlineStr">
        <is>
          <t>Kabir Mohanty</t>
        </is>
      </c>
      <c r="C442" s="35" t="inlineStr">
        <is>
          <t>PAT-01</t>
        </is>
      </c>
      <c r="D442" s="36">
        <f>INDEX(Branches!$C$2:$C$15,MATCH(C442,Branches!$A$2:$A$15,0))</f>
        <v/>
      </c>
      <c r="E442" s="35" t="inlineStr">
        <is>
          <t>Personal Loan</t>
        </is>
      </c>
      <c r="F442" s="37" t="n">
        <v>45186</v>
      </c>
      <c r="G442" s="38" t="n">
        <v>542000</v>
      </c>
      <c r="H442" s="39" t="n">
        <v>0.1767</v>
      </c>
      <c r="I442" s="35" t="n">
        <v>12</v>
      </c>
      <c r="J442" s="35" t="n">
        <v>750</v>
      </c>
      <c r="K442" s="35" t="n">
        <v>0</v>
      </c>
      <c r="L442" s="40">
        <f>ROUND(PMT(H442/12,I442,-G442),0)</f>
        <v/>
      </c>
      <c r="M442" s="41">
        <f>MAX(0,(YEAR(AsOfDate)-YEAR(F442))*12+MONTH(AsOfDate)-MONTH(F442))</f>
        <v/>
      </c>
      <c r="N442" s="41">
        <f>MAX(0,MIN(I442,M442)-INT(K442/30))</f>
        <v/>
      </c>
      <c r="O442" s="40">
        <f>IF(N442&gt;=I442,0,ROUND(PV(H442/12,I442-N442,-L442),0))</f>
        <v/>
      </c>
      <c r="P442" s="40">
        <f>MIN(I442,M442)*L442-N442*L442</f>
        <v/>
      </c>
      <c r="Q442" s="41">
        <f>INDEX(DPD_Bucket,MATCH(K442,DPD_From,1))</f>
        <v/>
      </c>
      <c r="R442" s="41">
        <f>INDEX(DPD_Class,MATCH(K442,DPD_From,1))</f>
        <v/>
      </c>
      <c r="S442" s="41">
        <f>INDEX(DPD_NPA,MATCH(K442,DPD_From,1))</f>
        <v/>
      </c>
      <c r="T442" s="42">
        <f>INDEX(DPD_Prov,MATCH(K442,DPD_From,1))</f>
        <v/>
      </c>
      <c r="U442" s="40">
        <f>ROUND(O442*T442,0)</f>
        <v/>
      </c>
      <c r="V442" s="41">
        <f>INDEX(CIBIL_Grade,MATCH(J442,CIBIL_From,1))</f>
        <v/>
      </c>
      <c r="W442" s="41">
        <f>YEAR(F442)&amp;"-Q"&amp;ROUNDUP(MONTH(F442)/3,0)</f>
        <v/>
      </c>
      <c r="X442" s="41">
        <f>IF(AND(OR(Dashboard!$C$4="All",D442=Dashboard!$C$4),OR(Dashboard!$C$5="All",E442=Dashboard!$C$5)),1,0)</f>
        <v/>
      </c>
      <c r="Y442" s="43">
        <f>IF(AND(X442=1,S442="Yes"),O442+ROW()/1000000,0)</f>
        <v/>
      </c>
    </row>
    <row r="443">
      <c r="A443" s="35" t="inlineStr">
        <is>
          <t>LN100442</t>
        </is>
      </c>
      <c r="B443" s="35" t="inlineStr">
        <is>
          <t>Aditya Banerjee</t>
        </is>
      </c>
      <c r="C443" s="35" t="inlineStr">
        <is>
          <t>KOL-01</t>
        </is>
      </c>
      <c r="D443" s="36">
        <f>INDEX(Branches!$C$2:$C$15,MATCH(C443,Branches!$A$2:$A$15,0))</f>
        <v/>
      </c>
      <c r="E443" s="35" t="inlineStr">
        <is>
          <t>Personal Loan</t>
        </is>
      </c>
      <c r="F443" s="37" t="n">
        <v>45634</v>
      </c>
      <c r="G443" s="38" t="n">
        <v>1148000</v>
      </c>
      <c r="H443" s="39" t="n">
        <v>0.1306</v>
      </c>
      <c r="I443" s="35" t="n">
        <v>12</v>
      </c>
      <c r="J443" s="35" t="n">
        <v>748</v>
      </c>
      <c r="K443" s="35" t="n">
        <v>0</v>
      </c>
      <c r="L443" s="40">
        <f>ROUND(PMT(H443/12,I443,-G443),0)</f>
        <v/>
      </c>
      <c r="M443" s="41">
        <f>MAX(0,(YEAR(AsOfDate)-YEAR(F443))*12+MONTH(AsOfDate)-MONTH(F443))</f>
        <v/>
      </c>
      <c r="N443" s="41">
        <f>MAX(0,MIN(I443,M443)-INT(K443/30))</f>
        <v/>
      </c>
      <c r="O443" s="40">
        <f>IF(N443&gt;=I443,0,ROUND(PV(H443/12,I443-N443,-L443),0))</f>
        <v/>
      </c>
      <c r="P443" s="40">
        <f>MIN(I443,M443)*L443-N443*L443</f>
        <v/>
      </c>
      <c r="Q443" s="41">
        <f>INDEX(DPD_Bucket,MATCH(K443,DPD_From,1))</f>
        <v/>
      </c>
      <c r="R443" s="41">
        <f>INDEX(DPD_Class,MATCH(K443,DPD_From,1))</f>
        <v/>
      </c>
      <c r="S443" s="41">
        <f>INDEX(DPD_NPA,MATCH(K443,DPD_From,1))</f>
        <v/>
      </c>
      <c r="T443" s="42">
        <f>INDEX(DPD_Prov,MATCH(K443,DPD_From,1))</f>
        <v/>
      </c>
      <c r="U443" s="40">
        <f>ROUND(O443*T443,0)</f>
        <v/>
      </c>
      <c r="V443" s="41">
        <f>INDEX(CIBIL_Grade,MATCH(J443,CIBIL_From,1))</f>
        <v/>
      </c>
      <c r="W443" s="41">
        <f>YEAR(F443)&amp;"-Q"&amp;ROUNDUP(MONTH(F443)/3,0)</f>
        <v/>
      </c>
      <c r="X443" s="41">
        <f>IF(AND(OR(Dashboard!$C$4="All",D443=Dashboard!$C$4),OR(Dashboard!$C$5="All",E443=Dashboard!$C$5)),1,0)</f>
        <v/>
      </c>
      <c r="Y443" s="43">
        <f>IF(AND(X443=1,S443="Yes"),O443+ROW()/1000000,0)</f>
        <v/>
      </c>
    </row>
    <row r="444">
      <c r="A444" s="35" t="inlineStr">
        <is>
          <t>LN100443</t>
        </is>
      </c>
      <c r="B444" s="35" t="inlineStr">
        <is>
          <t>Reyansh Das</t>
        </is>
      </c>
      <c r="C444" s="35" t="inlineStr">
        <is>
          <t>DEL-01</t>
        </is>
      </c>
      <c r="D444" s="36">
        <f>INDEX(Branches!$C$2:$C$15,MATCH(C444,Branches!$A$2:$A$15,0))</f>
        <v/>
      </c>
      <c r="E444" s="35" t="inlineStr">
        <is>
          <t>Personal Loan</t>
        </is>
      </c>
      <c r="F444" s="37" t="n">
        <v>45198</v>
      </c>
      <c r="G444" s="38" t="n">
        <v>1132000</v>
      </c>
      <c r="H444" s="39" t="n">
        <v>0.1226</v>
      </c>
      <c r="I444" s="35" t="n">
        <v>24</v>
      </c>
      <c r="J444" s="35" t="n">
        <v>719</v>
      </c>
      <c r="K444" s="35" t="n">
        <v>0</v>
      </c>
      <c r="L444" s="40">
        <f>ROUND(PMT(H444/12,I444,-G444),0)</f>
        <v/>
      </c>
      <c r="M444" s="41">
        <f>MAX(0,(YEAR(AsOfDate)-YEAR(F444))*12+MONTH(AsOfDate)-MONTH(F444))</f>
        <v/>
      </c>
      <c r="N444" s="41">
        <f>MAX(0,MIN(I444,M444)-INT(K444/30))</f>
        <v/>
      </c>
      <c r="O444" s="40">
        <f>IF(N444&gt;=I444,0,ROUND(PV(H444/12,I444-N444,-L444),0))</f>
        <v/>
      </c>
      <c r="P444" s="40">
        <f>MIN(I444,M444)*L444-N444*L444</f>
        <v/>
      </c>
      <c r="Q444" s="41">
        <f>INDEX(DPD_Bucket,MATCH(K444,DPD_From,1))</f>
        <v/>
      </c>
      <c r="R444" s="41">
        <f>INDEX(DPD_Class,MATCH(K444,DPD_From,1))</f>
        <v/>
      </c>
      <c r="S444" s="41">
        <f>INDEX(DPD_NPA,MATCH(K444,DPD_From,1))</f>
        <v/>
      </c>
      <c r="T444" s="42">
        <f>INDEX(DPD_Prov,MATCH(K444,DPD_From,1))</f>
        <v/>
      </c>
      <c r="U444" s="40">
        <f>ROUND(O444*T444,0)</f>
        <v/>
      </c>
      <c r="V444" s="41">
        <f>INDEX(CIBIL_Grade,MATCH(J444,CIBIL_From,1))</f>
        <v/>
      </c>
      <c r="W444" s="41">
        <f>YEAR(F444)&amp;"-Q"&amp;ROUNDUP(MONTH(F444)/3,0)</f>
        <v/>
      </c>
      <c r="X444" s="41">
        <f>IF(AND(OR(Dashboard!$C$4="All",D444=Dashboard!$C$4),OR(Dashboard!$C$5="All",E444=Dashboard!$C$5)),1,0)</f>
        <v/>
      </c>
      <c r="Y444" s="43">
        <f>IF(AND(X444=1,S444="Yes"),O444+ROW()/1000000,0)</f>
        <v/>
      </c>
    </row>
    <row r="445">
      <c r="A445" s="35" t="inlineStr">
        <is>
          <t>LN100444</t>
        </is>
      </c>
      <c r="B445" s="35" t="inlineStr">
        <is>
          <t>Tanvi Mohanty</t>
        </is>
      </c>
      <c r="C445" s="35" t="inlineStr">
        <is>
          <t>GUW-01</t>
        </is>
      </c>
      <c r="D445" s="36">
        <f>INDEX(Branches!$C$2:$C$15,MATCH(C445,Branches!$A$2:$A$15,0))</f>
        <v/>
      </c>
      <c r="E445" s="35" t="inlineStr">
        <is>
          <t>Auto Loan</t>
        </is>
      </c>
      <c r="F445" s="37" t="n">
        <v>45750</v>
      </c>
      <c r="G445" s="38" t="n">
        <v>1390000</v>
      </c>
      <c r="H445" s="39" t="n">
        <v>0.09379999999999999</v>
      </c>
      <c r="I445" s="35" t="n">
        <v>60</v>
      </c>
      <c r="J445" s="35" t="n">
        <v>770</v>
      </c>
      <c r="K445" s="35" t="n">
        <v>0</v>
      </c>
      <c r="L445" s="40">
        <f>ROUND(PMT(H445/12,I445,-G445),0)</f>
        <v/>
      </c>
      <c r="M445" s="41">
        <f>MAX(0,(YEAR(AsOfDate)-YEAR(F445))*12+MONTH(AsOfDate)-MONTH(F445))</f>
        <v/>
      </c>
      <c r="N445" s="41">
        <f>MAX(0,MIN(I445,M445)-INT(K445/30))</f>
        <v/>
      </c>
      <c r="O445" s="40">
        <f>IF(N445&gt;=I445,0,ROUND(PV(H445/12,I445-N445,-L445),0))</f>
        <v/>
      </c>
      <c r="P445" s="40">
        <f>MIN(I445,M445)*L445-N445*L445</f>
        <v/>
      </c>
      <c r="Q445" s="41">
        <f>INDEX(DPD_Bucket,MATCH(K445,DPD_From,1))</f>
        <v/>
      </c>
      <c r="R445" s="41">
        <f>INDEX(DPD_Class,MATCH(K445,DPD_From,1))</f>
        <v/>
      </c>
      <c r="S445" s="41">
        <f>INDEX(DPD_NPA,MATCH(K445,DPD_From,1))</f>
        <v/>
      </c>
      <c r="T445" s="42">
        <f>INDEX(DPD_Prov,MATCH(K445,DPD_From,1))</f>
        <v/>
      </c>
      <c r="U445" s="40">
        <f>ROUND(O445*T445,0)</f>
        <v/>
      </c>
      <c r="V445" s="41">
        <f>INDEX(CIBIL_Grade,MATCH(J445,CIBIL_From,1))</f>
        <v/>
      </c>
      <c r="W445" s="41">
        <f>YEAR(F445)&amp;"-Q"&amp;ROUNDUP(MONTH(F445)/3,0)</f>
        <v/>
      </c>
      <c r="X445" s="41">
        <f>IF(AND(OR(Dashboard!$C$4="All",D445=Dashboard!$C$4),OR(Dashboard!$C$5="All",E445=Dashboard!$C$5)),1,0)</f>
        <v/>
      </c>
      <c r="Y445" s="43">
        <f>IF(AND(X445=1,S445="Yes"),O445+ROW()/1000000,0)</f>
        <v/>
      </c>
    </row>
    <row r="446">
      <c r="A446" s="35" t="inlineStr">
        <is>
          <t>LN100445</t>
        </is>
      </c>
      <c r="B446" s="35" t="inlineStr">
        <is>
          <t>Vivaan Pillai</t>
        </is>
      </c>
      <c r="C446" s="35" t="inlineStr">
        <is>
          <t>PUN-01</t>
        </is>
      </c>
      <c r="D446" s="36">
        <f>INDEX(Branches!$C$2:$C$15,MATCH(C446,Branches!$A$2:$A$15,0))</f>
        <v/>
      </c>
      <c r="E446" s="35" t="inlineStr">
        <is>
          <t>Home Loan</t>
        </is>
      </c>
      <c r="F446" s="37" t="n">
        <v>45165</v>
      </c>
      <c r="G446" s="38" t="n">
        <v>10069000</v>
      </c>
      <c r="H446" s="39" t="n">
        <v>0.09089999999999999</v>
      </c>
      <c r="I446" s="35" t="n">
        <v>120</v>
      </c>
      <c r="J446" s="35" t="n">
        <v>664</v>
      </c>
      <c r="K446" s="35" t="n">
        <v>0</v>
      </c>
      <c r="L446" s="40">
        <f>ROUND(PMT(H446/12,I446,-G446),0)</f>
        <v/>
      </c>
      <c r="M446" s="41">
        <f>MAX(0,(YEAR(AsOfDate)-YEAR(F446))*12+MONTH(AsOfDate)-MONTH(F446))</f>
        <v/>
      </c>
      <c r="N446" s="41">
        <f>MAX(0,MIN(I446,M446)-INT(K446/30))</f>
        <v/>
      </c>
      <c r="O446" s="40">
        <f>IF(N446&gt;=I446,0,ROUND(PV(H446/12,I446-N446,-L446),0))</f>
        <v/>
      </c>
      <c r="P446" s="40">
        <f>MIN(I446,M446)*L446-N446*L446</f>
        <v/>
      </c>
      <c r="Q446" s="41">
        <f>INDEX(DPD_Bucket,MATCH(K446,DPD_From,1))</f>
        <v/>
      </c>
      <c r="R446" s="41">
        <f>INDEX(DPD_Class,MATCH(K446,DPD_From,1))</f>
        <v/>
      </c>
      <c r="S446" s="41">
        <f>INDEX(DPD_NPA,MATCH(K446,DPD_From,1))</f>
        <v/>
      </c>
      <c r="T446" s="42">
        <f>INDEX(DPD_Prov,MATCH(K446,DPD_From,1))</f>
        <v/>
      </c>
      <c r="U446" s="40">
        <f>ROUND(O446*T446,0)</f>
        <v/>
      </c>
      <c r="V446" s="41">
        <f>INDEX(CIBIL_Grade,MATCH(J446,CIBIL_From,1))</f>
        <v/>
      </c>
      <c r="W446" s="41">
        <f>YEAR(F446)&amp;"-Q"&amp;ROUNDUP(MONTH(F446)/3,0)</f>
        <v/>
      </c>
      <c r="X446" s="41">
        <f>IF(AND(OR(Dashboard!$C$4="All",D446=Dashboard!$C$4),OR(Dashboard!$C$5="All",E446=Dashboard!$C$5)),1,0)</f>
        <v/>
      </c>
      <c r="Y446" s="43">
        <f>IF(AND(X446=1,S446="Yes"),O446+ROW()/1000000,0)</f>
        <v/>
      </c>
    </row>
    <row r="447">
      <c r="A447" s="35" t="inlineStr">
        <is>
          <t>LN100446</t>
        </is>
      </c>
      <c r="B447" s="35" t="inlineStr">
        <is>
          <t>Manish Chatterjee</t>
        </is>
      </c>
      <c r="C447" s="35" t="inlineStr">
        <is>
          <t>MUM-01</t>
        </is>
      </c>
      <c r="D447" s="36">
        <f>INDEX(Branches!$C$2:$C$15,MATCH(C447,Branches!$A$2:$A$15,0))</f>
        <v/>
      </c>
      <c r="E447" s="35" t="inlineStr">
        <is>
          <t>Gold Loan</t>
        </is>
      </c>
      <c r="F447" s="37" t="n">
        <v>45168</v>
      </c>
      <c r="G447" s="38" t="n">
        <v>229000</v>
      </c>
      <c r="H447" s="39" t="n">
        <v>0.1125</v>
      </c>
      <c r="I447" s="35" t="n">
        <v>12</v>
      </c>
      <c r="J447" s="35" t="n">
        <v>673</v>
      </c>
      <c r="K447" s="35" t="n">
        <v>0</v>
      </c>
      <c r="L447" s="40">
        <f>ROUND(PMT(H447/12,I447,-G447),0)</f>
        <v/>
      </c>
      <c r="M447" s="41">
        <f>MAX(0,(YEAR(AsOfDate)-YEAR(F447))*12+MONTH(AsOfDate)-MONTH(F447))</f>
        <v/>
      </c>
      <c r="N447" s="41">
        <f>MAX(0,MIN(I447,M447)-INT(K447/30))</f>
        <v/>
      </c>
      <c r="O447" s="40">
        <f>IF(N447&gt;=I447,0,ROUND(PV(H447/12,I447-N447,-L447),0))</f>
        <v/>
      </c>
      <c r="P447" s="40">
        <f>MIN(I447,M447)*L447-N447*L447</f>
        <v/>
      </c>
      <c r="Q447" s="41">
        <f>INDEX(DPD_Bucket,MATCH(K447,DPD_From,1))</f>
        <v/>
      </c>
      <c r="R447" s="41">
        <f>INDEX(DPD_Class,MATCH(K447,DPD_From,1))</f>
        <v/>
      </c>
      <c r="S447" s="41">
        <f>INDEX(DPD_NPA,MATCH(K447,DPD_From,1))</f>
        <v/>
      </c>
      <c r="T447" s="42">
        <f>INDEX(DPD_Prov,MATCH(K447,DPD_From,1))</f>
        <v/>
      </c>
      <c r="U447" s="40">
        <f>ROUND(O447*T447,0)</f>
        <v/>
      </c>
      <c r="V447" s="41">
        <f>INDEX(CIBIL_Grade,MATCH(J447,CIBIL_From,1))</f>
        <v/>
      </c>
      <c r="W447" s="41">
        <f>YEAR(F447)&amp;"-Q"&amp;ROUNDUP(MONTH(F447)/3,0)</f>
        <v/>
      </c>
      <c r="X447" s="41">
        <f>IF(AND(OR(Dashboard!$C$4="All",D447=Dashboard!$C$4),OR(Dashboard!$C$5="All",E447=Dashboard!$C$5)),1,0)</f>
        <v/>
      </c>
      <c r="Y447" s="43">
        <f>IF(AND(X447=1,S447="Yes"),O447+ROW()/1000000,0)</f>
        <v/>
      </c>
    </row>
    <row r="448">
      <c r="A448" s="35" t="inlineStr">
        <is>
          <t>LN100447</t>
        </is>
      </c>
      <c r="B448" s="35" t="inlineStr">
        <is>
          <t>Kavya Patel</t>
        </is>
      </c>
      <c r="C448" s="35" t="inlineStr">
        <is>
          <t>DEL-01</t>
        </is>
      </c>
      <c r="D448" s="36">
        <f>INDEX(Branches!$C$2:$C$15,MATCH(C448,Branches!$A$2:$A$15,0))</f>
        <v/>
      </c>
      <c r="E448" s="35" t="inlineStr">
        <is>
          <t>Home Loan</t>
        </is>
      </c>
      <c r="F448" s="37" t="n">
        <v>45307</v>
      </c>
      <c r="G448" s="38" t="n">
        <v>14695000</v>
      </c>
      <c r="H448" s="39" t="n">
        <v>0.09379999999999999</v>
      </c>
      <c r="I448" s="35" t="n">
        <v>240</v>
      </c>
      <c r="J448" s="35" t="n">
        <v>667</v>
      </c>
      <c r="K448" s="35" t="n">
        <v>0</v>
      </c>
      <c r="L448" s="40">
        <f>ROUND(PMT(H448/12,I448,-G448),0)</f>
        <v/>
      </c>
      <c r="M448" s="41">
        <f>MAX(0,(YEAR(AsOfDate)-YEAR(F448))*12+MONTH(AsOfDate)-MONTH(F448))</f>
        <v/>
      </c>
      <c r="N448" s="41">
        <f>MAX(0,MIN(I448,M448)-INT(K448/30))</f>
        <v/>
      </c>
      <c r="O448" s="40">
        <f>IF(N448&gt;=I448,0,ROUND(PV(H448/12,I448-N448,-L448),0))</f>
        <v/>
      </c>
      <c r="P448" s="40">
        <f>MIN(I448,M448)*L448-N448*L448</f>
        <v/>
      </c>
      <c r="Q448" s="41">
        <f>INDEX(DPD_Bucket,MATCH(K448,DPD_From,1))</f>
        <v/>
      </c>
      <c r="R448" s="41">
        <f>INDEX(DPD_Class,MATCH(K448,DPD_From,1))</f>
        <v/>
      </c>
      <c r="S448" s="41">
        <f>INDEX(DPD_NPA,MATCH(K448,DPD_From,1))</f>
        <v/>
      </c>
      <c r="T448" s="42">
        <f>INDEX(DPD_Prov,MATCH(K448,DPD_From,1))</f>
        <v/>
      </c>
      <c r="U448" s="40">
        <f>ROUND(O448*T448,0)</f>
        <v/>
      </c>
      <c r="V448" s="41">
        <f>INDEX(CIBIL_Grade,MATCH(J448,CIBIL_From,1))</f>
        <v/>
      </c>
      <c r="W448" s="41">
        <f>YEAR(F448)&amp;"-Q"&amp;ROUNDUP(MONTH(F448)/3,0)</f>
        <v/>
      </c>
      <c r="X448" s="41">
        <f>IF(AND(OR(Dashboard!$C$4="All",D448=Dashboard!$C$4),OR(Dashboard!$C$5="All",E448=Dashboard!$C$5)),1,0)</f>
        <v/>
      </c>
      <c r="Y448" s="43">
        <f>IF(AND(X448=1,S448="Yes"),O448+ROW()/1000000,0)</f>
        <v/>
      </c>
    </row>
    <row r="449">
      <c r="A449" s="35" t="inlineStr">
        <is>
          <t>LN100448</t>
        </is>
      </c>
      <c r="B449" s="35" t="inlineStr">
        <is>
          <t>Kavya Mishra</t>
        </is>
      </c>
      <c r="C449" s="35" t="inlineStr">
        <is>
          <t>CHN-01</t>
        </is>
      </c>
      <c r="D449" s="36">
        <f>INDEX(Branches!$C$2:$C$15,MATCH(C449,Branches!$A$2:$A$15,0))</f>
        <v/>
      </c>
      <c r="E449" s="35" t="inlineStr">
        <is>
          <t>Personal Loan</t>
        </is>
      </c>
      <c r="F449" s="37" t="n">
        <v>46149</v>
      </c>
      <c r="G449" s="38" t="n">
        <v>556000</v>
      </c>
      <c r="H449" s="39" t="n">
        <v>0.151</v>
      </c>
      <c r="I449" s="35" t="n">
        <v>12</v>
      </c>
      <c r="J449" s="35" t="n">
        <v>744</v>
      </c>
      <c r="K449" s="35" t="n">
        <v>0</v>
      </c>
      <c r="L449" s="40">
        <f>ROUND(PMT(H449/12,I449,-G449),0)</f>
        <v/>
      </c>
      <c r="M449" s="41">
        <f>MAX(0,(YEAR(AsOfDate)-YEAR(F449))*12+MONTH(AsOfDate)-MONTH(F449))</f>
        <v/>
      </c>
      <c r="N449" s="41">
        <f>MAX(0,MIN(I449,M449)-INT(K449/30))</f>
        <v/>
      </c>
      <c r="O449" s="40">
        <f>IF(N449&gt;=I449,0,ROUND(PV(H449/12,I449-N449,-L449),0))</f>
        <v/>
      </c>
      <c r="P449" s="40">
        <f>MIN(I449,M449)*L449-N449*L449</f>
        <v/>
      </c>
      <c r="Q449" s="41">
        <f>INDEX(DPD_Bucket,MATCH(K449,DPD_From,1))</f>
        <v/>
      </c>
      <c r="R449" s="41">
        <f>INDEX(DPD_Class,MATCH(K449,DPD_From,1))</f>
        <v/>
      </c>
      <c r="S449" s="41">
        <f>INDEX(DPD_NPA,MATCH(K449,DPD_From,1))</f>
        <v/>
      </c>
      <c r="T449" s="42">
        <f>INDEX(DPD_Prov,MATCH(K449,DPD_From,1))</f>
        <v/>
      </c>
      <c r="U449" s="40">
        <f>ROUND(O449*T449,0)</f>
        <v/>
      </c>
      <c r="V449" s="41">
        <f>INDEX(CIBIL_Grade,MATCH(J449,CIBIL_From,1))</f>
        <v/>
      </c>
      <c r="W449" s="41">
        <f>YEAR(F449)&amp;"-Q"&amp;ROUNDUP(MONTH(F449)/3,0)</f>
        <v/>
      </c>
      <c r="X449" s="41">
        <f>IF(AND(OR(Dashboard!$C$4="All",D449=Dashboard!$C$4),OR(Dashboard!$C$5="All",E449=Dashboard!$C$5)),1,0)</f>
        <v/>
      </c>
      <c r="Y449" s="43">
        <f>IF(AND(X449=1,S449="Yes"),O449+ROW()/1000000,0)</f>
        <v/>
      </c>
    </row>
    <row r="450">
      <c r="A450" s="35" t="inlineStr">
        <is>
          <t>LN100449</t>
        </is>
      </c>
      <c r="B450" s="35" t="inlineStr">
        <is>
          <t>Reyansh Pillai</t>
        </is>
      </c>
      <c r="C450" s="35" t="inlineStr">
        <is>
          <t>AMD-01</t>
        </is>
      </c>
      <c r="D450" s="36">
        <f>INDEX(Branches!$C$2:$C$15,MATCH(C450,Branches!$A$2:$A$15,0))</f>
        <v/>
      </c>
      <c r="E450" s="35" t="inlineStr">
        <is>
          <t>Auto Loan</t>
        </is>
      </c>
      <c r="F450" s="37" t="n">
        <v>45688</v>
      </c>
      <c r="G450" s="38" t="n">
        <v>737000</v>
      </c>
      <c r="H450" s="39" t="n">
        <v>0.1107</v>
      </c>
      <c r="I450" s="35" t="n">
        <v>60</v>
      </c>
      <c r="J450" s="35" t="n">
        <v>718</v>
      </c>
      <c r="K450" s="35" t="n">
        <v>0</v>
      </c>
      <c r="L450" s="40">
        <f>ROUND(PMT(H450/12,I450,-G450),0)</f>
        <v/>
      </c>
      <c r="M450" s="41">
        <f>MAX(0,(YEAR(AsOfDate)-YEAR(F450))*12+MONTH(AsOfDate)-MONTH(F450))</f>
        <v/>
      </c>
      <c r="N450" s="41">
        <f>MAX(0,MIN(I450,M450)-INT(K450/30))</f>
        <v/>
      </c>
      <c r="O450" s="40">
        <f>IF(N450&gt;=I450,0,ROUND(PV(H450/12,I450-N450,-L450),0))</f>
        <v/>
      </c>
      <c r="P450" s="40">
        <f>MIN(I450,M450)*L450-N450*L450</f>
        <v/>
      </c>
      <c r="Q450" s="41">
        <f>INDEX(DPD_Bucket,MATCH(K450,DPD_From,1))</f>
        <v/>
      </c>
      <c r="R450" s="41">
        <f>INDEX(DPD_Class,MATCH(K450,DPD_From,1))</f>
        <v/>
      </c>
      <c r="S450" s="41">
        <f>INDEX(DPD_NPA,MATCH(K450,DPD_From,1))</f>
        <v/>
      </c>
      <c r="T450" s="42">
        <f>INDEX(DPD_Prov,MATCH(K450,DPD_From,1))</f>
        <v/>
      </c>
      <c r="U450" s="40">
        <f>ROUND(O450*T450,0)</f>
        <v/>
      </c>
      <c r="V450" s="41">
        <f>INDEX(CIBIL_Grade,MATCH(J450,CIBIL_From,1))</f>
        <v/>
      </c>
      <c r="W450" s="41">
        <f>YEAR(F450)&amp;"-Q"&amp;ROUNDUP(MONTH(F450)/3,0)</f>
        <v/>
      </c>
      <c r="X450" s="41">
        <f>IF(AND(OR(Dashboard!$C$4="All",D450=Dashboard!$C$4),OR(Dashboard!$C$5="All",E450=Dashboard!$C$5)),1,0)</f>
        <v/>
      </c>
      <c r="Y450" s="43">
        <f>IF(AND(X450=1,S450="Yes"),O450+ROW()/1000000,0)</f>
        <v/>
      </c>
    </row>
    <row r="451">
      <c r="A451" s="35" t="inlineStr">
        <is>
          <t>LN100450</t>
        </is>
      </c>
      <c r="B451" s="35" t="inlineStr">
        <is>
          <t>Karthik Reddy</t>
        </is>
      </c>
      <c r="C451" s="35" t="inlineStr">
        <is>
          <t>JAI-01</t>
        </is>
      </c>
      <c r="D451" s="36">
        <f>INDEX(Branches!$C$2:$C$15,MATCH(C451,Branches!$A$2:$A$15,0))</f>
        <v/>
      </c>
      <c r="E451" s="35" t="inlineStr">
        <is>
          <t>Auto Loan</t>
        </is>
      </c>
      <c r="F451" s="37" t="n">
        <v>45601</v>
      </c>
      <c r="G451" s="38" t="n">
        <v>1498000</v>
      </c>
      <c r="H451" s="39" t="n">
        <v>0.1142</v>
      </c>
      <c r="I451" s="35" t="n">
        <v>84</v>
      </c>
      <c r="J451" s="35" t="n">
        <v>872</v>
      </c>
      <c r="K451" s="35" t="n">
        <v>0</v>
      </c>
      <c r="L451" s="40">
        <f>ROUND(PMT(H451/12,I451,-G451),0)</f>
        <v/>
      </c>
      <c r="M451" s="41">
        <f>MAX(0,(YEAR(AsOfDate)-YEAR(F451))*12+MONTH(AsOfDate)-MONTH(F451))</f>
        <v/>
      </c>
      <c r="N451" s="41">
        <f>MAX(0,MIN(I451,M451)-INT(K451/30))</f>
        <v/>
      </c>
      <c r="O451" s="40">
        <f>IF(N451&gt;=I451,0,ROUND(PV(H451/12,I451-N451,-L451),0))</f>
        <v/>
      </c>
      <c r="P451" s="40">
        <f>MIN(I451,M451)*L451-N451*L451</f>
        <v/>
      </c>
      <c r="Q451" s="41">
        <f>INDEX(DPD_Bucket,MATCH(K451,DPD_From,1))</f>
        <v/>
      </c>
      <c r="R451" s="41">
        <f>INDEX(DPD_Class,MATCH(K451,DPD_From,1))</f>
        <v/>
      </c>
      <c r="S451" s="41">
        <f>INDEX(DPD_NPA,MATCH(K451,DPD_From,1))</f>
        <v/>
      </c>
      <c r="T451" s="42">
        <f>INDEX(DPD_Prov,MATCH(K451,DPD_From,1))</f>
        <v/>
      </c>
      <c r="U451" s="40">
        <f>ROUND(O451*T451,0)</f>
        <v/>
      </c>
      <c r="V451" s="41">
        <f>INDEX(CIBIL_Grade,MATCH(J451,CIBIL_From,1))</f>
        <v/>
      </c>
      <c r="W451" s="41">
        <f>YEAR(F451)&amp;"-Q"&amp;ROUNDUP(MONTH(F451)/3,0)</f>
        <v/>
      </c>
      <c r="X451" s="41">
        <f>IF(AND(OR(Dashboard!$C$4="All",D451=Dashboard!$C$4),OR(Dashboard!$C$5="All",E451=Dashboard!$C$5)),1,0)</f>
        <v/>
      </c>
      <c r="Y451" s="43">
        <f>IF(AND(X451=1,S451="Yes"),O451+ROW()/1000000,0)</f>
        <v/>
      </c>
    </row>
    <row r="452">
      <c r="A452" s="35" t="inlineStr">
        <is>
          <t>LN100451</t>
        </is>
      </c>
      <c r="B452" s="35" t="inlineStr">
        <is>
          <t>Zoya Reddy</t>
        </is>
      </c>
      <c r="C452" s="35" t="inlineStr">
        <is>
          <t>DEL-01</t>
        </is>
      </c>
      <c r="D452" s="36">
        <f>INDEX(Branches!$C$2:$C$15,MATCH(C452,Branches!$A$2:$A$15,0))</f>
        <v/>
      </c>
      <c r="E452" s="35" t="inlineStr">
        <is>
          <t>Business Loan</t>
        </is>
      </c>
      <c r="F452" s="37" t="n">
        <v>45288</v>
      </c>
      <c r="G452" s="38" t="n">
        <v>4126000</v>
      </c>
      <c r="H452" s="39" t="n">
        <v>0.1424</v>
      </c>
      <c r="I452" s="35" t="n">
        <v>24</v>
      </c>
      <c r="J452" s="35" t="n">
        <v>757</v>
      </c>
      <c r="K452" s="35" t="n">
        <v>0</v>
      </c>
      <c r="L452" s="40">
        <f>ROUND(PMT(H452/12,I452,-G452),0)</f>
        <v/>
      </c>
      <c r="M452" s="41">
        <f>MAX(0,(YEAR(AsOfDate)-YEAR(F452))*12+MONTH(AsOfDate)-MONTH(F452))</f>
        <v/>
      </c>
      <c r="N452" s="41">
        <f>MAX(0,MIN(I452,M452)-INT(K452/30))</f>
        <v/>
      </c>
      <c r="O452" s="40">
        <f>IF(N452&gt;=I452,0,ROUND(PV(H452/12,I452-N452,-L452),0))</f>
        <v/>
      </c>
      <c r="P452" s="40">
        <f>MIN(I452,M452)*L452-N452*L452</f>
        <v/>
      </c>
      <c r="Q452" s="41">
        <f>INDEX(DPD_Bucket,MATCH(K452,DPD_From,1))</f>
        <v/>
      </c>
      <c r="R452" s="41">
        <f>INDEX(DPD_Class,MATCH(K452,DPD_From,1))</f>
        <v/>
      </c>
      <c r="S452" s="41">
        <f>INDEX(DPD_NPA,MATCH(K452,DPD_From,1))</f>
        <v/>
      </c>
      <c r="T452" s="42">
        <f>INDEX(DPD_Prov,MATCH(K452,DPD_From,1))</f>
        <v/>
      </c>
      <c r="U452" s="40">
        <f>ROUND(O452*T452,0)</f>
        <v/>
      </c>
      <c r="V452" s="41">
        <f>INDEX(CIBIL_Grade,MATCH(J452,CIBIL_From,1))</f>
        <v/>
      </c>
      <c r="W452" s="41">
        <f>YEAR(F452)&amp;"-Q"&amp;ROUNDUP(MONTH(F452)/3,0)</f>
        <v/>
      </c>
      <c r="X452" s="41">
        <f>IF(AND(OR(Dashboard!$C$4="All",D452=Dashboard!$C$4),OR(Dashboard!$C$5="All",E452=Dashboard!$C$5)),1,0)</f>
        <v/>
      </c>
      <c r="Y452" s="43">
        <f>IF(AND(X452=1,S452="Yes"),O452+ROW()/1000000,0)</f>
        <v/>
      </c>
    </row>
    <row r="453">
      <c r="A453" s="35" t="inlineStr">
        <is>
          <t>LN100452</t>
        </is>
      </c>
      <c r="B453" s="35" t="inlineStr">
        <is>
          <t>Diya Gupta</t>
        </is>
      </c>
      <c r="C453" s="35" t="inlineStr">
        <is>
          <t>LKO-01</t>
        </is>
      </c>
      <c r="D453" s="36">
        <f>INDEX(Branches!$C$2:$C$15,MATCH(C453,Branches!$A$2:$A$15,0))</f>
        <v/>
      </c>
      <c r="E453" s="35" t="inlineStr">
        <is>
          <t>Personal Loan</t>
        </is>
      </c>
      <c r="F453" s="37" t="n">
        <v>45527</v>
      </c>
      <c r="G453" s="38" t="n">
        <v>1302000</v>
      </c>
      <c r="H453" s="39" t="n">
        <v>0.1086</v>
      </c>
      <c r="I453" s="35" t="n">
        <v>60</v>
      </c>
      <c r="J453" s="35" t="n">
        <v>706</v>
      </c>
      <c r="K453" s="35" t="n">
        <v>0</v>
      </c>
      <c r="L453" s="40">
        <f>ROUND(PMT(H453/12,I453,-G453),0)</f>
        <v/>
      </c>
      <c r="M453" s="41">
        <f>MAX(0,(YEAR(AsOfDate)-YEAR(F453))*12+MONTH(AsOfDate)-MONTH(F453))</f>
        <v/>
      </c>
      <c r="N453" s="41">
        <f>MAX(0,MIN(I453,M453)-INT(K453/30))</f>
        <v/>
      </c>
      <c r="O453" s="40">
        <f>IF(N453&gt;=I453,0,ROUND(PV(H453/12,I453-N453,-L453),0))</f>
        <v/>
      </c>
      <c r="P453" s="40">
        <f>MIN(I453,M453)*L453-N453*L453</f>
        <v/>
      </c>
      <c r="Q453" s="41">
        <f>INDEX(DPD_Bucket,MATCH(K453,DPD_From,1))</f>
        <v/>
      </c>
      <c r="R453" s="41">
        <f>INDEX(DPD_Class,MATCH(K453,DPD_From,1))</f>
        <v/>
      </c>
      <c r="S453" s="41">
        <f>INDEX(DPD_NPA,MATCH(K453,DPD_From,1))</f>
        <v/>
      </c>
      <c r="T453" s="42">
        <f>INDEX(DPD_Prov,MATCH(K453,DPD_From,1))</f>
        <v/>
      </c>
      <c r="U453" s="40">
        <f>ROUND(O453*T453,0)</f>
        <v/>
      </c>
      <c r="V453" s="41">
        <f>INDEX(CIBIL_Grade,MATCH(J453,CIBIL_From,1))</f>
        <v/>
      </c>
      <c r="W453" s="41">
        <f>YEAR(F453)&amp;"-Q"&amp;ROUNDUP(MONTH(F453)/3,0)</f>
        <v/>
      </c>
      <c r="X453" s="41">
        <f>IF(AND(OR(Dashboard!$C$4="All",D453=Dashboard!$C$4),OR(Dashboard!$C$5="All",E453=Dashboard!$C$5)),1,0)</f>
        <v/>
      </c>
      <c r="Y453" s="43">
        <f>IF(AND(X453=1,S453="Yes"),O453+ROW()/1000000,0)</f>
        <v/>
      </c>
    </row>
    <row r="454">
      <c r="A454" s="35" t="inlineStr">
        <is>
          <t>LN100453</t>
        </is>
      </c>
      <c r="B454" s="35" t="inlineStr">
        <is>
          <t>Arjun Joshi</t>
        </is>
      </c>
      <c r="C454" s="35" t="inlineStr">
        <is>
          <t>BBS-01</t>
        </is>
      </c>
      <c r="D454" s="36">
        <f>INDEX(Branches!$C$2:$C$15,MATCH(C454,Branches!$A$2:$A$15,0))</f>
        <v/>
      </c>
      <c r="E454" s="35" t="inlineStr">
        <is>
          <t>Home Loan</t>
        </is>
      </c>
      <c r="F454" s="37" t="n">
        <v>46051</v>
      </c>
      <c r="G454" s="38" t="n">
        <v>6351000</v>
      </c>
      <c r="H454" s="39" t="n">
        <v>0.0891</v>
      </c>
      <c r="I454" s="35" t="n">
        <v>120</v>
      </c>
      <c r="J454" s="35" t="n">
        <v>744</v>
      </c>
      <c r="K454" s="35" t="n">
        <v>0</v>
      </c>
      <c r="L454" s="40">
        <f>ROUND(PMT(H454/12,I454,-G454),0)</f>
        <v/>
      </c>
      <c r="M454" s="41">
        <f>MAX(0,(YEAR(AsOfDate)-YEAR(F454))*12+MONTH(AsOfDate)-MONTH(F454))</f>
        <v/>
      </c>
      <c r="N454" s="41">
        <f>MAX(0,MIN(I454,M454)-INT(K454/30))</f>
        <v/>
      </c>
      <c r="O454" s="40">
        <f>IF(N454&gt;=I454,0,ROUND(PV(H454/12,I454-N454,-L454),0))</f>
        <v/>
      </c>
      <c r="P454" s="40">
        <f>MIN(I454,M454)*L454-N454*L454</f>
        <v/>
      </c>
      <c r="Q454" s="41">
        <f>INDEX(DPD_Bucket,MATCH(K454,DPD_From,1))</f>
        <v/>
      </c>
      <c r="R454" s="41">
        <f>INDEX(DPD_Class,MATCH(K454,DPD_From,1))</f>
        <v/>
      </c>
      <c r="S454" s="41">
        <f>INDEX(DPD_NPA,MATCH(K454,DPD_From,1))</f>
        <v/>
      </c>
      <c r="T454" s="42">
        <f>INDEX(DPD_Prov,MATCH(K454,DPD_From,1))</f>
        <v/>
      </c>
      <c r="U454" s="40">
        <f>ROUND(O454*T454,0)</f>
        <v/>
      </c>
      <c r="V454" s="41">
        <f>INDEX(CIBIL_Grade,MATCH(J454,CIBIL_From,1))</f>
        <v/>
      </c>
      <c r="W454" s="41">
        <f>YEAR(F454)&amp;"-Q"&amp;ROUNDUP(MONTH(F454)/3,0)</f>
        <v/>
      </c>
      <c r="X454" s="41">
        <f>IF(AND(OR(Dashboard!$C$4="All",D454=Dashboard!$C$4),OR(Dashboard!$C$5="All",E454=Dashboard!$C$5)),1,0)</f>
        <v/>
      </c>
      <c r="Y454" s="43">
        <f>IF(AND(X454=1,S454="Yes"),O454+ROW()/1000000,0)</f>
        <v/>
      </c>
    </row>
    <row r="455">
      <c r="A455" s="35" t="inlineStr">
        <is>
          <t>LN100454</t>
        </is>
      </c>
      <c r="B455" s="35" t="inlineStr">
        <is>
          <t>Deepa Chatterjee</t>
        </is>
      </c>
      <c r="C455" s="35" t="inlineStr">
        <is>
          <t>DEL-01</t>
        </is>
      </c>
      <c r="D455" s="36">
        <f>INDEX(Branches!$C$2:$C$15,MATCH(C455,Branches!$A$2:$A$15,0))</f>
        <v/>
      </c>
      <c r="E455" s="35" t="inlineStr">
        <is>
          <t>Personal Loan</t>
        </is>
      </c>
      <c r="F455" s="37" t="n">
        <v>45469</v>
      </c>
      <c r="G455" s="38" t="n">
        <v>1185000</v>
      </c>
      <c r="H455" s="39" t="n">
        <v>0.1385</v>
      </c>
      <c r="I455" s="35" t="n">
        <v>36</v>
      </c>
      <c r="J455" s="35" t="n">
        <v>776</v>
      </c>
      <c r="K455" s="35" t="n">
        <v>88</v>
      </c>
      <c r="L455" s="40">
        <f>ROUND(PMT(H455/12,I455,-G455),0)</f>
        <v/>
      </c>
      <c r="M455" s="41">
        <f>MAX(0,(YEAR(AsOfDate)-YEAR(F455))*12+MONTH(AsOfDate)-MONTH(F455))</f>
        <v/>
      </c>
      <c r="N455" s="41">
        <f>MAX(0,MIN(I455,M455)-INT(K455/30))</f>
        <v/>
      </c>
      <c r="O455" s="40">
        <f>IF(N455&gt;=I455,0,ROUND(PV(H455/12,I455-N455,-L455),0))</f>
        <v/>
      </c>
      <c r="P455" s="40">
        <f>MIN(I455,M455)*L455-N455*L455</f>
        <v/>
      </c>
      <c r="Q455" s="41">
        <f>INDEX(DPD_Bucket,MATCH(K455,DPD_From,1))</f>
        <v/>
      </c>
      <c r="R455" s="41">
        <f>INDEX(DPD_Class,MATCH(K455,DPD_From,1))</f>
        <v/>
      </c>
      <c r="S455" s="41">
        <f>INDEX(DPD_NPA,MATCH(K455,DPD_From,1))</f>
        <v/>
      </c>
      <c r="T455" s="42">
        <f>INDEX(DPD_Prov,MATCH(K455,DPD_From,1))</f>
        <v/>
      </c>
      <c r="U455" s="40">
        <f>ROUND(O455*T455,0)</f>
        <v/>
      </c>
      <c r="V455" s="41">
        <f>INDEX(CIBIL_Grade,MATCH(J455,CIBIL_From,1))</f>
        <v/>
      </c>
      <c r="W455" s="41">
        <f>YEAR(F455)&amp;"-Q"&amp;ROUNDUP(MONTH(F455)/3,0)</f>
        <v/>
      </c>
      <c r="X455" s="41">
        <f>IF(AND(OR(Dashboard!$C$4="All",D455=Dashboard!$C$4),OR(Dashboard!$C$5="All",E455=Dashboard!$C$5)),1,0)</f>
        <v/>
      </c>
      <c r="Y455" s="43">
        <f>IF(AND(X455=1,S455="Yes"),O455+ROW()/1000000,0)</f>
        <v/>
      </c>
    </row>
    <row r="456">
      <c r="A456" s="35" t="inlineStr">
        <is>
          <t>LN100455</t>
        </is>
      </c>
      <c r="B456" s="35" t="inlineStr">
        <is>
          <t>Lakshmi Rao</t>
        </is>
      </c>
      <c r="C456" s="35" t="inlineStr">
        <is>
          <t>AMD-01</t>
        </is>
      </c>
      <c r="D456" s="36">
        <f>INDEX(Branches!$C$2:$C$15,MATCH(C456,Branches!$A$2:$A$15,0))</f>
        <v/>
      </c>
      <c r="E456" s="35" t="inlineStr">
        <is>
          <t>Home Loan</t>
        </is>
      </c>
      <c r="F456" s="37" t="n">
        <v>45587</v>
      </c>
      <c r="G456" s="38" t="n">
        <v>10207000</v>
      </c>
      <c r="H456" s="39" t="n">
        <v>0.092</v>
      </c>
      <c r="I456" s="35" t="n">
        <v>240</v>
      </c>
      <c r="J456" s="35" t="n">
        <v>600</v>
      </c>
      <c r="K456" s="35" t="n">
        <v>0</v>
      </c>
      <c r="L456" s="40">
        <f>ROUND(PMT(H456/12,I456,-G456),0)</f>
        <v/>
      </c>
      <c r="M456" s="41">
        <f>MAX(0,(YEAR(AsOfDate)-YEAR(F456))*12+MONTH(AsOfDate)-MONTH(F456))</f>
        <v/>
      </c>
      <c r="N456" s="41">
        <f>MAX(0,MIN(I456,M456)-INT(K456/30))</f>
        <v/>
      </c>
      <c r="O456" s="40">
        <f>IF(N456&gt;=I456,0,ROUND(PV(H456/12,I456-N456,-L456),0))</f>
        <v/>
      </c>
      <c r="P456" s="40">
        <f>MIN(I456,M456)*L456-N456*L456</f>
        <v/>
      </c>
      <c r="Q456" s="41">
        <f>INDEX(DPD_Bucket,MATCH(K456,DPD_From,1))</f>
        <v/>
      </c>
      <c r="R456" s="41">
        <f>INDEX(DPD_Class,MATCH(K456,DPD_From,1))</f>
        <v/>
      </c>
      <c r="S456" s="41">
        <f>INDEX(DPD_NPA,MATCH(K456,DPD_From,1))</f>
        <v/>
      </c>
      <c r="T456" s="42">
        <f>INDEX(DPD_Prov,MATCH(K456,DPD_From,1))</f>
        <v/>
      </c>
      <c r="U456" s="40">
        <f>ROUND(O456*T456,0)</f>
        <v/>
      </c>
      <c r="V456" s="41">
        <f>INDEX(CIBIL_Grade,MATCH(J456,CIBIL_From,1))</f>
        <v/>
      </c>
      <c r="W456" s="41">
        <f>YEAR(F456)&amp;"-Q"&amp;ROUNDUP(MONTH(F456)/3,0)</f>
        <v/>
      </c>
      <c r="X456" s="41">
        <f>IF(AND(OR(Dashboard!$C$4="All",D456=Dashboard!$C$4),OR(Dashboard!$C$5="All",E456=Dashboard!$C$5)),1,0)</f>
        <v/>
      </c>
      <c r="Y456" s="43">
        <f>IF(AND(X456=1,S456="Yes"),O456+ROW()/1000000,0)</f>
        <v/>
      </c>
    </row>
    <row r="457">
      <c r="A457" s="35" t="inlineStr">
        <is>
          <t>LN100456</t>
        </is>
      </c>
      <c r="B457" s="35" t="inlineStr">
        <is>
          <t>Kabir Rao</t>
        </is>
      </c>
      <c r="C457" s="35" t="inlineStr">
        <is>
          <t>PUN-01</t>
        </is>
      </c>
      <c r="D457" s="36">
        <f>INDEX(Branches!$C$2:$C$15,MATCH(C457,Branches!$A$2:$A$15,0))</f>
        <v/>
      </c>
      <c r="E457" s="35" t="inlineStr">
        <is>
          <t>Business Loan</t>
        </is>
      </c>
      <c r="F457" s="37" t="n">
        <v>46011</v>
      </c>
      <c r="G457" s="38" t="n">
        <v>3439000</v>
      </c>
      <c r="H457" s="39" t="n">
        <v>0.1797</v>
      </c>
      <c r="I457" s="35" t="n">
        <v>12</v>
      </c>
      <c r="J457" s="35" t="n">
        <v>766</v>
      </c>
      <c r="K457" s="35" t="n">
        <v>0</v>
      </c>
      <c r="L457" s="40">
        <f>ROUND(PMT(H457/12,I457,-G457),0)</f>
        <v/>
      </c>
      <c r="M457" s="41">
        <f>MAX(0,(YEAR(AsOfDate)-YEAR(F457))*12+MONTH(AsOfDate)-MONTH(F457))</f>
        <v/>
      </c>
      <c r="N457" s="41">
        <f>MAX(0,MIN(I457,M457)-INT(K457/30))</f>
        <v/>
      </c>
      <c r="O457" s="40">
        <f>IF(N457&gt;=I457,0,ROUND(PV(H457/12,I457-N457,-L457),0))</f>
        <v/>
      </c>
      <c r="P457" s="40">
        <f>MIN(I457,M457)*L457-N457*L457</f>
        <v/>
      </c>
      <c r="Q457" s="41">
        <f>INDEX(DPD_Bucket,MATCH(K457,DPD_From,1))</f>
        <v/>
      </c>
      <c r="R457" s="41">
        <f>INDEX(DPD_Class,MATCH(K457,DPD_From,1))</f>
        <v/>
      </c>
      <c r="S457" s="41">
        <f>INDEX(DPD_NPA,MATCH(K457,DPD_From,1))</f>
        <v/>
      </c>
      <c r="T457" s="42">
        <f>INDEX(DPD_Prov,MATCH(K457,DPD_From,1))</f>
        <v/>
      </c>
      <c r="U457" s="40">
        <f>ROUND(O457*T457,0)</f>
        <v/>
      </c>
      <c r="V457" s="41">
        <f>INDEX(CIBIL_Grade,MATCH(J457,CIBIL_From,1))</f>
        <v/>
      </c>
      <c r="W457" s="41">
        <f>YEAR(F457)&amp;"-Q"&amp;ROUNDUP(MONTH(F457)/3,0)</f>
        <v/>
      </c>
      <c r="X457" s="41">
        <f>IF(AND(OR(Dashboard!$C$4="All",D457=Dashboard!$C$4),OR(Dashboard!$C$5="All",E457=Dashboard!$C$5)),1,0)</f>
        <v/>
      </c>
      <c r="Y457" s="43">
        <f>IF(AND(X457=1,S457="Yes"),O457+ROW()/1000000,0)</f>
        <v/>
      </c>
    </row>
    <row r="458">
      <c r="A458" s="35" t="inlineStr">
        <is>
          <t>LN100457</t>
        </is>
      </c>
      <c r="B458" s="35" t="inlineStr">
        <is>
          <t>Zoya Mishra</t>
        </is>
      </c>
      <c r="C458" s="35" t="inlineStr">
        <is>
          <t>LKO-01</t>
        </is>
      </c>
      <c r="D458" s="36">
        <f>INDEX(Branches!$C$2:$C$15,MATCH(C458,Branches!$A$2:$A$15,0))</f>
        <v/>
      </c>
      <c r="E458" s="35" t="inlineStr">
        <is>
          <t>Personal Loan</t>
        </is>
      </c>
      <c r="F458" s="37" t="n">
        <v>45618</v>
      </c>
      <c r="G458" s="38" t="n">
        <v>1452000</v>
      </c>
      <c r="H458" s="39" t="n">
        <v>0.136</v>
      </c>
      <c r="I458" s="35" t="n">
        <v>48</v>
      </c>
      <c r="J458" s="35" t="n">
        <v>807</v>
      </c>
      <c r="K458" s="35" t="n">
        <v>0</v>
      </c>
      <c r="L458" s="40">
        <f>ROUND(PMT(H458/12,I458,-G458),0)</f>
        <v/>
      </c>
      <c r="M458" s="41">
        <f>MAX(0,(YEAR(AsOfDate)-YEAR(F458))*12+MONTH(AsOfDate)-MONTH(F458))</f>
        <v/>
      </c>
      <c r="N458" s="41">
        <f>MAX(0,MIN(I458,M458)-INT(K458/30))</f>
        <v/>
      </c>
      <c r="O458" s="40">
        <f>IF(N458&gt;=I458,0,ROUND(PV(H458/12,I458-N458,-L458),0))</f>
        <v/>
      </c>
      <c r="P458" s="40">
        <f>MIN(I458,M458)*L458-N458*L458</f>
        <v/>
      </c>
      <c r="Q458" s="41">
        <f>INDEX(DPD_Bucket,MATCH(K458,DPD_From,1))</f>
        <v/>
      </c>
      <c r="R458" s="41">
        <f>INDEX(DPD_Class,MATCH(K458,DPD_From,1))</f>
        <v/>
      </c>
      <c r="S458" s="41">
        <f>INDEX(DPD_NPA,MATCH(K458,DPD_From,1))</f>
        <v/>
      </c>
      <c r="T458" s="42">
        <f>INDEX(DPD_Prov,MATCH(K458,DPD_From,1))</f>
        <v/>
      </c>
      <c r="U458" s="40">
        <f>ROUND(O458*T458,0)</f>
        <v/>
      </c>
      <c r="V458" s="41">
        <f>INDEX(CIBIL_Grade,MATCH(J458,CIBIL_From,1))</f>
        <v/>
      </c>
      <c r="W458" s="41">
        <f>YEAR(F458)&amp;"-Q"&amp;ROUNDUP(MONTH(F458)/3,0)</f>
        <v/>
      </c>
      <c r="X458" s="41">
        <f>IF(AND(OR(Dashboard!$C$4="All",D458=Dashboard!$C$4),OR(Dashboard!$C$5="All",E458=Dashboard!$C$5)),1,0)</f>
        <v/>
      </c>
      <c r="Y458" s="43">
        <f>IF(AND(X458=1,S458="Yes"),O458+ROW()/1000000,0)</f>
        <v/>
      </c>
    </row>
    <row r="459">
      <c r="A459" s="35" t="inlineStr">
        <is>
          <t>LN100458</t>
        </is>
      </c>
      <c r="B459" s="35" t="inlineStr">
        <is>
          <t>Deepa Gupta</t>
        </is>
      </c>
      <c r="C459" s="35" t="inlineStr">
        <is>
          <t>BBS-01</t>
        </is>
      </c>
      <c r="D459" s="36">
        <f>INDEX(Branches!$C$2:$C$15,MATCH(C459,Branches!$A$2:$A$15,0))</f>
        <v/>
      </c>
      <c r="E459" s="35" t="inlineStr">
        <is>
          <t>Home Loan</t>
        </is>
      </c>
      <c r="F459" s="37" t="n">
        <v>45917</v>
      </c>
      <c r="G459" s="38" t="n">
        <v>11109000</v>
      </c>
      <c r="H459" s="39" t="n">
        <v>0.0851</v>
      </c>
      <c r="I459" s="35" t="n">
        <v>120</v>
      </c>
      <c r="J459" s="35" t="n">
        <v>672</v>
      </c>
      <c r="K459" s="35" t="n">
        <v>0</v>
      </c>
      <c r="L459" s="40">
        <f>ROUND(PMT(H459/12,I459,-G459),0)</f>
        <v/>
      </c>
      <c r="M459" s="41">
        <f>MAX(0,(YEAR(AsOfDate)-YEAR(F459))*12+MONTH(AsOfDate)-MONTH(F459))</f>
        <v/>
      </c>
      <c r="N459" s="41">
        <f>MAX(0,MIN(I459,M459)-INT(K459/30))</f>
        <v/>
      </c>
      <c r="O459" s="40">
        <f>IF(N459&gt;=I459,0,ROUND(PV(H459/12,I459-N459,-L459),0))</f>
        <v/>
      </c>
      <c r="P459" s="40">
        <f>MIN(I459,M459)*L459-N459*L459</f>
        <v/>
      </c>
      <c r="Q459" s="41">
        <f>INDEX(DPD_Bucket,MATCH(K459,DPD_From,1))</f>
        <v/>
      </c>
      <c r="R459" s="41">
        <f>INDEX(DPD_Class,MATCH(K459,DPD_From,1))</f>
        <v/>
      </c>
      <c r="S459" s="41">
        <f>INDEX(DPD_NPA,MATCH(K459,DPD_From,1))</f>
        <v/>
      </c>
      <c r="T459" s="42">
        <f>INDEX(DPD_Prov,MATCH(K459,DPD_From,1))</f>
        <v/>
      </c>
      <c r="U459" s="40">
        <f>ROUND(O459*T459,0)</f>
        <v/>
      </c>
      <c r="V459" s="41">
        <f>INDEX(CIBIL_Grade,MATCH(J459,CIBIL_From,1))</f>
        <v/>
      </c>
      <c r="W459" s="41">
        <f>YEAR(F459)&amp;"-Q"&amp;ROUNDUP(MONTH(F459)/3,0)</f>
        <v/>
      </c>
      <c r="X459" s="41">
        <f>IF(AND(OR(Dashboard!$C$4="All",D459=Dashboard!$C$4),OR(Dashboard!$C$5="All",E459=Dashboard!$C$5)),1,0)</f>
        <v/>
      </c>
      <c r="Y459" s="43">
        <f>IF(AND(X459=1,S459="Yes"),O459+ROW()/1000000,0)</f>
        <v/>
      </c>
    </row>
    <row r="460">
      <c r="A460" s="35" t="inlineStr">
        <is>
          <t>LN100459</t>
        </is>
      </c>
      <c r="B460" s="35" t="inlineStr">
        <is>
          <t>Aarav Banerjee</t>
        </is>
      </c>
      <c r="C460" s="35" t="inlineStr">
        <is>
          <t>LKO-01</t>
        </is>
      </c>
      <c r="D460" s="36">
        <f>INDEX(Branches!$C$2:$C$15,MATCH(C460,Branches!$A$2:$A$15,0))</f>
        <v/>
      </c>
      <c r="E460" s="35" t="inlineStr">
        <is>
          <t>Home Loan</t>
        </is>
      </c>
      <c r="F460" s="37" t="n">
        <v>45978</v>
      </c>
      <c r="G460" s="38" t="n">
        <v>11945000</v>
      </c>
      <c r="H460" s="39" t="n">
        <v>0.0852</v>
      </c>
      <c r="I460" s="35" t="n">
        <v>120</v>
      </c>
      <c r="J460" s="35" t="n">
        <v>839</v>
      </c>
      <c r="K460" s="35" t="n">
        <v>0</v>
      </c>
      <c r="L460" s="40">
        <f>ROUND(PMT(H460/12,I460,-G460),0)</f>
        <v/>
      </c>
      <c r="M460" s="41">
        <f>MAX(0,(YEAR(AsOfDate)-YEAR(F460))*12+MONTH(AsOfDate)-MONTH(F460))</f>
        <v/>
      </c>
      <c r="N460" s="41">
        <f>MAX(0,MIN(I460,M460)-INT(K460/30))</f>
        <v/>
      </c>
      <c r="O460" s="40">
        <f>IF(N460&gt;=I460,0,ROUND(PV(H460/12,I460-N460,-L460),0))</f>
        <v/>
      </c>
      <c r="P460" s="40">
        <f>MIN(I460,M460)*L460-N460*L460</f>
        <v/>
      </c>
      <c r="Q460" s="41">
        <f>INDEX(DPD_Bucket,MATCH(K460,DPD_From,1))</f>
        <v/>
      </c>
      <c r="R460" s="41">
        <f>INDEX(DPD_Class,MATCH(K460,DPD_From,1))</f>
        <v/>
      </c>
      <c r="S460" s="41">
        <f>INDEX(DPD_NPA,MATCH(K460,DPD_From,1))</f>
        <v/>
      </c>
      <c r="T460" s="42">
        <f>INDEX(DPD_Prov,MATCH(K460,DPD_From,1))</f>
        <v/>
      </c>
      <c r="U460" s="40">
        <f>ROUND(O460*T460,0)</f>
        <v/>
      </c>
      <c r="V460" s="41">
        <f>INDEX(CIBIL_Grade,MATCH(J460,CIBIL_From,1))</f>
        <v/>
      </c>
      <c r="W460" s="41">
        <f>YEAR(F460)&amp;"-Q"&amp;ROUNDUP(MONTH(F460)/3,0)</f>
        <v/>
      </c>
      <c r="X460" s="41">
        <f>IF(AND(OR(Dashboard!$C$4="All",D460=Dashboard!$C$4),OR(Dashboard!$C$5="All",E460=Dashboard!$C$5)),1,0)</f>
        <v/>
      </c>
      <c r="Y460" s="43">
        <f>IF(AND(X460=1,S460="Yes"),O460+ROW()/1000000,0)</f>
        <v/>
      </c>
    </row>
    <row r="461">
      <c r="A461" s="35" t="inlineStr">
        <is>
          <t>LN100460</t>
        </is>
      </c>
      <c r="B461" s="35" t="inlineStr">
        <is>
          <t>Swati Banerjee</t>
        </is>
      </c>
      <c r="C461" s="35" t="inlineStr">
        <is>
          <t>MUM-01</t>
        </is>
      </c>
      <c r="D461" s="36">
        <f>INDEX(Branches!$C$2:$C$15,MATCH(C461,Branches!$A$2:$A$15,0))</f>
        <v/>
      </c>
      <c r="E461" s="35" t="inlineStr">
        <is>
          <t>Auto Loan</t>
        </is>
      </c>
      <c r="F461" s="37" t="n">
        <v>46001</v>
      </c>
      <c r="G461" s="38" t="n">
        <v>767000</v>
      </c>
      <c r="H461" s="39" t="n">
        <v>0.1119</v>
      </c>
      <c r="I461" s="35" t="n">
        <v>48</v>
      </c>
      <c r="J461" s="35" t="n">
        <v>779</v>
      </c>
      <c r="K461" s="35" t="n">
        <v>0</v>
      </c>
      <c r="L461" s="40">
        <f>ROUND(PMT(H461/12,I461,-G461),0)</f>
        <v/>
      </c>
      <c r="M461" s="41">
        <f>MAX(0,(YEAR(AsOfDate)-YEAR(F461))*12+MONTH(AsOfDate)-MONTH(F461))</f>
        <v/>
      </c>
      <c r="N461" s="41">
        <f>MAX(0,MIN(I461,M461)-INT(K461/30))</f>
        <v/>
      </c>
      <c r="O461" s="40">
        <f>IF(N461&gt;=I461,0,ROUND(PV(H461/12,I461-N461,-L461),0))</f>
        <v/>
      </c>
      <c r="P461" s="40">
        <f>MIN(I461,M461)*L461-N461*L461</f>
        <v/>
      </c>
      <c r="Q461" s="41">
        <f>INDEX(DPD_Bucket,MATCH(K461,DPD_From,1))</f>
        <v/>
      </c>
      <c r="R461" s="41">
        <f>INDEX(DPD_Class,MATCH(K461,DPD_From,1))</f>
        <v/>
      </c>
      <c r="S461" s="41">
        <f>INDEX(DPD_NPA,MATCH(K461,DPD_From,1))</f>
        <v/>
      </c>
      <c r="T461" s="42">
        <f>INDEX(DPD_Prov,MATCH(K461,DPD_From,1))</f>
        <v/>
      </c>
      <c r="U461" s="40">
        <f>ROUND(O461*T461,0)</f>
        <v/>
      </c>
      <c r="V461" s="41">
        <f>INDEX(CIBIL_Grade,MATCH(J461,CIBIL_From,1))</f>
        <v/>
      </c>
      <c r="W461" s="41">
        <f>YEAR(F461)&amp;"-Q"&amp;ROUNDUP(MONTH(F461)/3,0)</f>
        <v/>
      </c>
      <c r="X461" s="41">
        <f>IF(AND(OR(Dashboard!$C$4="All",D461=Dashboard!$C$4),OR(Dashboard!$C$5="All",E461=Dashboard!$C$5)),1,0)</f>
        <v/>
      </c>
      <c r="Y461" s="43">
        <f>IF(AND(X461=1,S461="Yes"),O461+ROW()/1000000,0)</f>
        <v/>
      </c>
    </row>
    <row r="462">
      <c r="A462" s="35" t="inlineStr">
        <is>
          <t>LN100461</t>
        </is>
      </c>
      <c r="B462" s="35" t="inlineStr">
        <is>
          <t>Rohan Joshi</t>
        </is>
      </c>
      <c r="C462" s="35" t="inlineStr">
        <is>
          <t>HYD-01</t>
        </is>
      </c>
      <c r="D462" s="36">
        <f>INDEX(Branches!$C$2:$C$15,MATCH(C462,Branches!$A$2:$A$15,0))</f>
        <v/>
      </c>
      <c r="E462" s="35" t="inlineStr">
        <is>
          <t>Personal Loan</t>
        </is>
      </c>
      <c r="F462" s="37" t="n">
        <v>45905</v>
      </c>
      <c r="G462" s="38" t="n">
        <v>1457000</v>
      </c>
      <c r="H462" s="39" t="n">
        <v>0.1573</v>
      </c>
      <c r="I462" s="35" t="n">
        <v>24</v>
      </c>
      <c r="J462" s="35" t="n">
        <v>701</v>
      </c>
      <c r="K462" s="35" t="n">
        <v>90</v>
      </c>
      <c r="L462" s="40">
        <f>ROUND(PMT(H462/12,I462,-G462),0)</f>
        <v/>
      </c>
      <c r="M462" s="41">
        <f>MAX(0,(YEAR(AsOfDate)-YEAR(F462))*12+MONTH(AsOfDate)-MONTH(F462))</f>
        <v/>
      </c>
      <c r="N462" s="41">
        <f>MAX(0,MIN(I462,M462)-INT(K462/30))</f>
        <v/>
      </c>
      <c r="O462" s="40">
        <f>IF(N462&gt;=I462,0,ROUND(PV(H462/12,I462-N462,-L462),0))</f>
        <v/>
      </c>
      <c r="P462" s="40">
        <f>MIN(I462,M462)*L462-N462*L462</f>
        <v/>
      </c>
      <c r="Q462" s="41">
        <f>INDEX(DPD_Bucket,MATCH(K462,DPD_From,1))</f>
        <v/>
      </c>
      <c r="R462" s="41">
        <f>INDEX(DPD_Class,MATCH(K462,DPD_From,1))</f>
        <v/>
      </c>
      <c r="S462" s="41">
        <f>INDEX(DPD_NPA,MATCH(K462,DPD_From,1))</f>
        <v/>
      </c>
      <c r="T462" s="42">
        <f>INDEX(DPD_Prov,MATCH(K462,DPD_From,1))</f>
        <v/>
      </c>
      <c r="U462" s="40">
        <f>ROUND(O462*T462,0)</f>
        <v/>
      </c>
      <c r="V462" s="41">
        <f>INDEX(CIBIL_Grade,MATCH(J462,CIBIL_From,1))</f>
        <v/>
      </c>
      <c r="W462" s="41">
        <f>YEAR(F462)&amp;"-Q"&amp;ROUNDUP(MONTH(F462)/3,0)</f>
        <v/>
      </c>
      <c r="X462" s="41">
        <f>IF(AND(OR(Dashboard!$C$4="All",D462=Dashboard!$C$4),OR(Dashboard!$C$5="All",E462=Dashboard!$C$5)),1,0)</f>
        <v/>
      </c>
      <c r="Y462" s="43">
        <f>IF(AND(X462=1,S462="Yes"),O462+ROW()/1000000,0)</f>
        <v/>
      </c>
    </row>
    <row r="463">
      <c r="A463" s="35" t="inlineStr">
        <is>
          <t>LN100462</t>
        </is>
      </c>
      <c r="B463" s="35" t="inlineStr">
        <is>
          <t>Lakshmi Mishra</t>
        </is>
      </c>
      <c r="C463" s="35" t="inlineStr">
        <is>
          <t>AMD-01</t>
        </is>
      </c>
      <c r="D463" s="36">
        <f>INDEX(Branches!$C$2:$C$15,MATCH(C463,Branches!$A$2:$A$15,0))</f>
        <v/>
      </c>
      <c r="E463" s="35" t="inlineStr">
        <is>
          <t>Home Loan</t>
        </is>
      </c>
      <c r="F463" s="37" t="n">
        <v>45238</v>
      </c>
      <c r="G463" s="38" t="n">
        <v>8805000</v>
      </c>
      <c r="H463" s="39" t="n">
        <v>0.093</v>
      </c>
      <c r="I463" s="35" t="n">
        <v>240</v>
      </c>
      <c r="J463" s="35" t="n">
        <v>729</v>
      </c>
      <c r="K463" s="35" t="n">
        <v>0</v>
      </c>
      <c r="L463" s="40">
        <f>ROUND(PMT(H463/12,I463,-G463),0)</f>
        <v/>
      </c>
      <c r="M463" s="41">
        <f>MAX(0,(YEAR(AsOfDate)-YEAR(F463))*12+MONTH(AsOfDate)-MONTH(F463))</f>
        <v/>
      </c>
      <c r="N463" s="41">
        <f>MAX(0,MIN(I463,M463)-INT(K463/30))</f>
        <v/>
      </c>
      <c r="O463" s="40">
        <f>IF(N463&gt;=I463,0,ROUND(PV(H463/12,I463-N463,-L463),0))</f>
        <v/>
      </c>
      <c r="P463" s="40">
        <f>MIN(I463,M463)*L463-N463*L463</f>
        <v/>
      </c>
      <c r="Q463" s="41">
        <f>INDEX(DPD_Bucket,MATCH(K463,DPD_From,1))</f>
        <v/>
      </c>
      <c r="R463" s="41">
        <f>INDEX(DPD_Class,MATCH(K463,DPD_From,1))</f>
        <v/>
      </c>
      <c r="S463" s="41">
        <f>INDEX(DPD_NPA,MATCH(K463,DPD_From,1))</f>
        <v/>
      </c>
      <c r="T463" s="42">
        <f>INDEX(DPD_Prov,MATCH(K463,DPD_From,1))</f>
        <v/>
      </c>
      <c r="U463" s="40">
        <f>ROUND(O463*T463,0)</f>
        <v/>
      </c>
      <c r="V463" s="41">
        <f>INDEX(CIBIL_Grade,MATCH(J463,CIBIL_From,1))</f>
        <v/>
      </c>
      <c r="W463" s="41">
        <f>YEAR(F463)&amp;"-Q"&amp;ROUNDUP(MONTH(F463)/3,0)</f>
        <v/>
      </c>
      <c r="X463" s="41">
        <f>IF(AND(OR(Dashboard!$C$4="All",D463=Dashboard!$C$4),OR(Dashboard!$C$5="All",E463=Dashboard!$C$5)),1,0)</f>
        <v/>
      </c>
      <c r="Y463" s="43">
        <f>IF(AND(X463=1,S463="Yes"),O463+ROW()/1000000,0)</f>
        <v/>
      </c>
    </row>
    <row r="464">
      <c r="A464" s="35" t="inlineStr">
        <is>
          <t>LN100463</t>
        </is>
      </c>
      <c r="B464" s="35" t="inlineStr">
        <is>
          <t>Sneha Khan</t>
        </is>
      </c>
      <c r="C464" s="35" t="inlineStr">
        <is>
          <t>MUM-01</t>
        </is>
      </c>
      <c r="D464" s="36">
        <f>INDEX(Branches!$C$2:$C$15,MATCH(C464,Branches!$A$2:$A$15,0))</f>
        <v/>
      </c>
      <c r="E464" s="35" t="inlineStr">
        <is>
          <t>Auto Loan</t>
        </is>
      </c>
      <c r="F464" s="37" t="n">
        <v>45187</v>
      </c>
      <c r="G464" s="38" t="n">
        <v>649000</v>
      </c>
      <c r="H464" s="39" t="n">
        <v>0.0893</v>
      </c>
      <c r="I464" s="35" t="n">
        <v>60</v>
      </c>
      <c r="J464" s="35" t="n">
        <v>638</v>
      </c>
      <c r="K464" s="35" t="n">
        <v>0</v>
      </c>
      <c r="L464" s="40">
        <f>ROUND(PMT(H464/12,I464,-G464),0)</f>
        <v/>
      </c>
      <c r="M464" s="41">
        <f>MAX(0,(YEAR(AsOfDate)-YEAR(F464))*12+MONTH(AsOfDate)-MONTH(F464))</f>
        <v/>
      </c>
      <c r="N464" s="41">
        <f>MAX(0,MIN(I464,M464)-INT(K464/30))</f>
        <v/>
      </c>
      <c r="O464" s="40">
        <f>IF(N464&gt;=I464,0,ROUND(PV(H464/12,I464-N464,-L464),0))</f>
        <v/>
      </c>
      <c r="P464" s="40">
        <f>MIN(I464,M464)*L464-N464*L464</f>
        <v/>
      </c>
      <c r="Q464" s="41">
        <f>INDEX(DPD_Bucket,MATCH(K464,DPD_From,1))</f>
        <v/>
      </c>
      <c r="R464" s="41">
        <f>INDEX(DPD_Class,MATCH(K464,DPD_From,1))</f>
        <v/>
      </c>
      <c r="S464" s="41">
        <f>INDEX(DPD_NPA,MATCH(K464,DPD_From,1))</f>
        <v/>
      </c>
      <c r="T464" s="42">
        <f>INDEX(DPD_Prov,MATCH(K464,DPD_From,1))</f>
        <v/>
      </c>
      <c r="U464" s="40">
        <f>ROUND(O464*T464,0)</f>
        <v/>
      </c>
      <c r="V464" s="41">
        <f>INDEX(CIBIL_Grade,MATCH(J464,CIBIL_From,1))</f>
        <v/>
      </c>
      <c r="W464" s="41">
        <f>YEAR(F464)&amp;"-Q"&amp;ROUNDUP(MONTH(F464)/3,0)</f>
        <v/>
      </c>
      <c r="X464" s="41">
        <f>IF(AND(OR(Dashboard!$C$4="All",D464=Dashboard!$C$4),OR(Dashboard!$C$5="All",E464=Dashboard!$C$5)),1,0)</f>
        <v/>
      </c>
      <c r="Y464" s="43">
        <f>IF(AND(X464=1,S464="Yes"),O464+ROW()/1000000,0)</f>
        <v/>
      </c>
    </row>
    <row r="465">
      <c r="A465" s="35" t="inlineStr">
        <is>
          <t>LN100464</t>
        </is>
      </c>
      <c r="B465" s="35" t="inlineStr">
        <is>
          <t>Rohan Sharma</t>
        </is>
      </c>
      <c r="C465" s="35" t="inlineStr">
        <is>
          <t>BBS-01</t>
        </is>
      </c>
      <c r="D465" s="36">
        <f>INDEX(Branches!$C$2:$C$15,MATCH(C465,Branches!$A$2:$A$15,0))</f>
        <v/>
      </c>
      <c r="E465" s="35" t="inlineStr">
        <is>
          <t>Personal Loan</t>
        </is>
      </c>
      <c r="F465" s="37" t="n">
        <v>45469</v>
      </c>
      <c r="G465" s="38" t="n">
        <v>1391000</v>
      </c>
      <c r="H465" s="39" t="n">
        <v>0.176</v>
      </c>
      <c r="I465" s="35" t="n">
        <v>24</v>
      </c>
      <c r="J465" s="35" t="n">
        <v>710</v>
      </c>
      <c r="K465" s="35" t="n">
        <v>0</v>
      </c>
      <c r="L465" s="40">
        <f>ROUND(PMT(H465/12,I465,-G465),0)</f>
        <v/>
      </c>
      <c r="M465" s="41">
        <f>MAX(0,(YEAR(AsOfDate)-YEAR(F465))*12+MONTH(AsOfDate)-MONTH(F465))</f>
        <v/>
      </c>
      <c r="N465" s="41">
        <f>MAX(0,MIN(I465,M465)-INT(K465/30))</f>
        <v/>
      </c>
      <c r="O465" s="40">
        <f>IF(N465&gt;=I465,0,ROUND(PV(H465/12,I465-N465,-L465),0))</f>
        <v/>
      </c>
      <c r="P465" s="40">
        <f>MIN(I465,M465)*L465-N465*L465</f>
        <v/>
      </c>
      <c r="Q465" s="41">
        <f>INDEX(DPD_Bucket,MATCH(K465,DPD_From,1))</f>
        <v/>
      </c>
      <c r="R465" s="41">
        <f>INDEX(DPD_Class,MATCH(K465,DPD_From,1))</f>
        <v/>
      </c>
      <c r="S465" s="41">
        <f>INDEX(DPD_NPA,MATCH(K465,DPD_From,1))</f>
        <v/>
      </c>
      <c r="T465" s="42">
        <f>INDEX(DPD_Prov,MATCH(K465,DPD_From,1))</f>
        <v/>
      </c>
      <c r="U465" s="40">
        <f>ROUND(O465*T465,0)</f>
        <v/>
      </c>
      <c r="V465" s="41">
        <f>INDEX(CIBIL_Grade,MATCH(J465,CIBIL_From,1))</f>
        <v/>
      </c>
      <c r="W465" s="41">
        <f>YEAR(F465)&amp;"-Q"&amp;ROUNDUP(MONTH(F465)/3,0)</f>
        <v/>
      </c>
      <c r="X465" s="41">
        <f>IF(AND(OR(Dashboard!$C$4="All",D465=Dashboard!$C$4),OR(Dashboard!$C$5="All",E465=Dashboard!$C$5)),1,0)</f>
        <v/>
      </c>
      <c r="Y465" s="43">
        <f>IF(AND(X465=1,S465="Yes"),O465+ROW()/1000000,0)</f>
        <v/>
      </c>
    </row>
    <row r="466">
      <c r="A466" s="35" t="inlineStr">
        <is>
          <t>LN100465</t>
        </is>
      </c>
      <c r="B466" s="35" t="inlineStr">
        <is>
          <t>Rohan Menon</t>
        </is>
      </c>
      <c r="C466" s="35" t="inlineStr">
        <is>
          <t>KOC-01</t>
        </is>
      </c>
      <c r="D466" s="36">
        <f>INDEX(Branches!$C$2:$C$15,MATCH(C466,Branches!$A$2:$A$15,0))</f>
        <v/>
      </c>
      <c r="E466" s="35" t="inlineStr">
        <is>
          <t>Personal Loan</t>
        </is>
      </c>
      <c r="F466" s="37" t="n">
        <v>45292</v>
      </c>
      <c r="G466" s="38" t="n">
        <v>676000</v>
      </c>
      <c r="H466" s="39" t="n">
        <v>0.147</v>
      </c>
      <c r="I466" s="35" t="n">
        <v>12</v>
      </c>
      <c r="J466" s="35" t="n">
        <v>757</v>
      </c>
      <c r="K466" s="35" t="n">
        <v>0</v>
      </c>
      <c r="L466" s="40">
        <f>ROUND(PMT(H466/12,I466,-G466),0)</f>
        <v/>
      </c>
      <c r="M466" s="41">
        <f>MAX(0,(YEAR(AsOfDate)-YEAR(F466))*12+MONTH(AsOfDate)-MONTH(F466))</f>
        <v/>
      </c>
      <c r="N466" s="41">
        <f>MAX(0,MIN(I466,M466)-INT(K466/30))</f>
        <v/>
      </c>
      <c r="O466" s="40">
        <f>IF(N466&gt;=I466,0,ROUND(PV(H466/12,I466-N466,-L466),0))</f>
        <v/>
      </c>
      <c r="P466" s="40">
        <f>MIN(I466,M466)*L466-N466*L466</f>
        <v/>
      </c>
      <c r="Q466" s="41">
        <f>INDEX(DPD_Bucket,MATCH(K466,DPD_From,1))</f>
        <v/>
      </c>
      <c r="R466" s="41">
        <f>INDEX(DPD_Class,MATCH(K466,DPD_From,1))</f>
        <v/>
      </c>
      <c r="S466" s="41">
        <f>INDEX(DPD_NPA,MATCH(K466,DPD_From,1))</f>
        <v/>
      </c>
      <c r="T466" s="42">
        <f>INDEX(DPD_Prov,MATCH(K466,DPD_From,1))</f>
        <v/>
      </c>
      <c r="U466" s="40">
        <f>ROUND(O466*T466,0)</f>
        <v/>
      </c>
      <c r="V466" s="41">
        <f>INDEX(CIBIL_Grade,MATCH(J466,CIBIL_From,1))</f>
        <v/>
      </c>
      <c r="W466" s="41">
        <f>YEAR(F466)&amp;"-Q"&amp;ROUNDUP(MONTH(F466)/3,0)</f>
        <v/>
      </c>
      <c r="X466" s="41">
        <f>IF(AND(OR(Dashboard!$C$4="All",D466=Dashboard!$C$4),OR(Dashboard!$C$5="All",E466=Dashboard!$C$5)),1,0)</f>
        <v/>
      </c>
      <c r="Y466" s="43">
        <f>IF(AND(X466=1,S466="Yes"),O466+ROW()/1000000,0)</f>
        <v/>
      </c>
    </row>
    <row r="467">
      <c r="A467" s="35" t="inlineStr">
        <is>
          <t>LN100466</t>
        </is>
      </c>
      <c r="B467" s="35" t="inlineStr">
        <is>
          <t>Kabir Gupta</t>
        </is>
      </c>
      <c r="C467" s="35" t="inlineStr">
        <is>
          <t>CHN-01</t>
        </is>
      </c>
      <c r="D467" s="36">
        <f>INDEX(Branches!$C$2:$C$15,MATCH(C467,Branches!$A$2:$A$15,0))</f>
        <v/>
      </c>
      <c r="E467" s="35" t="inlineStr">
        <is>
          <t>Auto Loan</t>
        </is>
      </c>
      <c r="F467" s="37" t="n">
        <v>45375</v>
      </c>
      <c r="G467" s="38" t="n">
        <v>1076000</v>
      </c>
      <c r="H467" s="39" t="n">
        <v>0.0964</v>
      </c>
      <c r="I467" s="35" t="n">
        <v>48</v>
      </c>
      <c r="J467" s="35" t="n">
        <v>664</v>
      </c>
      <c r="K467" s="35" t="n">
        <v>0</v>
      </c>
      <c r="L467" s="40">
        <f>ROUND(PMT(H467/12,I467,-G467),0)</f>
        <v/>
      </c>
      <c r="M467" s="41">
        <f>MAX(0,(YEAR(AsOfDate)-YEAR(F467))*12+MONTH(AsOfDate)-MONTH(F467))</f>
        <v/>
      </c>
      <c r="N467" s="41">
        <f>MAX(0,MIN(I467,M467)-INT(K467/30))</f>
        <v/>
      </c>
      <c r="O467" s="40">
        <f>IF(N467&gt;=I467,0,ROUND(PV(H467/12,I467-N467,-L467),0))</f>
        <v/>
      </c>
      <c r="P467" s="40">
        <f>MIN(I467,M467)*L467-N467*L467</f>
        <v/>
      </c>
      <c r="Q467" s="41">
        <f>INDEX(DPD_Bucket,MATCH(K467,DPD_From,1))</f>
        <v/>
      </c>
      <c r="R467" s="41">
        <f>INDEX(DPD_Class,MATCH(K467,DPD_From,1))</f>
        <v/>
      </c>
      <c r="S467" s="41">
        <f>INDEX(DPD_NPA,MATCH(K467,DPD_From,1))</f>
        <v/>
      </c>
      <c r="T467" s="42">
        <f>INDEX(DPD_Prov,MATCH(K467,DPD_From,1))</f>
        <v/>
      </c>
      <c r="U467" s="40">
        <f>ROUND(O467*T467,0)</f>
        <v/>
      </c>
      <c r="V467" s="41">
        <f>INDEX(CIBIL_Grade,MATCH(J467,CIBIL_From,1))</f>
        <v/>
      </c>
      <c r="W467" s="41">
        <f>YEAR(F467)&amp;"-Q"&amp;ROUNDUP(MONTH(F467)/3,0)</f>
        <v/>
      </c>
      <c r="X467" s="41">
        <f>IF(AND(OR(Dashboard!$C$4="All",D467=Dashboard!$C$4),OR(Dashboard!$C$5="All",E467=Dashboard!$C$5)),1,0)</f>
        <v/>
      </c>
      <c r="Y467" s="43">
        <f>IF(AND(X467=1,S467="Yes"),O467+ROW()/1000000,0)</f>
        <v/>
      </c>
    </row>
    <row r="468">
      <c r="A468" s="35" t="inlineStr">
        <is>
          <t>LN100467</t>
        </is>
      </c>
      <c r="B468" s="35" t="inlineStr">
        <is>
          <t>Ishaan Iyer</t>
        </is>
      </c>
      <c r="C468" s="35" t="inlineStr">
        <is>
          <t>HYD-01</t>
        </is>
      </c>
      <c r="D468" s="36">
        <f>INDEX(Branches!$C$2:$C$15,MATCH(C468,Branches!$A$2:$A$15,0))</f>
        <v/>
      </c>
      <c r="E468" s="35" t="inlineStr">
        <is>
          <t>Business Loan</t>
        </is>
      </c>
      <c r="F468" s="37" t="n">
        <v>45590</v>
      </c>
      <c r="G468" s="38" t="n">
        <v>1115000</v>
      </c>
      <c r="H468" s="39" t="n">
        <v>0.1377</v>
      </c>
      <c r="I468" s="35" t="n">
        <v>36</v>
      </c>
      <c r="J468" s="35" t="n">
        <v>694</v>
      </c>
      <c r="K468" s="35" t="n">
        <v>0</v>
      </c>
      <c r="L468" s="40">
        <f>ROUND(PMT(H468/12,I468,-G468),0)</f>
        <v/>
      </c>
      <c r="M468" s="41">
        <f>MAX(0,(YEAR(AsOfDate)-YEAR(F468))*12+MONTH(AsOfDate)-MONTH(F468))</f>
        <v/>
      </c>
      <c r="N468" s="41">
        <f>MAX(0,MIN(I468,M468)-INT(K468/30))</f>
        <v/>
      </c>
      <c r="O468" s="40">
        <f>IF(N468&gt;=I468,0,ROUND(PV(H468/12,I468-N468,-L468),0))</f>
        <v/>
      </c>
      <c r="P468" s="40">
        <f>MIN(I468,M468)*L468-N468*L468</f>
        <v/>
      </c>
      <c r="Q468" s="41">
        <f>INDEX(DPD_Bucket,MATCH(K468,DPD_From,1))</f>
        <v/>
      </c>
      <c r="R468" s="41">
        <f>INDEX(DPD_Class,MATCH(K468,DPD_From,1))</f>
        <v/>
      </c>
      <c r="S468" s="41">
        <f>INDEX(DPD_NPA,MATCH(K468,DPD_From,1))</f>
        <v/>
      </c>
      <c r="T468" s="42">
        <f>INDEX(DPD_Prov,MATCH(K468,DPD_From,1))</f>
        <v/>
      </c>
      <c r="U468" s="40">
        <f>ROUND(O468*T468,0)</f>
        <v/>
      </c>
      <c r="V468" s="41">
        <f>INDEX(CIBIL_Grade,MATCH(J468,CIBIL_From,1))</f>
        <v/>
      </c>
      <c r="W468" s="41">
        <f>YEAR(F468)&amp;"-Q"&amp;ROUNDUP(MONTH(F468)/3,0)</f>
        <v/>
      </c>
      <c r="X468" s="41">
        <f>IF(AND(OR(Dashboard!$C$4="All",D468=Dashboard!$C$4),OR(Dashboard!$C$5="All",E468=Dashboard!$C$5)),1,0)</f>
        <v/>
      </c>
      <c r="Y468" s="43">
        <f>IF(AND(X468=1,S468="Yes"),O468+ROW()/1000000,0)</f>
        <v/>
      </c>
    </row>
    <row r="469">
      <c r="A469" s="35" t="inlineStr">
        <is>
          <t>LN100468</t>
        </is>
      </c>
      <c r="B469" s="35" t="inlineStr">
        <is>
          <t>Pooja Das</t>
        </is>
      </c>
      <c r="C469" s="35" t="inlineStr">
        <is>
          <t>PUN-01</t>
        </is>
      </c>
      <c r="D469" s="36">
        <f>INDEX(Branches!$C$2:$C$15,MATCH(C469,Branches!$A$2:$A$15,0))</f>
        <v/>
      </c>
      <c r="E469" s="35" t="inlineStr">
        <is>
          <t>Personal Loan</t>
        </is>
      </c>
      <c r="F469" s="37" t="n">
        <v>45616</v>
      </c>
      <c r="G469" s="38" t="n">
        <v>127000</v>
      </c>
      <c r="H469" s="39" t="n">
        <v>0.1087</v>
      </c>
      <c r="I469" s="35" t="n">
        <v>48</v>
      </c>
      <c r="J469" s="35" t="n">
        <v>680</v>
      </c>
      <c r="K469" s="35" t="n">
        <v>0</v>
      </c>
      <c r="L469" s="40">
        <f>ROUND(PMT(H469/12,I469,-G469),0)</f>
        <v/>
      </c>
      <c r="M469" s="41">
        <f>MAX(0,(YEAR(AsOfDate)-YEAR(F469))*12+MONTH(AsOfDate)-MONTH(F469))</f>
        <v/>
      </c>
      <c r="N469" s="41">
        <f>MAX(0,MIN(I469,M469)-INT(K469/30))</f>
        <v/>
      </c>
      <c r="O469" s="40">
        <f>IF(N469&gt;=I469,0,ROUND(PV(H469/12,I469-N469,-L469),0))</f>
        <v/>
      </c>
      <c r="P469" s="40">
        <f>MIN(I469,M469)*L469-N469*L469</f>
        <v/>
      </c>
      <c r="Q469" s="41">
        <f>INDEX(DPD_Bucket,MATCH(K469,DPD_From,1))</f>
        <v/>
      </c>
      <c r="R469" s="41">
        <f>INDEX(DPD_Class,MATCH(K469,DPD_From,1))</f>
        <v/>
      </c>
      <c r="S469" s="41">
        <f>INDEX(DPD_NPA,MATCH(K469,DPD_From,1))</f>
        <v/>
      </c>
      <c r="T469" s="42">
        <f>INDEX(DPD_Prov,MATCH(K469,DPD_From,1))</f>
        <v/>
      </c>
      <c r="U469" s="40">
        <f>ROUND(O469*T469,0)</f>
        <v/>
      </c>
      <c r="V469" s="41">
        <f>INDEX(CIBIL_Grade,MATCH(J469,CIBIL_From,1))</f>
        <v/>
      </c>
      <c r="W469" s="41">
        <f>YEAR(F469)&amp;"-Q"&amp;ROUNDUP(MONTH(F469)/3,0)</f>
        <v/>
      </c>
      <c r="X469" s="41">
        <f>IF(AND(OR(Dashboard!$C$4="All",D469=Dashboard!$C$4),OR(Dashboard!$C$5="All",E469=Dashboard!$C$5)),1,0)</f>
        <v/>
      </c>
      <c r="Y469" s="43">
        <f>IF(AND(X469=1,S469="Yes"),O469+ROW()/1000000,0)</f>
        <v/>
      </c>
    </row>
    <row r="470">
      <c r="A470" s="35" t="inlineStr">
        <is>
          <t>LN100469</t>
        </is>
      </c>
      <c r="B470" s="35" t="inlineStr">
        <is>
          <t>Aarav Mohanty</t>
        </is>
      </c>
      <c r="C470" s="35" t="inlineStr">
        <is>
          <t>CHN-01</t>
        </is>
      </c>
      <c r="D470" s="36">
        <f>INDEX(Branches!$C$2:$C$15,MATCH(C470,Branches!$A$2:$A$15,0))</f>
        <v/>
      </c>
      <c r="E470" s="35" t="inlineStr">
        <is>
          <t>Personal Loan</t>
        </is>
      </c>
      <c r="F470" s="37" t="n">
        <v>45964</v>
      </c>
      <c r="G470" s="38" t="n">
        <v>311000</v>
      </c>
      <c r="H470" s="39" t="n">
        <v>0.142</v>
      </c>
      <c r="I470" s="35" t="n">
        <v>24</v>
      </c>
      <c r="J470" s="35" t="n">
        <v>729</v>
      </c>
      <c r="K470" s="35" t="n">
        <v>0</v>
      </c>
      <c r="L470" s="40">
        <f>ROUND(PMT(H470/12,I470,-G470),0)</f>
        <v/>
      </c>
      <c r="M470" s="41">
        <f>MAX(0,(YEAR(AsOfDate)-YEAR(F470))*12+MONTH(AsOfDate)-MONTH(F470))</f>
        <v/>
      </c>
      <c r="N470" s="41">
        <f>MAX(0,MIN(I470,M470)-INT(K470/30))</f>
        <v/>
      </c>
      <c r="O470" s="40">
        <f>IF(N470&gt;=I470,0,ROUND(PV(H470/12,I470-N470,-L470),0))</f>
        <v/>
      </c>
      <c r="P470" s="40">
        <f>MIN(I470,M470)*L470-N470*L470</f>
        <v/>
      </c>
      <c r="Q470" s="41">
        <f>INDEX(DPD_Bucket,MATCH(K470,DPD_From,1))</f>
        <v/>
      </c>
      <c r="R470" s="41">
        <f>INDEX(DPD_Class,MATCH(K470,DPD_From,1))</f>
        <v/>
      </c>
      <c r="S470" s="41">
        <f>INDEX(DPD_NPA,MATCH(K470,DPD_From,1))</f>
        <v/>
      </c>
      <c r="T470" s="42">
        <f>INDEX(DPD_Prov,MATCH(K470,DPD_From,1))</f>
        <v/>
      </c>
      <c r="U470" s="40">
        <f>ROUND(O470*T470,0)</f>
        <v/>
      </c>
      <c r="V470" s="41">
        <f>INDEX(CIBIL_Grade,MATCH(J470,CIBIL_From,1))</f>
        <v/>
      </c>
      <c r="W470" s="41">
        <f>YEAR(F470)&amp;"-Q"&amp;ROUNDUP(MONTH(F470)/3,0)</f>
        <v/>
      </c>
      <c r="X470" s="41">
        <f>IF(AND(OR(Dashboard!$C$4="All",D470=Dashboard!$C$4),OR(Dashboard!$C$5="All",E470=Dashboard!$C$5)),1,0)</f>
        <v/>
      </c>
      <c r="Y470" s="43">
        <f>IF(AND(X470=1,S470="Yes"),O470+ROW()/1000000,0)</f>
        <v/>
      </c>
    </row>
    <row r="471">
      <c r="A471" s="35" t="inlineStr">
        <is>
          <t>LN100470</t>
        </is>
      </c>
      <c r="B471" s="35" t="inlineStr">
        <is>
          <t>Riya Verma</t>
        </is>
      </c>
      <c r="C471" s="35" t="inlineStr">
        <is>
          <t>PUN-01</t>
        </is>
      </c>
      <c r="D471" s="36">
        <f>INDEX(Branches!$C$2:$C$15,MATCH(C471,Branches!$A$2:$A$15,0))</f>
        <v/>
      </c>
      <c r="E471" s="35" t="inlineStr">
        <is>
          <t>Auto Loan</t>
        </is>
      </c>
      <c r="F471" s="37" t="n">
        <v>45153</v>
      </c>
      <c r="G471" s="38" t="n">
        <v>528000</v>
      </c>
      <c r="H471" s="39" t="n">
        <v>0.1123</v>
      </c>
      <c r="I471" s="35" t="n">
        <v>60</v>
      </c>
      <c r="J471" s="35" t="n">
        <v>762</v>
      </c>
      <c r="K471" s="35" t="n">
        <v>0</v>
      </c>
      <c r="L471" s="40">
        <f>ROUND(PMT(H471/12,I471,-G471),0)</f>
        <v/>
      </c>
      <c r="M471" s="41">
        <f>MAX(0,(YEAR(AsOfDate)-YEAR(F471))*12+MONTH(AsOfDate)-MONTH(F471))</f>
        <v/>
      </c>
      <c r="N471" s="41">
        <f>MAX(0,MIN(I471,M471)-INT(K471/30))</f>
        <v/>
      </c>
      <c r="O471" s="40">
        <f>IF(N471&gt;=I471,0,ROUND(PV(H471/12,I471-N471,-L471),0))</f>
        <v/>
      </c>
      <c r="P471" s="40">
        <f>MIN(I471,M471)*L471-N471*L471</f>
        <v/>
      </c>
      <c r="Q471" s="41">
        <f>INDEX(DPD_Bucket,MATCH(K471,DPD_From,1))</f>
        <v/>
      </c>
      <c r="R471" s="41">
        <f>INDEX(DPD_Class,MATCH(K471,DPD_From,1))</f>
        <v/>
      </c>
      <c r="S471" s="41">
        <f>INDEX(DPD_NPA,MATCH(K471,DPD_From,1))</f>
        <v/>
      </c>
      <c r="T471" s="42">
        <f>INDEX(DPD_Prov,MATCH(K471,DPD_From,1))</f>
        <v/>
      </c>
      <c r="U471" s="40">
        <f>ROUND(O471*T471,0)</f>
        <v/>
      </c>
      <c r="V471" s="41">
        <f>INDEX(CIBIL_Grade,MATCH(J471,CIBIL_From,1))</f>
        <v/>
      </c>
      <c r="W471" s="41">
        <f>YEAR(F471)&amp;"-Q"&amp;ROUNDUP(MONTH(F471)/3,0)</f>
        <v/>
      </c>
      <c r="X471" s="41">
        <f>IF(AND(OR(Dashboard!$C$4="All",D471=Dashboard!$C$4),OR(Dashboard!$C$5="All",E471=Dashboard!$C$5)),1,0)</f>
        <v/>
      </c>
      <c r="Y471" s="43">
        <f>IF(AND(X471=1,S471="Yes"),O471+ROW()/1000000,0)</f>
        <v/>
      </c>
    </row>
    <row r="472">
      <c r="A472" s="35" t="inlineStr">
        <is>
          <t>LN100471</t>
        </is>
      </c>
      <c r="B472" s="35" t="inlineStr">
        <is>
          <t>Tanvi Gupta</t>
        </is>
      </c>
      <c r="C472" s="35" t="inlineStr">
        <is>
          <t>GUW-01</t>
        </is>
      </c>
      <c r="D472" s="36">
        <f>INDEX(Branches!$C$2:$C$15,MATCH(C472,Branches!$A$2:$A$15,0))</f>
        <v/>
      </c>
      <c r="E472" s="35" t="inlineStr">
        <is>
          <t>Home Loan</t>
        </is>
      </c>
      <c r="F472" s="37" t="n">
        <v>45370</v>
      </c>
      <c r="G472" s="38" t="n">
        <v>6961000</v>
      </c>
      <c r="H472" s="39" t="n">
        <v>0.0842</v>
      </c>
      <c r="I472" s="35" t="n">
        <v>180</v>
      </c>
      <c r="J472" s="35" t="n">
        <v>790</v>
      </c>
      <c r="K472" s="35" t="n">
        <v>0</v>
      </c>
      <c r="L472" s="40">
        <f>ROUND(PMT(H472/12,I472,-G472),0)</f>
        <v/>
      </c>
      <c r="M472" s="41">
        <f>MAX(0,(YEAR(AsOfDate)-YEAR(F472))*12+MONTH(AsOfDate)-MONTH(F472))</f>
        <v/>
      </c>
      <c r="N472" s="41">
        <f>MAX(0,MIN(I472,M472)-INT(K472/30))</f>
        <v/>
      </c>
      <c r="O472" s="40">
        <f>IF(N472&gt;=I472,0,ROUND(PV(H472/12,I472-N472,-L472),0))</f>
        <v/>
      </c>
      <c r="P472" s="40">
        <f>MIN(I472,M472)*L472-N472*L472</f>
        <v/>
      </c>
      <c r="Q472" s="41">
        <f>INDEX(DPD_Bucket,MATCH(K472,DPD_From,1))</f>
        <v/>
      </c>
      <c r="R472" s="41">
        <f>INDEX(DPD_Class,MATCH(K472,DPD_From,1))</f>
        <v/>
      </c>
      <c r="S472" s="41">
        <f>INDEX(DPD_NPA,MATCH(K472,DPD_From,1))</f>
        <v/>
      </c>
      <c r="T472" s="42">
        <f>INDEX(DPD_Prov,MATCH(K472,DPD_From,1))</f>
        <v/>
      </c>
      <c r="U472" s="40">
        <f>ROUND(O472*T472,0)</f>
        <v/>
      </c>
      <c r="V472" s="41">
        <f>INDEX(CIBIL_Grade,MATCH(J472,CIBIL_From,1))</f>
        <v/>
      </c>
      <c r="W472" s="41">
        <f>YEAR(F472)&amp;"-Q"&amp;ROUNDUP(MONTH(F472)/3,0)</f>
        <v/>
      </c>
      <c r="X472" s="41">
        <f>IF(AND(OR(Dashboard!$C$4="All",D472=Dashboard!$C$4),OR(Dashboard!$C$5="All",E472=Dashboard!$C$5)),1,0)</f>
        <v/>
      </c>
      <c r="Y472" s="43">
        <f>IF(AND(X472=1,S472="Yes"),O472+ROW()/1000000,0)</f>
        <v/>
      </c>
    </row>
    <row r="473">
      <c r="A473" s="35" t="inlineStr">
        <is>
          <t>LN100472</t>
        </is>
      </c>
      <c r="B473" s="35" t="inlineStr">
        <is>
          <t>Riya Mohanty</t>
        </is>
      </c>
      <c r="C473" s="35" t="inlineStr">
        <is>
          <t>BBS-01</t>
        </is>
      </c>
      <c r="D473" s="36">
        <f>INDEX(Branches!$C$2:$C$15,MATCH(C473,Branches!$A$2:$A$15,0))</f>
        <v/>
      </c>
      <c r="E473" s="35" t="inlineStr">
        <is>
          <t>Gold Loan</t>
        </is>
      </c>
      <c r="F473" s="37" t="n">
        <v>45385</v>
      </c>
      <c r="G473" s="38" t="n">
        <v>498000</v>
      </c>
      <c r="H473" s="39" t="n">
        <v>0.096</v>
      </c>
      <c r="I473" s="35" t="n">
        <v>6</v>
      </c>
      <c r="J473" s="35" t="n">
        <v>761</v>
      </c>
      <c r="K473" s="35" t="n">
        <v>0</v>
      </c>
      <c r="L473" s="40">
        <f>ROUND(PMT(H473/12,I473,-G473),0)</f>
        <v/>
      </c>
      <c r="M473" s="41">
        <f>MAX(0,(YEAR(AsOfDate)-YEAR(F473))*12+MONTH(AsOfDate)-MONTH(F473))</f>
        <v/>
      </c>
      <c r="N473" s="41">
        <f>MAX(0,MIN(I473,M473)-INT(K473/30))</f>
        <v/>
      </c>
      <c r="O473" s="40">
        <f>IF(N473&gt;=I473,0,ROUND(PV(H473/12,I473-N473,-L473),0))</f>
        <v/>
      </c>
      <c r="P473" s="40">
        <f>MIN(I473,M473)*L473-N473*L473</f>
        <v/>
      </c>
      <c r="Q473" s="41">
        <f>INDEX(DPD_Bucket,MATCH(K473,DPD_From,1))</f>
        <v/>
      </c>
      <c r="R473" s="41">
        <f>INDEX(DPD_Class,MATCH(K473,DPD_From,1))</f>
        <v/>
      </c>
      <c r="S473" s="41">
        <f>INDEX(DPD_NPA,MATCH(K473,DPD_From,1))</f>
        <v/>
      </c>
      <c r="T473" s="42">
        <f>INDEX(DPD_Prov,MATCH(K473,DPD_From,1))</f>
        <v/>
      </c>
      <c r="U473" s="40">
        <f>ROUND(O473*T473,0)</f>
        <v/>
      </c>
      <c r="V473" s="41">
        <f>INDEX(CIBIL_Grade,MATCH(J473,CIBIL_From,1))</f>
        <v/>
      </c>
      <c r="W473" s="41">
        <f>YEAR(F473)&amp;"-Q"&amp;ROUNDUP(MONTH(F473)/3,0)</f>
        <v/>
      </c>
      <c r="X473" s="41">
        <f>IF(AND(OR(Dashboard!$C$4="All",D473=Dashboard!$C$4),OR(Dashboard!$C$5="All",E473=Dashboard!$C$5)),1,0)</f>
        <v/>
      </c>
      <c r="Y473" s="43">
        <f>IF(AND(X473=1,S473="Yes"),O473+ROW()/1000000,0)</f>
        <v/>
      </c>
    </row>
    <row r="474">
      <c r="A474" s="35" t="inlineStr">
        <is>
          <t>LN100473</t>
        </is>
      </c>
      <c r="B474" s="35" t="inlineStr">
        <is>
          <t>Lakshmi Singh</t>
        </is>
      </c>
      <c r="C474" s="35" t="inlineStr">
        <is>
          <t>KOC-01</t>
        </is>
      </c>
      <c r="D474" s="36">
        <f>INDEX(Branches!$C$2:$C$15,MATCH(C474,Branches!$A$2:$A$15,0))</f>
        <v/>
      </c>
      <c r="E474" s="35" t="inlineStr">
        <is>
          <t>Business Loan</t>
        </is>
      </c>
      <c r="F474" s="37" t="n">
        <v>45747</v>
      </c>
      <c r="G474" s="38" t="n">
        <v>2122000</v>
      </c>
      <c r="H474" s="39" t="n">
        <v>0.1336</v>
      </c>
      <c r="I474" s="35" t="n">
        <v>12</v>
      </c>
      <c r="J474" s="35" t="n">
        <v>653</v>
      </c>
      <c r="K474" s="35" t="n">
        <v>0</v>
      </c>
      <c r="L474" s="40">
        <f>ROUND(PMT(H474/12,I474,-G474),0)</f>
        <v/>
      </c>
      <c r="M474" s="41">
        <f>MAX(0,(YEAR(AsOfDate)-YEAR(F474))*12+MONTH(AsOfDate)-MONTH(F474))</f>
        <v/>
      </c>
      <c r="N474" s="41">
        <f>MAX(0,MIN(I474,M474)-INT(K474/30))</f>
        <v/>
      </c>
      <c r="O474" s="40">
        <f>IF(N474&gt;=I474,0,ROUND(PV(H474/12,I474-N474,-L474),0))</f>
        <v/>
      </c>
      <c r="P474" s="40">
        <f>MIN(I474,M474)*L474-N474*L474</f>
        <v/>
      </c>
      <c r="Q474" s="41">
        <f>INDEX(DPD_Bucket,MATCH(K474,DPD_From,1))</f>
        <v/>
      </c>
      <c r="R474" s="41">
        <f>INDEX(DPD_Class,MATCH(K474,DPD_From,1))</f>
        <v/>
      </c>
      <c r="S474" s="41">
        <f>INDEX(DPD_NPA,MATCH(K474,DPD_From,1))</f>
        <v/>
      </c>
      <c r="T474" s="42">
        <f>INDEX(DPD_Prov,MATCH(K474,DPD_From,1))</f>
        <v/>
      </c>
      <c r="U474" s="40">
        <f>ROUND(O474*T474,0)</f>
        <v/>
      </c>
      <c r="V474" s="41">
        <f>INDEX(CIBIL_Grade,MATCH(J474,CIBIL_From,1))</f>
        <v/>
      </c>
      <c r="W474" s="41">
        <f>YEAR(F474)&amp;"-Q"&amp;ROUNDUP(MONTH(F474)/3,0)</f>
        <v/>
      </c>
      <c r="X474" s="41">
        <f>IF(AND(OR(Dashboard!$C$4="All",D474=Dashboard!$C$4),OR(Dashboard!$C$5="All",E474=Dashboard!$C$5)),1,0)</f>
        <v/>
      </c>
      <c r="Y474" s="43">
        <f>IF(AND(X474=1,S474="Yes"),O474+ROW()/1000000,0)</f>
        <v/>
      </c>
    </row>
    <row r="475">
      <c r="A475" s="35" t="inlineStr">
        <is>
          <t>LN100474</t>
        </is>
      </c>
      <c r="B475" s="35" t="inlineStr">
        <is>
          <t>Priya Sharma</t>
        </is>
      </c>
      <c r="C475" s="35" t="inlineStr">
        <is>
          <t>HYD-01</t>
        </is>
      </c>
      <c r="D475" s="36">
        <f>INDEX(Branches!$C$2:$C$15,MATCH(C475,Branches!$A$2:$A$15,0))</f>
        <v/>
      </c>
      <c r="E475" s="35" t="inlineStr">
        <is>
          <t>Personal Loan</t>
        </is>
      </c>
      <c r="F475" s="37" t="n">
        <v>45690</v>
      </c>
      <c r="G475" s="38" t="n">
        <v>1212000</v>
      </c>
      <c r="H475" s="39" t="n">
        <v>0.1489</v>
      </c>
      <c r="I475" s="35" t="n">
        <v>12</v>
      </c>
      <c r="J475" s="35" t="n">
        <v>749</v>
      </c>
      <c r="K475" s="35" t="n">
        <v>0</v>
      </c>
      <c r="L475" s="40">
        <f>ROUND(PMT(H475/12,I475,-G475),0)</f>
        <v/>
      </c>
      <c r="M475" s="41">
        <f>MAX(0,(YEAR(AsOfDate)-YEAR(F475))*12+MONTH(AsOfDate)-MONTH(F475))</f>
        <v/>
      </c>
      <c r="N475" s="41">
        <f>MAX(0,MIN(I475,M475)-INT(K475/30))</f>
        <v/>
      </c>
      <c r="O475" s="40">
        <f>IF(N475&gt;=I475,0,ROUND(PV(H475/12,I475-N475,-L475),0))</f>
        <v/>
      </c>
      <c r="P475" s="40">
        <f>MIN(I475,M475)*L475-N475*L475</f>
        <v/>
      </c>
      <c r="Q475" s="41">
        <f>INDEX(DPD_Bucket,MATCH(K475,DPD_From,1))</f>
        <v/>
      </c>
      <c r="R475" s="41">
        <f>INDEX(DPD_Class,MATCH(K475,DPD_From,1))</f>
        <v/>
      </c>
      <c r="S475" s="41">
        <f>INDEX(DPD_NPA,MATCH(K475,DPD_From,1))</f>
        <v/>
      </c>
      <c r="T475" s="42">
        <f>INDEX(DPD_Prov,MATCH(K475,DPD_From,1))</f>
        <v/>
      </c>
      <c r="U475" s="40">
        <f>ROUND(O475*T475,0)</f>
        <v/>
      </c>
      <c r="V475" s="41">
        <f>INDEX(CIBIL_Grade,MATCH(J475,CIBIL_From,1))</f>
        <v/>
      </c>
      <c r="W475" s="41">
        <f>YEAR(F475)&amp;"-Q"&amp;ROUNDUP(MONTH(F475)/3,0)</f>
        <v/>
      </c>
      <c r="X475" s="41">
        <f>IF(AND(OR(Dashboard!$C$4="All",D475=Dashboard!$C$4),OR(Dashboard!$C$5="All",E475=Dashboard!$C$5)),1,0)</f>
        <v/>
      </c>
      <c r="Y475" s="43">
        <f>IF(AND(X475=1,S475="Yes"),O475+ROW()/1000000,0)</f>
        <v/>
      </c>
    </row>
    <row r="476">
      <c r="A476" s="35" t="inlineStr">
        <is>
          <t>LN100475</t>
        </is>
      </c>
      <c r="B476" s="35" t="inlineStr">
        <is>
          <t>Farhan Sahoo</t>
        </is>
      </c>
      <c r="C476" s="35" t="inlineStr">
        <is>
          <t>HYD-01</t>
        </is>
      </c>
      <c r="D476" s="36">
        <f>INDEX(Branches!$C$2:$C$15,MATCH(C476,Branches!$A$2:$A$15,0))</f>
        <v/>
      </c>
      <c r="E476" s="35" t="inlineStr">
        <is>
          <t>Auto Loan</t>
        </is>
      </c>
      <c r="F476" s="37" t="n">
        <v>46155</v>
      </c>
      <c r="G476" s="38" t="n">
        <v>994000</v>
      </c>
      <c r="H476" s="39" t="n">
        <v>0.09180000000000001</v>
      </c>
      <c r="I476" s="35" t="n">
        <v>48</v>
      </c>
      <c r="J476" s="35" t="n">
        <v>806</v>
      </c>
      <c r="K476" s="35" t="n">
        <v>0</v>
      </c>
      <c r="L476" s="40">
        <f>ROUND(PMT(H476/12,I476,-G476),0)</f>
        <v/>
      </c>
      <c r="M476" s="41">
        <f>MAX(0,(YEAR(AsOfDate)-YEAR(F476))*12+MONTH(AsOfDate)-MONTH(F476))</f>
        <v/>
      </c>
      <c r="N476" s="41">
        <f>MAX(0,MIN(I476,M476)-INT(K476/30))</f>
        <v/>
      </c>
      <c r="O476" s="40">
        <f>IF(N476&gt;=I476,0,ROUND(PV(H476/12,I476-N476,-L476),0))</f>
        <v/>
      </c>
      <c r="P476" s="40">
        <f>MIN(I476,M476)*L476-N476*L476</f>
        <v/>
      </c>
      <c r="Q476" s="41">
        <f>INDEX(DPD_Bucket,MATCH(K476,DPD_From,1))</f>
        <v/>
      </c>
      <c r="R476" s="41">
        <f>INDEX(DPD_Class,MATCH(K476,DPD_From,1))</f>
        <v/>
      </c>
      <c r="S476" s="41">
        <f>INDEX(DPD_NPA,MATCH(K476,DPD_From,1))</f>
        <v/>
      </c>
      <c r="T476" s="42">
        <f>INDEX(DPD_Prov,MATCH(K476,DPD_From,1))</f>
        <v/>
      </c>
      <c r="U476" s="40">
        <f>ROUND(O476*T476,0)</f>
        <v/>
      </c>
      <c r="V476" s="41">
        <f>INDEX(CIBIL_Grade,MATCH(J476,CIBIL_From,1))</f>
        <v/>
      </c>
      <c r="W476" s="41">
        <f>YEAR(F476)&amp;"-Q"&amp;ROUNDUP(MONTH(F476)/3,0)</f>
        <v/>
      </c>
      <c r="X476" s="41">
        <f>IF(AND(OR(Dashboard!$C$4="All",D476=Dashboard!$C$4),OR(Dashboard!$C$5="All",E476=Dashboard!$C$5)),1,0)</f>
        <v/>
      </c>
      <c r="Y476" s="43">
        <f>IF(AND(X476=1,S476="Yes"),O476+ROW()/1000000,0)</f>
        <v/>
      </c>
    </row>
    <row r="477">
      <c r="A477" s="35" t="inlineStr">
        <is>
          <t>LN100476</t>
        </is>
      </c>
      <c r="B477" s="35" t="inlineStr">
        <is>
          <t>Manish Verma</t>
        </is>
      </c>
      <c r="C477" s="35" t="inlineStr">
        <is>
          <t>BLR-01</t>
        </is>
      </c>
      <c r="D477" s="36">
        <f>INDEX(Branches!$C$2:$C$15,MATCH(C477,Branches!$A$2:$A$15,0))</f>
        <v/>
      </c>
      <c r="E477" s="35" t="inlineStr">
        <is>
          <t>Home Loan</t>
        </is>
      </c>
      <c r="F477" s="37" t="n">
        <v>45480</v>
      </c>
      <c r="G477" s="38" t="n">
        <v>6622000</v>
      </c>
      <c r="H477" s="39" t="n">
        <v>0.0862</v>
      </c>
      <c r="I477" s="35" t="n">
        <v>120</v>
      </c>
      <c r="J477" s="35" t="n">
        <v>720</v>
      </c>
      <c r="K477" s="35" t="n">
        <v>0</v>
      </c>
      <c r="L477" s="40">
        <f>ROUND(PMT(H477/12,I477,-G477),0)</f>
        <v/>
      </c>
      <c r="M477" s="41">
        <f>MAX(0,(YEAR(AsOfDate)-YEAR(F477))*12+MONTH(AsOfDate)-MONTH(F477))</f>
        <v/>
      </c>
      <c r="N477" s="41">
        <f>MAX(0,MIN(I477,M477)-INT(K477/30))</f>
        <v/>
      </c>
      <c r="O477" s="40">
        <f>IF(N477&gt;=I477,0,ROUND(PV(H477/12,I477-N477,-L477),0))</f>
        <v/>
      </c>
      <c r="P477" s="40">
        <f>MIN(I477,M477)*L477-N477*L477</f>
        <v/>
      </c>
      <c r="Q477" s="41">
        <f>INDEX(DPD_Bucket,MATCH(K477,DPD_From,1))</f>
        <v/>
      </c>
      <c r="R477" s="41">
        <f>INDEX(DPD_Class,MATCH(K477,DPD_From,1))</f>
        <v/>
      </c>
      <c r="S477" s="41">
        <f>INDEX(DPD_NPA,MATCH(K477,DPD_From,1))</f>
        <v/>
      </c>
      <c r="T477" s="42">
        <f>INDEX(DPD_Prov,MATCH(K477,DPD_From,1))</f>
        <v/>
      </c>
      <c r="U477" s="40">
        <f>ROUND(O477*T477,0)</f>
        <v/>
      </c>
      <c r="V477" s="41">
        <f>INDEX(CIBIL_Grade,MATCH(J477,CIBIL_From,1))</f>
        <v/>
      </c>
      <c r="W477" s="41">
        <f>YEAR(F477)&amp;"-Q"&amp;ROUNDUP(MONTH(F477)/3,0)</f>
        <v/>
      </c>
      <c r="X477" s="41">
        <f>IF(AND(OR(Dashboard!$C$4="All",D477=Dashboard!$C$4),OR(Dashboard!$C$5="All",E477=Dashboard!$C$5)),1,0)</f>
        <v/>
      </c>
      <c r="Y477" s="43">
        <f>IF(AND(X477=1,S477="Yes"),O477+ROW()/1000000,0)</f>
        <v/>
      </c>
    </row>
    <row r="478">
      <c r="A478" s="35" t="inlineStr">
        <is>
          <t>LN100477</t>
        </is>
      </c>
      <c r="B478" s="35" t="inlineStr">
        <is>
          <t>Lakshmi Menon</t>
        </is>
      </c>
      <c r="C478" s="35" t="inlineStr">
        <is>
          <t>PAT-01</t>
        </is>
      </c>
      <c r="D478" s="36">
        <f>INDEX(Branches!$C$2:$C$15,MATCH(C478,Branches!$A$2:$A$15,0))</f>
        <v/>
      </c>
      <c r="E478" s="35" t="inlineStr">
        <is>
          <t>Personal Loan</t>
        </is>
      </c>
      <c r="F478" s="37" t="n">
        <v>45916</v>
      </c>
      <c r="G478" s="38" t="n">
        <v>1349000</v>
      </c>
      <c r="H478" s="39" t="n">
        <v>0.16</v>
      </c>
      <c r="I478" s="35" t="n">
        <v>12</v>
      </c>
      <c r="J478" s="35" t="n">
        <v>687</v>
      </c>
      <c r="K478" s="35" t="n">
        <v>0</v>
      </c>
      <c r="L478" s="40">
        <f>ROUND(PMT(H478/12,I478,-G478),0)</f>
        <v/>
      </c>
      <c r="M478" s="41">
        <f>MAX(0,(YEAR(AsOfDate)-YEAR(F478))*12+MONTH(AsOfDate)-MONTH(F478))</f>
        <v/>
      </c>
      <c r="N478" s="41">
        <f>MAX(0,MIN(I478,M478)-INT(K478/30))</f>
        <v/>
      </c>
      <c r="O478" s="40">
        <f>IF(N478&gt;=I478,0,ROUND(PV(H478/12,I478-N478,-L478),0))</f>
        <v/>
      </c>
      <c r="P478" s="40">
        <f>MIN(I478,M478)*L478-N478*L478</f>
        <v/>
      </c>
      <c r="Q478" s="41">
        <f>INDEX(DPD_Bucket,MATCH(K478,DPD_From,1))</f>
        <v/>
      </c>
      <c r="R478" s="41">
        <f>INDEX(DPD_Class,MATCH(K478,DPD_From,1))</f>
        <v/>
      </c>
      <c r="S478" s="41">
        <f>INDEX(DPD_NPA,MATCH(K478,DPD_From,1))</f>
        <v/>
      </c>
      <c r="T478" s="42">
        <f>INDEX(DPD_Prov,MATCH(K478,DPD_From,1))</f>
        <v/>
      </c>
      <c r="U478" s="40">
        <f>ROUND(O478*T478,0)</f>
        <v/>
      </c>
      <c r="V478" s="41">
        <f>INDEX(CIBIL_Grade,MATCH(J478,CIBIL_From,1))</f>
        <v/>
      </c>
      <c r="W478" s="41">
        <f>YEAR(F478)&amp;"-Q"&amp;ROUNDUP(MONTH(F478)/3,0)</f>
        <v/>
      </c>
      <c r="X478" s="41">
        <f>IF(AND(OR(Dashboard!$C$4="All",D478=Dashboard!$C$4),OR(Dashboard!$C$5="All",E478=Dashboard!$C$5)),1,0)</f>
        <v/>
      </c>
      <c r="Y478" s="43">
        <f>IF(AND(X478=1,S478="Yes"),O478+ROW()/1000000,0)</f>
        <v/>
      </c>
    </row>
    <row r="479">
      <c r="A479" s="35" t="inlineStr">
        <is>
          <t>LN100478</t>
        </is>
      </c>
      <c r="B479" s="35" t="inlineStr">
        <is>
          <t>Ananya Verma</t>
        </is>
      </c>
      <c r="C479" s="35" t="inlineStr">
        <is>
          <t>DEL-01</t>
        </is>
      </c>
      <c r="D479" s="36">
        <f>INDEX(Branches!$C$2:$C$15,MATCH(C479,Branches!$A$2:$A$15,0))</f>
        <v/>
      </c>
      <c r="E479" s="35" t="inlineStr">
        <is>
          <t>Home Loan</t>
        </is>
      </c>
      <c r="F479" s="37" t="n">
        <v>45440</v>
      </c>
      <c r="G479" s="38" t="n">
        <v>11186000</v>
      </c>
      <c r="H479" s="39" t="n">
        <v>0.09180000000000001</v>
      </c>
      <c r="I479" s="35" t="n">
        <v>180</v>
      </c>
      <c r="J479" s="35" t="n">
        <v>738</v>
      </c>
      <c r="K479" s="35" t="n">
        <v>0</v>
      </c>
      <c r="L479" s="40">
        <f>ROUND(PMT(H479/12,I479,-G479),0)</f>
        <v/>
      </c>
      <c r="M479" s="41">
        <f>MAX(0,(YEAR(AsOfDate)-YEAR(F479))*12+MONTH(AsOfDate)-MONTH(F479))</f>
        <v/>
      </c>
      <c r="N479" s="41">
        <f>MAX(0,MIN(I479,M479)-INT(K479/30))</f>
        <v/>
      </c>
      <c r="O479" s="40">
        <f>IF(N479&gt;=I479,0,ROUND(PV(H479/12,I479-N479,-L479),0))</f>
        <v/>
      </c>
      <c r="P479" s="40">
        <f>MIN(I479,M479)*L479-N479*L479</f>
        <v/>
      </c>
      <c r="Q479" s="41">
        <f>INDEX(DPD_Bucket,MATCH(K479,DPD_From,1))</f>
        <v/>
      </c>
      <c r="R479" s="41">
        <f>INDEX(DPD_Class,MATCH(K479,DPD_From,1))</f>
        <v/>
      </c>
      <c r="S479" s="41">
        <f>INDEX(DPD_NPA,MATCH(K479,DPD_From,1))</f>
        <v/>
      </c>
      <c r="T479" s="42">
        <f>INDEX(DPD_Prov,MATCH(K479,DPD_From,1))</f>
        <v/>
      </c>
      <c r="U479" s="40">
        <f>ROUND(O479*T479,0)</f>
        <v/>
      </c>
      <c r="V479" s="41">
        <f>INDEX(CIBIL_Grade,MATCH(J479,CIBIL_From,1))</f>
        <v/>
      </c>
      <c r="W479" s="41">
        <f>YEAR(F479)&amp;"-Q"&amp;ROUNDUP(MONTH(F479)/3,0)</f>
        <v/>
      </c>
      <c r="X479" s="41">
        <f>IF(AND(OR(Dashboard!$C$4="All",D479=Dashboard!$C$4),OR(Dashboard!$C$5="All",E479=Dashboard!$C$5)),1,0)</f>
        <v/>
      </c>
      <c r="Y479" s="43">
        <f>IF(AND(X479=1,S479="Yes"),O479+ROW()/1000000,0)</f>
        <v/>
      </c>
    </row>
    <row r="480">
      <c r="A480" s="35" t="inlineStr">
        <is>
          <t>LN100479</t>
        </is>
      </c>
      <c r="B480" s="35" t="inlineStr">
        <is>
          <t>Riya Gupta</t>
        </is>
      </c>
      <c r="C480" s="35" t="inlineStr">
        <is>
          <t>GUW-01</t>
        </is>
      </c>
      <c r="D480" s="36">
        <f>INDEX(Branches!$C$2:$C$15,MATCH(C480,Branches!$A$2:$A$15,0))</f>
        <v/>
      </c>
      <c r="E480" s="35" t="inlineStr">
        <is>
          <t>Personal Loan</t>
        </is>
      </c>
      <c r="F480" s="37" t="n">
        <v>45785</v>
      </c>
      <c r="G480" s="38" t="n">
        <v>1264000</v>
      </c>
      <c r="H480" s="39" t="n">
        <v>0.1736</v>
      </c>
      <c r="I480" s="35" t="n">
        <v>48</v>
      </c>
      <c r="J480" s="35" t="n">
        <v>672</v>
      </c>
      <c r="K480" s="35" t="n">
        <v>0</v>
      </c>
      <c r="L480" s="40">
        <f>ROUND(PMT(H480/12,I480,-G480),0)</f>
        <v/>
      </c>
      <c r="M480" s="41">
        <f>MAX(0,(YEAR(AsOfDate)-YEAR(F480))*12+MONTH(AsOfDate)-MONTH(F480))</f>
        <v/>
      </c>
      <c r="N480" s="41">
        <f>MAX(0,MIN(I480,M480)-INT(K480/30))</f>
        <v/>
      </c>
      <c r="O480" s="40">
        <f>IF(N480&gt;=I480,0,ROUND(PV(H480/12,I480-N480,-L480),0))</f>
        <v/>
      </c>
      <c r="P480" s="40">
        <f>MIN(I480,M480)*L480-N480*L480</f>
        <v/>
      </c>
      <c r="Q480" s="41">
        <f>INDEX(DPD_Bucket,MATCH(K480,DPD_From,1))</f>
        <v/>
      </c>
      <c r="R480" s="41">
        <f>INDEX(DPD_Class,MATCH(K480,DPD_From,1))</f>
        <v/>
      </c>
      <c r="S480" s="41">
        <f>INDEX(DPD_NPA,MATCH(K480,DPD_From,1))</f>
        <v/>
      </c>
      <c r="T480" s="42">
        <f>INDEX(DPD_Prov,MATCH(K480,DPD_From,1))</f>
        <v/>
      </c>
      <c r="U480" s="40">
        <f>ROUND(O480*T480,0)</f>
        <v/>
      </c>
      <c r="V480" s="41">
        <f>INDEX(CIBIL_Grade,MATCH(J480,CIBIL_From,1))</f>
        <v/>
      </c>
      <c r="W480" s="41">
        <f>YEAR(F480)&amp;"-Q"&amp;ROUNDUP(MONTH(F480)/3,0)</f>
        <v/>
      </c>
      <c r="X480" s="41">
        <f>IF(AND(OR(Dashboard!$C$4="All",D480=Dashboard!$C$4),OR(Dashboard!$C$5="All",E480=Dashboard!$C$5)),1,0)</f>
        <v/>
      </c>
      <c r="Y480" s="43">
        <f>IF(AND(X480=1,S480="Yes"),O480+ROW()/1000000,0)</f>
        <v/>
      </c>
    </row>
    <row r="481">
      <c r="A481" s="35" t="inlineStr">
        <is>
          <t>LN100480</t>
        </is>
      </c>
      <c r="B481" s="35" t="inlineStr">
        <is>
          <t>Tanvi Gupta</t>
        </is>
      </c>
      <c r="C481" s="35" t="inlineStr">
        <is>
          <t>LKO-01</t>
        </is>
      </c>
      <c r="D481" s="36">
        <f>INDEX(Branches!$C$2:$C$15,MATCH(C481,Branches!$A$2:$A$15,0))</f>
        <v/>
      </c>
      <c r="E481" s="35" t="inlineStr">
        <is>
          <t>Personal Loan</t>
        </is>
      </c>
      <c r="F481" s="37" t="n">
        <v>45856</v>
      </c>
      <c r="G481" s="38" t="n">
        <v>614000</v>
      </c>
      <c r="H481" s="39" t="n">
        <v>0.1051</v>
      </c>
      <c r="I481" s="35" t="n">
        <v>12</v>
      </c>
      <c r="J481" s="35" t="n">
        <v>706</v>
      </c>
      <c r="K481" s="35" t="n">
        <v>0</v>
      </c>
      <c r="L481" s="40">
        <f>ROUND(PMT(H481/12,I481,-G481),0)</f>
        <v/>
      </c>
      <c r="M481" s="41">
        <f>MAX(0,(YEAR(AsOfDate)-YEAR(F481))*12+MONTH(AsOfDate)-MONTH(F481))</f>
        <v/>
      </c>
      <c r="N481" s="41">
        <f>MAX(0,MIN(I481,M481)-INT(K481/30))</f>
        <v/>
      </c>
      <c r="O481" s="40">
        <f>IF(N481&gt;=I481,0,ROUND(PV(H481/12,I481-N481,-L481),0))</f>
        <v/>
      </c>
      <c r="P481" s="40">
        <f>MIN(I481,M481)*L481-N481*L481</f>
        <v/>
      </c>
      <c r="Q481" s="41">
        <f>INDEX(DPD_Bucket,MATCH(K481,DPD_From,1))</f>
        <v/>
      </c>
      <c r="R481" s="41">
        <f>INDEX(DPD_Class,MATCH(K481,DPD_From,1))</f>
        <v/>
      </c>
      <c r="S481" s="41">
        <f>INDEX(DPD_NPA,MATCH(K481,DPD_From,1))</f>
        <v/>
      </c>
      <c r="T481" s="42">
        <f>INDEX(DPD_Prov,MATCH(K481,DPD_From,1))</f>
        <v/>
      </c>
      <c r="U481" s="40">
        <f>ROUND(O481*T481,0)</f>
        <v/>
      </c>
      <c r="V481" s="41">
        <f>INDEX(CIBIL_Grade,MATCH(J481,CIBIL_From,1))</f>
        <v/>
      </c>
      <c r="W481" s="41">
        <f>YEAR(F481)&amp;"-Q"&amp;ROUNDUP(MONTH(F481)/3,0)</f>
        <v/>
      </c>
      <c r="X481" s="41">
        <f>IF(AND(OR(Dashboard!$C$4="All",D481=Dashboard!$C$4),OR(Dashboard!$C$5="All",E481=Dashboard!$C$5)),1,0)</f>
        <v/>
      </c>
      <c r="Y481" s="43">
        <f>IF(AND(X481=1,S481="Yes"),O481+ROW()/1000000,0)</f>
        <v/>
      </c>
    </row>
    <row r="482">
      <c r="A482" s="35" t="inlineStr">
        <is>
          <t>LN100481</t>
        </is>
      </c>
      <c r="B482" s="35" t="inlineStr">
        <is>
          <t>Suresh Mohanty</t>
        </is>
      </c>
      <c r="C482" s="35" t="inlineStr">
        <is>
          <t>PUN-01</t>
        </is>
      </c>
      <c r="D482" s="36">
        <f>INDEX(Branches!$C$2:$C$15,MATCH(C482,Branches!$A$2:$A$15,0))</f>
        <v/>
      </c>
      <c r="E482" s="35" t="inlineStr">
        <is>
          <t>Personal Loan</t>
        </is>
      </c>
      <c r="F482" s="37" t="n">
        <v>45794</v>
      </c>
      <c r="G482" s="38" t="n">
        <v>1109000</v>
      </c>
      <c r="H482" s="39" t="n">
        <v>0.1544</v>
      </c>
      <c r="I482" s="35" t="n">
        <v>48</v>
      </c>
      <c r="J482" s="35" t="n">
        <v>791</v>
      </c>
      <c r="K482" s="35" t="n">
        <v>0</v>
      </c>
      <c r="L482" s="40">
        <f>ROUND(PMT(H482/12,I482,-G482),0)</f>
        <v/>
      </c>
      <c r="M482" s="41">
        <f>MAX(0,(YEAR(AsOfDate)-YEAR(F482))*12+MONTH(AsOfDate)-MONTH(F482))</f>
        <v/>
      </c>
      <c r="N482" s="41">
        <f>MAX(0,MIN(I482,M482)-INT(K482/30))</f>
        <v/>
      </c>
      <c r="O482" s="40">
        <f>IF(N482&gt;=I482,0,ROUND(PV(H482/12,I482-N482,-L482),0))</f>
        <v/>
      </c>
      <c r="P482" s="40">
        <f>MIN(I482,M482)*L482-N482*L482</f>
        <v/>
      </c>
      <c r="Q482" s="41">
        <f>INDEX(DPD_Bucket,MATCH(K482,DPD_From,1))</f>
        <v/>
      </c>
      <c r="R482" s="41">
        <f>INDEX(DPD_Class,MATCH(K482,DPD_From,1))</f>
        <v/>
      </c>
      <c r="S482" s="41">
        <f>INDEX(DPD_NPA,MATCH(K482,DPD_From,1))</f>
        <v/>
      </c>
      <c r="T482" s="42">
        <f>INDEX(DPD_Prov,MATCH(K482,DPD_From,1))</f>
        <v/>
      </c>
      <c r="U482" s="40">
        <f>ROUND(O482*T482,0)</f>
        <v/>
      </c>
      <c r="V482" s="41">
        <f>INDEX(CIBIL_Grade,MATCH(J482,CIBIL_From,1))</f>
        <v/>
      </c>
      <c r="W482" s="41">
        <f>YEAR(F482)&amp;"-Q"&amp;ROUNDUP(MONTH(F482)/3,0)</f>
        <v/>
      </c>
      <c r="X482" s="41">
        <f>IF(AND(OR(Dashboard!$C$4="All",D482=Dashboard!$C$4),OR(Dashboard!$C$5="All",E482=Dashboard!$C$5)),1,0)</f>
        <v/>
      </c>
      <c r="Y482" s="43">
        <f>IF(AND(X482=1,S482="Yes"),O482+ROW()/1000000,0)</f>
        <v/>
      </c>
    </row>
    <row r="483">
      <c r="A483" s="35" t="inlineStr">
        <is>
          <t>LN100482</t>
        </is>
      </c>
      <c r="B483" s="35" t="inlineStr">
        <is>
          <t>Pooja Kulkarni</t>
        </is>
      </c>
      <c r="C483" s="35" t="inlineStr">
        <is>
          <t>HYD-01</t>
        </is>
      </c>
      <c r="D483" s="36">
        <f>INDEX(Branches!$C$2:$C$15,MATCH(C483,Branches!$A$2:$A$15,0))</f>
        <v/>
      </c>
      <c r="E483" s="35" t="inlineStr">
        <is>
          <t>Personal Loan</t>
        </is>
      </c>
      <c r="F483" s="37" t="n">
        <v>45785</v>
      </c>
      <c r="G483" s="38" t="n">
        <v>958000</v>
      </c>
      <c r="H483" s="39" t="n">
        <v>0.1292</v>
      </c>
      <c r="I483" s="35" t="n">
        <v>48</v>
      </c>
      <c r="J483" s="35" t="n">
        <v>683</v>
      </c>
      <c r="K483" s="35" t="n">
        <v>0</v>
      </c>
      <c r="L483" s="40">
        <f>ROUND(PMT(H483/12,I483,-G483),0)</f>
        <v/>
      </c>
      <c r="M483" s="41">
        <f>MAX(0,(YEAR(AsOfDate)-YEAR(F483))*12+MONTH(AsOfDate)-MONTH(F483))</f>
        <v/>
      </c>
      <c r="N483" s="41">
        <f>MAX(0,MIN(I483,M483)-INT(K483/30))</f>
        <v/>
      </c>
      <c r="O483" s="40">
        <f>IF(N483&gt;=I483,0,ROUND(PV(H483/12,I483-N483,-L483),0))</f>
        <v/>
      </c>
      <c r="P483" s="40">
        <f>MIN(I483,M483)*L483-N483*L483</f>
        <v/>
      </c>
      <c r="Q483" s="41">
        <f>INDEX(DPD_Bucket,MATCH(K483,DPD_From,1))</f>
        <v/>
      </c>
      <c r="R483" s="41">
        <f>INDEX(DPD_Class,MATCH(K483,DPD_From,1))</f>
        <v/>
      </c>
      <c r="S483" s="41">
        <f>INDEX(DPD_NPA,MATCH(K483,DPD_From,1))</f>
        <v/>
      </c>
      <c r="T483" s="42">
        <f>INDEX(DPD_Prov,MATCH(K483,DPD_From,1))</f>
        <v/>
      </c>
      <c r="U483" s="40">
        <f>ROUND(O483*T483,0)</f>
        <v/>
      </c>
      <c r="V483" s="41">
        <f>INDEX(CIBIL_Grade,MATCH(J483,CIBIL_From,1))</f>
        <v/>
      </c>
      <c r="W483" s="41">
        <f>YEAR(F483)&amp;"-Q"&amp;ROUNDUP(MONTH(F483)/3,0)</f>
        <v/>
      </c>
      <c r="X483" s="41">
        <f>IF(AND(OR(Dashboard!$C$4="All",D483=Dashboard!$C$4),OR(Dashboard!$C$5="All",E483=Dashboard!$C$5)),1,0)</f>
        <v/>
      </c>
      <c r="Y483" s="43">
        <f>IF(AND(X483=1,S483="Yes"),O483+ROW()/1000000,0)</f>
        <v/>
      </c>
    </row>
    <row r="484">
      <c r="A484" s="35" t="inlineStr">
        <is>
          <t>LN100483</t>
        </is>
      </c>
      <c r="B484" s="35" t="inlineStr">
        <is>
          <t>Sai Patel</t>
        </is>
      </c>
      <c r="C484" s="35" t="inlineStr">
        <is>
          <t>GUW-01</t>
        </is>
      </c>
      <c r="D484" s="36">
        <f>INDEX(Branches!$C$2:$C$15,MATCH(C484,Branches!$A$2:$A$15,0))</f>
        <v/>
      </c>
      <c r="E484" s="35" t="inlineStr">
        <is>
          <t>Personal Loan</t>
        </is>
      </c>
      <c r="F484" s="37" t="n">
        <v>45976</v>
      </c>
      <c r="G484" s="38" t="n">
        <v>144000</v>
      </c>
      <c r="H484" s="39" t="n">
        <v>0.113</v>
      </c>
      <c r="I484" s="35" t="n">
        <v>12</v>
      </c>
      <c r="J484" s="35" t="n">
        <v>714</v>
      </c>
      <c r="K484" s="35" t="n">
        <v>0</v>
      </c>
      <c r="L484" s="40">
        <f>ROUND(PMT(H484/12,I484,-G484),0)</f>
        <v/>
      </c>
      <c r="M484" s="41">
        <f>MAX(0,(YEAR(AsOfDate)-YEAR(F484))*12+MONTH(AsOfDate)-MONTH(F484))</f>
        <v/>
      </c>
      <c r="N484" s="41">
        <f>MAX(0,MIN(I484,M484)-INT(K484/30))</f>
        <v/>
      </c>
      <c r="O484" s="40">
        <f>IF(N484&gt;=I484,0,ROUND(PV(H484/12,I484-N484,-L484),0))</f>
        <v/>
      </c>
      <c r="P484" s="40">
        <f>MIN(I484,M484)*L484-N484*L484</f>
        <v/>
      </c>
      <c r="Q484" s="41">
        <f>INDEX(DPD_Bucket,MATCH(K484,DPD_From,1))</f>
        <v/>
      </c>
      <c r="R484" s="41">
        <f>INDEX(DPD_Class,MATCH(K484,DPD_From,1))</f>
        <v/>
      </c>
      <c r="S484" s="41">
        <f>INDEX(DPD_NPA,MATCH(K484,DPD_From,1))</f>
        <v/>
      </c>
      <c r="T484" s="42">
        <f>INDEX(DPD_Prov,MATCH(K484,DPD_From,1))</f>
        <v/>
      </c>
      <c r="U484" s="40">
        <f>ROUND(O484*T484,0)</f>
        <v/>
      </c>
      <c r="V484" s="41">
        <f>INDEX(CIBIL_Grade,MATCH(J484,CIBIL_From,1))</f>
        <v/>
      </c>
      <c r="W484" s="41">
        <f>YEAR(F484)&amp;"-Q"&amp;ROUNDUP(MONTH(F484)/3,0)</f>
        <v/>
      </c>
      <c r="X484" s="41">
        <f>IF(AND(OR(Dashboard!$C$4="All",D484=Dashboard!$C$4),OR(Dashboard!$C$5="All",E484=Dashboard!$C$5)),1,0)</f>
        <v/>
      </c>
      <c r="Y484" s="43">
        <f>IF(AND(X484=1,S484="Yes"),O484+ROW()/1000000,0)</f>
        <v/>
      </c>
    </row>
    <row r="485">
      <c r="A485" s="35" t="inlineStr">
        <is>
          <t>LN100484</t>
        </is>
      </c>
      <c r="B485" s="35" t="inlineStr">
        <is>
          <t>Rahul Sahoo</t>
        </is>
      </c>
      <c r="C485" s="35" t="inlineStr">
        <is>
          <t>BBS-01</t>
        </is>
      </c>
      <c r="D485" s="36">
        <f>INDEX(Branches!$C$2:$C$15,MATCH(C485,Branches!$A$2:$A$15,0))</f>
        <v/>
      </c>
      <c r="E485" s="35" t="inlineStr">
        <is>
          <t>Home Loan</t>
        </is>
      </c>
      <c r="F485" s="37" t="n">
        <v>45378</v>
      </c>
      <c r="G485" s="38" t="n">
        <v>9674000</v>
      </c>
      <c r="H485" s="39" t="n">
        <v>0.0847</v>
      </c>
      <c r="I485" s="35" t="n">
        <v>120</v>
      </c>
      <c r="J485" s="35" t="n">
        <v>732</v>
      </c>
      <c r="K485" s="35" t="n">
        <v>0</v>
      </c>
      <c r="L485" s="40">
        <f>ROUND(PMT(H485/12,I485,-G485),0)</f>
        <v/>
      </c>
      <c r="M485" s="41">
        <f>MAX(0,(YEAR(AsOfDate)-YEAR(F485))*12+MONTH(AsOfDate)-MONTH(F485))</f>
        <v/>
      </c>
      <c r="N485" s="41">
        <f>MAX(0,MIN(I485,M485)-INT(K485/30))</f>
        <v/>
      </c>
      <c r="O485" s="40">
        <f>IF(N485&gt;=I485,0,ROUND(PV(H485/12,I485-N485,-L485),0))</f>
        <v/>
      </c>
      <c r="P485" s="40">
        <f>MIN(I485,M485)*L485-N485*L485</f>
        <v/>
      </c>
      <c r="Q485" s="41">
        <f>INDEX(DPD_Bucket,MATCH(K485,DPD_From,1))</f>
        <v/>
      </c>
      <c r="R485" s="41">
        <f>INDEX(DPD_Class,MATCH(K485,DPD_From,1))</f>
        <v/>
      </c>
      <c r="S485" s="41">
        <f>INDEX(DPD_NPA,MATCH(K485,DPD_From,1))</f>
        <v/>
      </c>
      <c r="T485" s="42">
        <f>INDEX(DPD_Prov,MATCH(K485,DPD_From,1))</f>
        <v/>
      </c>
      <c r="U485" s="40">
        <f>ROUND(O485*T485,0)</f>
        <v/>
      </c>
      <c r="V485" s="41">
        <f>INDEX(CIBIL_Grade,MATCH(J485,CIBIL_From,1))</f>
        <v/>
      </c>
      <c r="W485" s="41">
        <f>YEAR(F485)&amp;"-Q"&amp;ROUNDUP(MONTH(F485)/3,0)</f>
        <v/>
      </c>
      <c r="X485" s="41">
        <f>IF(AND(OR(Dashboard!$C$4="All",D485=Dashboard!$C$4),OR(Dashboard!$C$5="All",E485=Dashboard!$C$5)),1,0)</f>
        <v/>
      </c>
      <c r="Y485" s="43">
        <f>IF(AND(X485=1,S485="Yes"),O485+ROW()/1000000,0)</f>
        <v/>
      </c>
    </row>
    <row r="486">
      <c r="A486" s="35" t="inlineStr">
        <is>
          <t>LN100485</t>
        </is>
      </c>
      <c r="B486" s="35" t="inlineStr">
        <is>
          <t>Swati Iyer</t>
        </is>
      </c>
      <c r="C486" s="35" t="inlineStr">
        <is>
          <t>DEL-01</t>
        </is>
      </c>
      <c r="D486" s="36">
        <f>INDEX(Branches!$C$2:$C$15,MATCH(C486,Branches!$A$2:$A$15,0))</f>
        <v/>
      </c>
      <c r="E486" s="35" t="inlineStr">
        <is>
          <t>Auto Loan</t>
        </is>
      </c>
      <c r="F486" s="37" t="n">
        <v>46147</v>
      </c>
      <c r="G486" s="38" t="n">
        <v>1682000</v>
      </c>
      <c r="H486" s="39" t="n">
        <v>0.09089999999999999</v>
      </c>
      <c r="I486" s="35" t="n">
        <v>36</v>
      </c>
      <c r="J486" s="35" t="n">
        <v>769</v>
      </c>
      <c r="K486" s="35" t="n">
        <v>0</v>
      </c>
      <c r="L486" s="40">
        <f>ROUND(PMT(H486/12,I486,-G486),0)</f>
        <v/>
      </c>
      <c r="M486" s="41">
        <f>MAX(0,(YEAR(AsOfDate)-YEAR(F486))*12+MONTH(AsOfDate)-MONTH(F486))</f>
        <v/>
      </c>
      <c r="N486" s="41">
        <f>MAX(0,MIN(I486,M486)-INT(K486/30))</f>
        <v/>
      </c>
      <c r="O486" s="40">
        <f>IF(N486&gt;=I486,0,ROUND(PV(H486/12,I486-N486,-L486),0))</f>
        <v/>
      </c>
      <c r="P486" s="40">
        <f>MIN(I486,M486)*L486-N486*L486</f>
        <v/>
      </c>
      <c r="Q486" s="41">
        <f>INDEX(DPD_Bucket,MATCH(K486,DPD_From,1))</f>
        <v/>
      </c>
      <c r="R486" s="41">
        <f>INDEX(DPD_Class,MATCH(K486,DPD_From,1))</f>
        <v/>
      </c>
      <c r="S486" s="41">
        <f>INDEX(DPD_NPA,MATCH(K486,DPD_From,1))</f>
        <v/>
      </c>
      <c r="T486" s="42">
        <f>INDEX(DPD_Prov,MATCH(K486,DPD_From,1))</f>
        <v/>
      </c>
      <c r="U486" s="40">
        <f>ROUND(O486*T486,0)</f>
        <v/>
      </c>
      <c r="V486" s="41">
        <f>INDEX(CIBIL_Grade,MATCH(J486,CIBIL_From,1))</f>
        <v/>
      </c>
      <c r="W486" s="41">
        <f>YEAR(F486)&amp;"-Q"&amp;ROUNDUP(MONTH(F486)/3,0)</f>
        <v/>
      </c>
      <c r="X486" s="41">
        <f>IF(AND(OR(Dashboard!$C$4="All",D486=Dashboard!$C$4),OR(Dashboard!$C$5="All",E486=Dashboard!$C$5)),1,0)</f>
        <v/>
      </c>
      <c r="Y486" s="43">
        <f>IF(AND(X486=1,S486="Yes"),O486+ROW()/1000000,0)</f>
        <v/>
      </c>
    </row>
    <row r="487">
      <c r="A487" s="35" t="inlineStr">
        <is>
          <t>LN100486</t>
        </is>
      </c>
      <c r="B487" s="35" t="inlineStr">
        <is>
          <t>Vivaan Sahoo</t>
        </is>
      </c>
      <c r="C487" s="35" t="inlineStr">
        <is>
          <t>MUM-01</t>
        </is>
      </c>
      <c r="D487" s="36">
        <f>INDEX(Branches!$C$2:$C$15,MATCH(C487,Branches!$A$2:$A$15,0))</f>
        <v/>
      </c>
      <c r="E487" s="35" t="inlineStr">
        <is>
          <t>Personal Loan</t>
        </is>
      </c>
      <c r="F487" s="37" t="n">
        <v>45418</v>
      </c>
      <c r="G487" s="38" t="n">
        <v>841000</v>
      </c>
      <c r="H487" s="39" t="n">
        <v>0.1601</v>
      </c>
      <c r="I487" s="35" t="n">
        <v>48</v>
      </c>
      <c r="J487" s="35" t="n">
        <v>719</v>
      </c>
      <c r="K487" s="35" t="n">
        <v>0</v>
      </c>
      <c r="L487" s="40">
        <f>ROUND(PMT(H487/12,I487,-G487),0)</f>
        <v/>
      </c>
      <c r="M487" s="41">
        <f>MAX(0,(YEAR(AsOfDate)-YEAR(F487))*12+MONTH(AsOfDate)-MONTH(F487))</f>
        <v/>
      </c>
      <c r="N487" s="41">
        <f>MAX(0,MIN(I487,M487)-INT(K487/30))</f>
        <v/>
      </c>
      <c r="O487" s="40">
        <f>IF(N487&gt;=I487,0,ROUND(PV(H487/12,I487-N487,-L487),0))</f>
        <v/>
      </c>
      <c r="P487" s="40">
        <f>MIN(I487,M487)*L487-N487*L487</f>
        <v/>
      </c>
      <c r="Q487" s="41">
        <f>INDEX(DPD_Bucket,MATCH(K487,DPD_From,1))</f>
        <v/>
      </c>
      <c r="R487" s="41">
        <f>INDEX(DPD_Class,MATCH(K487,DPD_From,1))</f>
        <v/>
      </c>
      <c r="S487" s="41">
        <f>INDEX(DPD_NPA,MATCH(K487,DPD_From,1))</f>
        <v/>
      </c>
      <c r="T487" s="42">
        <f>INDEX(DPD_Prov,MATCH(K487,DPD_From,1))</f>
        <v/>
      </c>
      <c r="U487" s="40">
        <f>ROUND(O487*T487,0)</f>
        <v/>
      </c>
      <c r="V487" s="41">
        <f>INDEX(CIBIL_Grade,MATCH(J487,CIBIL_From,1))</f>
        <v/>
      </c>
      <c r="W487" s="41">
        <f>YEAR(F487)&amp;"-Q"&amp;ROUNDUP(MONTH(F487)/3,0)</f>
        <v/>
      </c>
      <c r="X487" s="41">
        <f>IF(AND(OR(Dashboard!$C$4="All",D487=Dashboard!$C$4),OR(Dashboard!$C$5="All",E487=Dashboard!$C$5)),1,0)</f>
        <v/>
      </c>
      <c r="Y487" s="43">
        <f>IF(AND(X487=1,S487="Yes"),O487+ROW()/1000000,0)</f>
        <v/>
      </c>
    </row>
    <row r="488">
      <c r="A488" s="35" t="inlineStr">
        <is>
          <t>LN100487</t>
        </is>
      </c>
      <c r="B488" s="35" t="inlineStr">
        <is>
          <t>Rohan Banerjee</t>
        </is>
      </c>
      <c r="C488" s="35" t="inlineStr">
        <is>
          <t>KOC-01</t>
        </is>
      </c>
      <c r="D488" s="36">
        <f>INDEX(Branches!$C$2:$C$15,MATCH(C488,Branches!$A$2:$A$15,0))</f>
        <v/>
      </c>
      <c r="E488" s="35" t="inlineStr">
        <is>
          <t>Business Loan</t>
        </is>
      </c>
      <c r="F488" s="37" t="n">
        <v>45731</v>
      </c>
      <c r="G488" s="38" t="n">
        <v>1369000</v>
      </c>
      <c r="H488" s="39" t="n">
        <v>0.176</v>
      </c>
      <c r="I488" s="35" t="n">
        <v>12</v>
      </c>
      <c r="J488" s="35" t="n">
        <v>759</v>
      </c>
      <c r="K488" s="35" t="n">
        <v>0</v>
      </c>
      <c r="L488" s="40">
        <f>ROUND(PMT(H488/12,I488,-G488),0)</f>
        <v/>
      </c>
      <c r="M488" s="41">
        <f>MAX(0,(YEAR(AsOfDate)-YEAR(F488))*12+MONTH(AsOfDate)-MONTH(F488))</f>
        <v/>
      </c>
      <c r="N488" s="41">
        <f>MAX(0,MIN(I488,M488)-INT(K488/30))</f>
        <v/>
      </c>
      <c r="O488" s="40">
        <f>IF(N488&gt;=I488,0,ROUND(PV(H488/12,I488-N488,-L488),0))</f>
        <v/>
      </c>
      <c r="P488" s="40">
        <f>MIN(I488,M488)*L488-N488*L488</f>
        <v/>
      </c>
      <c r="Q488" s="41">
        <f>INDEX(DPD_Bucket,MATCH(K488,DPD_From,1))</f>
        <v/>
      </c>
      <c r="R488" s="41">
        <f>INDEX(DPD_Class,MATCH(K488,DPD_From,1))</f>
        <v/>
      </c>
      <c r="S488" s="41">
        <f>INDEX(DPD_NPA,MATCH(K488,DPD_From,1))</f>
        <v/>
      </c>
      <c r="T488" s="42">
        <f>INDEX(DPD_Prov,MATCH(K488,DPD_From,1))</f>
        <v/>
      </c>
      <c r="U488" s="40">
        <f>ROUND(O488*T488,0)</f>
        <v/>
      </c>
      <c r="V488" s="41">
        <f>INDEX(CIBIL_Grade,MATCH(J488,CIBIL_From,1))</f>
        <v/>
      </c>
      <c r="W488" s="41">
        <f>YEAR(F488)&amp;"-Q"&amp;ROUNDUP(MONTH(F488)/3,0)</f>
        <v/>
      </c>
      <c r="X488" s="41">
        <f>IF(AND(OR(Dashboard!$C$4="All",D488=Dashboard!$C$4),OR(Dashboard!$C$5="All",E488=Dashboard!$C$5)),1,0)</f>
        <v/>
      </c>
      <c r="Y488" s="43">
        <f>IF(AND(X488=1,S488="Yes"),O488+ROW()/1000000,0)</f>
        <v/>
      </c>
    </row>
    <row r="489">
      <c r="A489" s="35" t="inlineStr">
        <is>
          <t>LN100488</t>
        </is>
      </c>
      <c r="B489" s="35" t="inlineStr">
        <is>
          <t>Manish Mishra</t>
        </is>
      </c>
      <c r="C489" s="35" t="inlineStr">
        <is>
          <t>PUN-01</t>
        </is>
      </c>
      <c r="D489" s="36">
        <f>INDEX(Branches!$C$2:$C$15,MATCH(C489,Branches!$A$2:$A$15,0))</f>
        <v/>
      </c>
      <c r="E489" s="35" t="inlineStr">
        <is>
          <t>Personal Loan</t>
        </is>
      </c>
      <c r="F489" s="37" t="n">
        <v>45323</v>
      </c>
      <c r="G489" s="38" t="n">
        <v>1044000</v>
      </c>
      <c r="H489" s="39" t="n">
        <v>0.1577</v>
      </c>
      <c r="I489" s="35" t="n">
        <v>24</v>
      </c>
      <c r="J489" s="35" t="n">
        <v>728</v>
      </c>
      <c r="K489" s="35" t="n">
        <v>0</v>
      </c>
      <c r="L489" s="40">
        <f>ROUND(PMT(H489/12,I489,-G489),0)</f>
        <v/>
      </c>
      <c r="M489" s="41">
        <f>MAX(0,(YEAR(AsOfDate)-YEAR(F489))*12+MONTH(AsOfDate)-MONTH(F489))</f>
        <v/>
      </c>
      <c r="N489" s="41">
        <f>MAX(0,MIN(I489,M489)-INT(K489/30))</f>
        <v/>
      </c>
      <c r="O489" s="40">
        <f>IF(N489&gt;=I489,0,ROUND(PV(H489/12,I489-N489,-L489),0))</f>
        <v/>
      </c>
      <c r="P489" s="40">
        <f>MIN(I489,M489)*L489-N489*L489</f>
        <v/>
      </c>
      <c r="Q489" s="41">
        <f>INDEX(DPD_Bucket,MATCH(K489,DPD_From,1))</f>
        <v/>
      </c>
      <c r="R489" s="41">
        <f>INDEX(DPD_Class,MATCH(K489,DPD_From,1))</f>
        <v/>
      </c>
      <c r="S489" s="41">
        <f>INDEX(DPD_NPA,MATCH(K489,DPD_From,1))</f>
        <v/>
      </c>
      <c r="T489" s="42">
        <f>INDEX(DPD_Prov,MATCH(K489,DPD_From,1))</f>
        <v/>
      </c>
      <c r="U489" s="40">
        <f>ROUND(O489*T489,0)</f>
        <v/>
      </c>
      <c r="V489" s="41">
        <f>INDEX(CIBIL_Grade,MATCH(J489,CIBIL_From,1))</f>
        <v/>
      </c>
      <c r="W489" s="41">
        <f>YEAR(F489)&amp;"-Q"&amp;ROUNDUP(MONTH(F489)/3,0)</f>
        <v/>
      </c>
      <c r="X489" s="41">
        <f>IF(AND(OR(Dashboard!$C$4="All",D489=Dashboard!$C$4),OR(Dashboard!$C$5="All",E489=Dashboard!$C$5)),1,0)</f>
        <v/>
      </c>
      <c r="Y489" s="43">
        <f>IF(AND(X489=1,S489="Yes"),O489+ROW()/1000000,0)</f>
        <v/>
      </c>
    </row>
    <row r="490">
      <c r="A490" s="35" t="inlineStr">
        <is>
          <t>LN100489</t>
        </is>
      </c>
      <c r="B490" s="35" t="inlineStr">
        <is>
          <t>Deepa Patel</t>
        </is>
      </c>
      <c r="C490" s="35" t="inlineStr">
        <is>
          <t>LKO-01</t>
        </is>
      </c>
      <c r="D490" s="36">
        <f>INDEX(Branches!$C$2:$C$15,MATCH(C490,Branches!$A$2:$A$15,0))</f>
        <v/>
      </c>
      <c r="E490" s="35" t="inlineStr">
        <is>
          <t>Personal Loan</t>
        </is>
      </c>
      <c r="F490" s="37" t="n">
        <v>45832</v>
      </c>
      <c r="G490" s="38" t="n">
        <v>1498000</v>
      </c>
      <c r="H490" s="39" t="n">
        <v>0.1382</v>
      </c>
      <c r="I490" s="35" t="n">
        <v>12</v>
      </c>
      <c r="J490" s="35" t="n">
        <v>753</v>
      </c>
      <c r="K490" s="35" t="n">
        <v>0</v>
      </c>
      <c r="L490" s="40">
        <f>ROUND(PMT(H490/12,I490,-G490),0)</f>
        <v/>
      </c>
      <c r="M490" s="41">
        <f>MAX(0,(YEAR(AsOfDate)-YEAR(F490))*12+MONTH(AsOfDate)-MONTH(F490))</f>
        <v/>
      </c>
      <c r="N490" s="41">
        <f>MAX(0,MIN(I490,M490)-INT(K490/30))</f>
        <v/>
      </c>
      <c r="O490" s="40">
        <f>IF(N490&gt;=I490,0,ROUND(PV(H490/12,I490-N490,-L490),0))</f>
        <v/>
      </c>
      <c r="P490" s="40">
        <f>MIN(I490,M490)*L490-N490*L490</f>
        <v/>
      </c>
      <c r="Q490" s="41">
        <f>INDEX(DPD_Bucket,MATCH(K490,DPD_From,1))</f>
        <v/>
      </c>
      <c r="R490" s="41">
        <f>INDEX(DPD_Class,MATCH(K490,DPD_From,1))</f>
        <v/>
      </c>
      <c r="S490" s="41">
        <f>INDEX(DPD_NPA,MATCH(K490,DPD_From,1))</f>
        <v/>
      </c>
      <c r="T490" s="42">
        <f>INDEX(DPD_Prov,MATCH(K490,DPD_From,1))</f>
        <v/>
      </c>
      <c r="U490" s="40">
        <f>ROUND(O490*T490,0)</f>
        <v/>
      </c>
      <c r="V490" s="41">
        <f>INDEX(CIBIL_Grade,MATCH(J490,CIBIL_From,1))</f>
        <v/>
      </c>
      <c r="W490" s="41">
        <f>YEAR(F490)&amp;"-Q"&amp;ROUNDUP(MONTH(F490)/3,0)</f>
        <v/>
      </c>
      <c r="X490" s="41">
        <f>IF(AND(OR(Dashboard!$C$4="All",D490=Dashboard!$C$4),OR(Dashboard!$C$5="All",E490=Dashboard!$C$5)),1,0)</f>
        <v/>
      </c>
      <c r="Y490" s="43">
        <f>IF(AND(X490=1,S490="Yes"),O490+ROW()/1000000,0)</f>
        <v/>
      </c>
    </row>
    <row r="491">
      <c r="A491" s="35" t="inlineStr">
        <is>
          <t>LN100490</t>
        </is>
      </c>
      <c r="B491" s="35" t="inlineStr">
        <is>
          <t>Meera Khan</t>
        </is>
      </c>
      <c r="C491" s="35" t="inlineStr">
        <is>
          <t>GUW-01</t>
        </is>
      </c>
      <c r="D491" s="36">
        <f>INDEX(Branches!$C$2:$C$15,MATCH(C491,Branches!$A$2:$A$15,0))</f>
        <v/>
      </c>
      <c r="E491" s="35" t="inlineStr">
        <is>
          <t>Auto Loan</t>
        </is>
      </c>
      <c r="F491" s="37" t="n">
        <v>45509</v>
      </c>
      <c r="G491" s="38" t="n">
        <v>1561000</v>
      </c>
      <c r="H491" s="39" t="n">
        <v>0.1079</v>
      </c>
      <c r="I491" s="35" t="n">
        <v>60</v>
      </c>
      <c r="J491" s="35" t="n">
        <v>667</v>
      </c>
      <c r="K491" s="35" t="n">
        <v>0</v>
      </c>
      <c r="L491" s="40">
        <f>ROUND(PMT(H491/12,I491,-G491),0)</f>
        <v/>
      </c>
      <c r="M491" s="41">
        <f>MAX(0,(YEAR(AsOfDate)-YEAR(F491))*12+MONTH(AsOfDate)-MONTH(F491))</f>
        <v/>
      </c>
      <c r="N491" s="41">
        <f>MAX(0,MIN(I491,M491)-INT(K491/30))</f>
        <v/>
      </c>
      <c r="O491" s="40">
        <f>IF(N491&gt;=I491,0,ROUND(PV(H491/12,I491-N491,-L491),0))</f>
        <v/>
      </c>
      <c r="P491" s="40">
        <f>MIN(I491,M491)*L491-N491*L491</f>
        <v/>
      </c>
      <c r="Q491" s="41">
        <f>INDEX(DPD_Bucket,MATCH(K491,DPD_From,1))</f>
        <v/>
      </c>
      <c r="R491" s="41">
        <f>INDEX(DPD_Class,MATCH(K491,DPD_From,1))</f>
        <v/>
      </c>
      <c r="S491" s="41">
        <f>INDEX(DPD_NPA,MATCH(K491,DPD_From,1))</f>
        <v/>
      </c>
      <c r="T491" s="42">
        <f>INDEX(DPD_Prov,MATCH(K491,DPD_From,1))</f>
        <v/>
      </c>
      <c r="U491" s="40">
        <f>ROUND(O491*T491,0)</f>
        <v/>
      </c>
      <c r="V491" s="41">
        <f>INDEX(CIBIL_Grade,MATCH(J491,CIBIL_From,1))</f>
        <v/>
      </c>
      <c r="W491" s="41">
        <f>YEAR(F491)&amp;"-Q"&amp;ROUNDUP(MONTH(F491)/3,0)</f>
        <v/>
      </c>
      <c r="X491" s="41">
        <f>IF(AND(OR(Dashboard!$C$4="All",D491=Dashboard!$C$4),OR(Dashboard!$C$5="All",E491=Dashboard!$C$5)),1,0)</f>
        <v/>
      </c>
      <c r="Y491" s="43">
        <f>IF(AND(X491=1,S491="Yes"),O491+ROW()/1000000,0)</f>
        <v/>
      </c>
    </row>
    <row r="492">
      <c r="A492" s="35" t="inlineStr">
        <is>
          <t>LN100491</t>
        </is>
      </c>
      <c r="B492" s="35" t="inlineStr">
        <is>
          <t>Riya Joshi</t>
        </is>
      </c>
      <c r="C492" s="35" t="inlineStr">
        <is>
          <t>AMD-01</t>
        </is>
      </c>
      <c r="D492" s="36">
        <f>INDEX(Branches!$C$2:$C$15,MATCH(C492,Branches!$A$2:$A$15,0))</f>
        <v/>
      </c>
      <c r="E492" s="35" t="inlineStr">
        <is>
          <t>Personal Loan</t>
        </is>
      </c>
      <c r="F492" s="37" t="n">
        <v>45405</v>
      </c>
      <c r="G492" s="38" t="n">
        <v>100000</v>
      </c>
      <c r="H492" s="39" t="n">
        <v>0.1076</v>
      </c>
      <c r="I492" s="35" t="n">
        <v>24</v>
      </c>
      <c r="J492" s="35" t="n">
        <v>747</v>
      </c>
      <c r="K492" s="35" t="n">
        <v>0</v>
      </c>
      <c r="L492" s="40">
        <f>ROUND(PMT(H492/12,I492,-G492),0)</f>
        <v/>
      </c>
      <c r="M492" s="41">
        <f>MAX(0,(YEAR(AsOfDate)-YEAR(F492))*12+MONTH(AsOfDate)-MONTH(F492))</f>
        <v/>
      </c>
      <c r="N492" s="41">
        <f>MAX(0,MIN(I492,M492)-INT(K492/30))</f>
        <v/>
      </c>
      <c r="O492" s="40">
        <f>IF(N492&gt;=I492,0,ROUND(PV(H492/12,I492-N492,-L492),0))</f>
        <v/>
      </c>
      <c r="P492" s="40">
        <f>MIN(I492,M492)*L492-N492*L492</f>
        <v/>
      </c>
      <c r="Q492" s="41">
        <f>INDEX(DPD_Bucket,MATCH(K492,DPD_From,1))</f>
        <v/>
      </c>
      <c r="R492" s="41">
        <f>INDEX(DPD_Class,MATCH(K492,DPD_From,1))</f>
        <v/>
      </c>
      <c r="S492" s="41">
        <f>INDEX(DPD_NPA,MATCH(K492,DPD_From,1))</f>
        <v/>
      </c>
      <c r="T492" s="42">
        <f>INDEX(DPD_Prov,MATCH(K492,DPD_From,1))</f>
        <v/>
      </c>
      <c r="U492" s="40">
        <f>ROUND(O492*T492,0)</f>
        <v/>
      </c>
      <c r="V492" s="41">
        <f>INDEX(CIBIL_Grade,MATCH(J492,CIBIL_From,1))</f>
        <v/>
      </c>
      <c r="W492" s="41">
        <f>YEAR(F492)&amp;"-Q"&amp;ROUNDUP(MONTH(F492)/3,0)</f>
        <v/>
      </c>
      <c r="X492" s="41">
        <f>IF(AND(OR(Dashboard!$C$4="All",D492=Dashboard!$C$4),OR(Dashboard!$C$5="All",E492=Dashboard!$C$5)),1,0)</f>
        <v/>
      </c>
      <c r="Y492" s="43">
        <f>IF(AND(X492=1,S492="Yes"),O492+ROW()/1000000,0)</f>
        <v/>
      </c>
    </row>
    <row r="493">
      <c r="A493" s="35" t="inlineStr">
        <is>
          <t>LN100492</t>
        </is>
      </c>
      <c r="B493" s="35" t="inlineStr">
        <is>
          <t>Manish Gupta</t>
        </is>
      </c>
      <c r="C493" s="35" t="inlineStr">
        <is>
          <t>LKO-01</t>
        </is>
      </c>
      <c r="D493" s="36">
        <f>INDEX(Branches!$C$2:$C$15,MATCH(C493,Branches!$A$2:$A$15,0))</f>
        <v/>
      </c>
      <c r="E493" s="35" t="inlineStr">
        <is>
          <t>Auto Loan</t>
        </is>
      </c>
      <c r="F493" s="37" t="n">
        <v>45113</v>
      </c>
      <c r="G493" s="38" t="n">
        <v>1218000</v>
      </c>
      <c r="H493" s="39" t="n">
        <v>0.1067</v>
      </c>
      <c r="I493" s="35" t="n">
        <v>36</v>
      </c>
      <c r="J493" s="35" t="n">
        <v>610</v>
      </c>
      <c r="K493" s="35" t="n">
        <v>29</v>
      </c>
      <c r="L493" s="40">
        <f>ROUND(PMT(H493/12,I493,-G493),0)</f>
        <v/>
      </c>
      <c r="M493" s="41">
        <f>MAX(0,(YEAR(AsOfDate)-YEAR(F493))*12+MONTH(AsOfDate)-MONTH(F493))</f>
        <v/>
      </c>
      <c r="N493" s="41">
        <f>MAX(0,MIN(I493,M493)-INT(K493/30))</f>
        <v/>
      </c>
      <c r="O493" s="40">
        <f>IF(N493&gt;=I493,0,ROUND(PV(H493/12,I493-N493,-L493),0))</f>
        <v/>
      </c>
      <c r="P493" s="40">
        <f>MIN(I493,M493)*L493-N493*L493</f>
        <v/>
      </c>
      <c r="Q493" s="41">
        <f>INDEX(DPD_Bucket,MATCH(K493,DPD_From,1))</f>
        <v/>
      </c>
      <c r="R493" s="41">
        <f>INDEX(DPD_Class,MATCH(K493,DPD_From,1))</f>
        <v/>
      </c>
      <c r="S493" s="41">
        <f>INDEX(DPD_NPA,MATCH(K493,DPD_From,1))</f>
        <v/>
      </c>
      <c r="T493" s="42">
        <f>INDEX(DPD_Prov,MATCH(K493,DPD_From,1))</f>
        <v/>
      </c>
      <c r="U493" s="40">
        <f>ROUND(O493*T493,0)</f>
        <v/>
      </c>
      <c r="V493" s="41">
        <f>INDEX(CIBIL_Grade,MATCH(J493,CIBIL_From,1))</f>
        <v/>
      </c>
      <c r="W493" s="41">
        <f>YEAR(F493)&amp;"-Q"&amp;ROUNDUP(MONTH(F493)/3,0)</f>
        <v/>
      </c>
      <c r="X493" s="41">
        <f>IF(AND(OR(Dashboard!$C$4="All",D493=Dashboard!$C$4),OR(Dashboard!$C$5="All",E493=Dashboard!$C$5)),1,0)</f>
        <v/>
      </c>
      <c r="Y493" s="43">
        <f>IF(AND(X493=1,S493="Yes"),O493+ROW()/1000000,0)</f>
        <v/>
      </c>
    </row>
    <row r="494">
      <c r="A494" s="35" t="inlineStr">
        <is>
          <t>LN100493</t>
        </is>
      </c>
      <c r="B494" s="35" t="inlineStr">
        <is>
          <t>Swati Mishra</t>
        </is>
      </c>
      <c r="C494" s="35" t="inlineStr">
        <is>
          <t>KOC-01</t>
        </is>
      </c>
      <c r="D494" s="36">
        <f>INDEX(Branches!$C$2:$C$15,MATCH(C494,Branches!$A$2:$A$15,0))</f>
        <v/>
      </c>
      <c r="E494" s="35" t="inlineStr">
        <is>
          <t>Personal Loan</t>
        </is>
      </c>
      <c r="F494" s="37" t="n">
        <v>46096</v>
      </c>
      <c r="G494" s="38" t="n">
        <v>426000</v>
      </c>
      <c r="H494" s="39" t="n">
        <v>0.1658</v>
      </c>
      <c r="I494" s="35" t="n">
        <v>12</v>
      </c>
      <c r="J494" s="35" t="n">
        <v>703</v>
      </c>
      <c r="K494" s="35" t="n">
        <v>0</v>
      </c>
      <c r="L494" s="40">
        <f>ROUND(PMT(H494/12,I494,-G494),0)</f>
        <v/>
      </c>
      <c r="M494" s="41">
        <f>MAX(0,(YEAR(AsOfDate)-YEAR(F494))*12+MONTH(AsOfDate)-MONTH(F494))</f>
        <v/>
      </c>
      <c r="N494" s="41">
        <f>MAX(0,MIN(I494,M494)-INT(K494/30))</f>
        <v/>
      </c>
      <c r="O494" s="40">
        <f>IF(N494&gt;=I494,0,ROUND(PV(H494/12,I494-N494,-L494),0))</f>
        <v/>
      </c>
      <c r="P494" s="40">
        <f>MIN(I494,M494)*L494-N494*L494</f>
        <v/>
      </c>
      <c r="Q494" s="41">
        <f>INDEX(DPD_Bucket,MATCH(K494,DPD_From,1))</f>
        <v/>
      </c>
      <c r="R494" s="41">
        <f>INDEX(DPD_Class,MATCH(K494,DPD_From,1))</f>
        <v/>
      </c>
      <c r="S494" s="41">
        <f>INDEX(DPD_NPA,MATCH(K494,DPD_From,1))</f>
        <v/>
      </c>
      <c r="T494" s="42">
        <f>INDEX(DPD_Prov,MATCH(K494,DPD_From,1))</f>
        <v/>
      </c>
      <c r="U494" s="40">
        <f>ROUND(O494*T494,0)</f>
        <v/>
      </c>
      <c r="V494" s="41">
        <f>INDEX(CIBIL_Grade,MATCH(J494,CIBIL_From,1))</f>
        <v/>
      </c>
      <c r="W494" s="41">
        <f>YEAR(F494)&amp;"-Q"&amp;ROUNDUP(MONTH(F494)/3,0)</f>
        <v/>
      </c>
      <c r="X494" s="41">
        <f>IF(AND(OR(Dashboard!$C$4="All",D494=Dashboard!$C$4),OR(Dashboard!$C$5="All",E494=Dashboard!$C$5)),1,0)</f>
        <v/>
      </c>
      <c r="Y494" s="43">
        <f>IF(AND(X494=1,S494="Yes"),O494+ROW()/1000000,0)</f>
        <v/>
      </c>
    </row>
    <row r="495">
      <c r="A495" s="35" t="inlineStr">
        <is>
          <t>LN100494</t>
        </is>
      </c>
      <c r="B495" s="35" t="inlineStr">
        <is>
          <t>Zoya Rao</t>
        </is>
      </c>
      <c r="C495" s="35" t="inlineStr">
        <is>
          <t>PAT-01</t>
        </is>
      </c>
      <c r="D495" s="36">
        <f>INDEX(Branches!$C$2:$C$15,MATCH(C495,Branches!$A$2:$A$15,0))</f>
        <v/>
      </c>
      <c r="E495" s="35" t="inlineStr">
        <is>
          <t>Home Loan</t>
        </is>
      </c>
      <c r="F495" s="37" t="n">
        <v>45728</v>
      </c>
      <c r="G495" s="38" t="n">
        <v>8273000</v>
      </c>
      <c r="H495" s="39" t="n">
        <v>0.09080000000000001</v>
      </c>
      <c r="I495" s="35" t="n">
        <v>180</v>
      </c>
      <c r="J495" s="35" t="n">
        <v>742</v>
      </c>
      <c r="K495" s="35" t="n">
        <v>0</v>
      </c>
      <c r="L495" s="40">
        <f>ROUND(PMT(H495/12,I495,-G495),0)</f>
        <v/>
      </c>
      <c r="M495" s="41">
        <f>MAX(0,(YEAR(AsOfDate)-YEAR(F495))*12+MONTH(AsOfDate)-MONTH(F495))</f>
        <v/>
      </c>
      <c r="N495" s="41">
        <f>MAX(0,MIN(I495,M495)-INT(K495/30))</f>
        <v/>
      </c>
      <c r="O495" s="40">
        <f>IF(N495&gt;=I495,0,ROUND(PV(H495/12,I495-N495,-L495),0))</f>
        <v/>
      </c>
      <c r="P495" s="40">
        <f>MIN(I495,M495)*L495-N495*L495</f>
        <v/>
      </c>
      <c r="Q495" s="41">
        <f>INDEX(DPD_Bucket,MATCH(K495,DPD_From,1))</f>
        <v/>
      </c>
      <c r="R495" s="41">
        <f>INDEX(DPD_Class,MATCH(K495,DPD_From,1))</f>
        <v/>
      </c>
      <c r="S495" s="41">
        <f>INDEX(DPD_NPA,MATCH(K495,DPD_From,1))</f>
        <v/>
      </c>
      <c r="T495" s="42">
        <f>INDEX(DPD_Prov,MATCH(K495,DPD_From,1))</f>
        <v/>
      </c>
      <c r="U495" s="40">
        <f>ROUND(O495*T495,0)</f>
        <v/>
      </c>
      <c r="V495" s="41">
        <f>INDEX(CIBIL_Grade,MATCH(J495,CIBIL_From,1))</f>
        <v/>
      </c>
      <c r="W495" s="41">
        <f>YEAR(F495)&amp;"-Q"&amp;ROUNDUP(MONTH(F495)/3,0)</f>
        <v/>
      </c>
      <c r="X495" s="41">
        <f>IF(AND(OR(Dashboard!$C$4="All",D495=Dashboard!$C$4),OR(Dashboard!$C$5="All",E495=Dashboard!$C$5)),1,0)</f>
        <v/>
      </c>
      <c r="Y495" s="43">
        <f>IF(AND(X495=1,S495="Yes"),O495+ROW()/1000000,0)</f>
        <v/>
      </c>
    </row>
    <row r="496">
      <c r="A496" s="35" t="inlineStr">
        <is>
          <t>LN100495</t>
        </is>
      </c>
      <c r="B496" s="35" t="inlineStr">
        <is>
          <t>Manish Verma</t>
        </is>
      </c>
      <c r="C496" s="35" t="inlineStr">
        <is>
          <t>PAT-01</t>
        </is>
      </c>
      <c r="D496" s="36">
        <f>INDEX(Branches!$C$2:$C$15,MATCH(C496,Branches!$A$2:$A$15,0))</f>
        <v/>
      </c>
      <c r="E496" s="35" t="inlineStr">
        <is>
          <t>Gold Loan</t>
        </is>
      </c>
      <c r="F496" s="37" t="n">
        <v>45558</v>
      </c>
      <c r="G496" s="38" t="n">
        <v>200000</v>
      </c>
      <c r="H496" s="39" t="n">
        <v>0.1164</v>
      </c>
      <c r="I496" s="35" t="n">
        <v>6</v>
      </c>
      <c r="J496" s="35" t="n">
        <v>832</v>
      </c>
      <c r="K496" s="35" t="n">
        <v>0</v>
      </c>
      <c r="L496" s="40">
        <f>ROUND(PMT(H496/12,I496,-G496),0)</f>
        <v/>
      </c>
      <c r="M496" s="41">
        <f>MAX(0,(YEAR(AsOfDate)-YEAR(F496))*12+MONTH(AsOfDate)-MONTH(F496))</f>
        <v/>
      </c>
      <c r="N496" s="41">
        <f>MAX(0,MIN(I496,M496)-INT(K496/30))</f>
        <v/>
      </c>
      <c r="O496" s="40">
        <f>IF(N496&gt;=I496,0,ROUND(PV(H496/12,I496-N496,-L496),0))</f>
        <v/>
      </c>
      <c r="P496" s="40">
        <f>MIN(I496,M496)*L496-N496*L496</f>
        <v/>
      </c>
      <c r="Q496" s="41">
        <f>INDEX(DPD_Bucket,MATCH(K496,DPD_From,1))</f>
        <v/>
      </c>
      <c r="R496" s="41">
        <f>INDEX(DPD_Class,MATCH(K496,DPD_From,1))</f>
        <v/>
      </c>
      <c r="S496" s="41">
        <f>INDEX(DPD_NPA,MATCH(K496,DPD_From,1))</f>
        <v/>
      </c>
      <c r="T496" s="42">
        <f>INDEX(DPD_Prov,MATCH(K496,DPD_From,1))</f>
        <v/>
      </c>
      <c r="U496" s="40">
        <f>ROUND(O496*T496,0)</f>
        <v/>
      </c>
      <c r="V496" s="41">
        <f>INDEX(CIBIL_Grade,MATCH(J496,CIBIL_From,1))</f>
        <v/>
      </c>
      <c r="W496" s="41">
        <f>YEAR(F496)&amp;"-Q"&amp;ROUNDUP(MONTH(F496)/3,0)</f>
        <v/>
      </c>
      <c r="X496" s="41">
        <f>IF(AND(OR(Dashboard!$C$4="All",D496=Dashboard!$C$4),OR(Dashboard!$C$5="All",E496=Dashboard!$C$5)),1,0)</f>
        <v/>
      </c>
      <c r="Y496" s="43">
        <f>IF(AND(X496=1,S496="Yes"),O496+ROW()/1000000,0)</f>
        <v/>
      </c>
    </row>
    <row r="497">
      <c r="A497" s="35" t="inlineStr">
        <is>
          <t>LN100496</t>
        </is>
      </c>
      <c r="B497" s="35" t="inlineStr">
        <is>
          <t>Gaurav Sahoo</t>
        </is>
      </c>
      <c r="C497" s="35" t="inlineStr">
        <is>
          <t>BLR-01</t>
        </is>
      </c>
      <c r="D497" s="36">
        <f>INDEX(Branches!$C$2:$C$15,MATCH(C497,Branches!$A$2:$A$15,0))</f>
        <v/>
      </c>
      <c r="E497" s="35" t="inlineStr">
        <is>
          <t>Personal Loan</t>
        </is>
      </c>
      <c r="F497" s="37" t="n">
        <v>45709</v>
      </c>
      <c r="G497" s="38" t="n">
        <v>987000</v>
      </c>
      <c r="H497" s="39" t="n">
        <v>0.1524</v>
      </c>
      <c r="I497" s="35" t="n">
        <v>12</v>
      </c>
      <c r="J497" s="35" t="n">
        <v>758</v>
      </c>
      <c r="K497" s="35" t="n">
        <v>0</v>
      </c>
      <c r="L497" s="40">
        <f>ROUND(PMT(H497/12,I497,-G497),0)</f>
        <v/>
      </c>
      <c r="M497" s="41">
        <f>MAX(0,(YEAR(AsOfDate)-YEAR(F497))*12+MONTH(AsOfDate)-MONTH(F497))</f>
        <v/>
      </c>
      <c r="N497" s="41">
        <f>MAX(0,MIN(I497,M497)-INT(K497/30))</f>
        <v/>
      </c>
      <c r="O497" s="40">
        <f>IF(N497&gt;=I497,0,ROUND(PV(H497/12,I497-N497,-L497),0))</f>
        <v/>
      </c>
      <c r="P497" s="40">
        <f>MIN(I497,M497)*L497-N497*L497</f>
        <v/>
      </c>
      <c r="Q497" s="41">
        <f>INDEX(DPD_Bucket,MATCH(K497,DPD_From,1))</f>
        <v/>
      </c>
      <c r="R497" s="41">
        <f>INDEX(DPD_Class,MATCH(K497,DPD_From,1))</f>
        <v/>
      </c>
      <c r="S497" s="41">
        <f>INDEX(DPD_NPA,MATCH(K497,DPD_From,1))</f>
        <v/>
      </c>
      <c r="T497" s="42">
        <f>INDEX(DPD_Prov,MATCH(K497,DPD_From,1))</f>
        <v/>
      </c>
      <c r="U497" s="40">
        <f>ROUND(O497*T497,0)</f>
        <v/>
      </c>
      <c r="V497" s="41">
        <f>INDEX(CIBIL_Grade,MATCH(J497,CIBIL_From,1))</f>
        <v/>
      </c>
      <c r="W497" s="41">
        <f>YEAR(F497)&amp;"-Q"&amp;ROUNDUP(MONTH(F497)/3,0)</f>
        <v/>
      </c>
      <c r="X497" s="41">
        <f>IF(AND(OR(Dashboard!$C$4="All",D497=Dashboard!$C$4),OR(Dashboard!$C$5="All",E497=Dashboard!$C$5)),1,0)</f>
        <v/>
      </c>
      <c r="Y497" s="43">
        <f>IF(AND(X497=1,S497="Yes"),O497+ROW()/1000000,0)</f>
        <v/>
      </c>
    </row>
    <row r="498">
      <c r="A498" s="35" t="inlineStr">
        <is>
          <t>LN100497</t>
        </is>
      </c>
      <c r="B498" s="35" t="inlineStr">
        <is>
          <t>Farhan Mohanty</t>
        </is>
      </c>
      <c r="C498" s="35" t="inlineStr">
        <is>
          <t>HYD-01</t>
        </is>
      </c>
      <c r="D498" s="36">
        <f>INDEX(Branches!$C$2:$C$15,MATCH(C498,Branches!$A$2:$A$15,0))</f>
        <v/>
      </c>
      <c r="E498" s="35" t="inlineStr">
        <is>
          <t>Home Loan</t>
        </is>
      </c>
      <c r="F498" s="37" t="n">
        <v>46089</v>
      </c>
      <c r="G498" s="38" t="n">
        <v>2657000</v>
      </c>
      <c r="H498" s="39" t="n">
        <v>0.09420000000000001</v>
      </c>
      <c r="I498" s="35" t="n">
        <v>240</v>
      </c>
      <c r="J498" s="35" t="n">
        <v>705</v>
      </c>
      <c r="K498" s="35" t="n">
        <v>0</v>
      </c>
      <c r="L498" s="40">
        <f>ROUND(PMT(H498/12,I498,-G498),0)</f>
        <v/>
      </c>
      <c r="M498" s="41">
        <f>MAX(0,(YEAR(AsOfDate)-YEAR(F498))*12+MONTH(AsOfDate)-MONTH(F498))</f>
        <v/>
      </c>
      <c r="N498" s="41">
        <f>MAX(0,MIN(I498,M498)-INT(K498/30))</f>
        <v/>
      </c>
      <c r="O498" s="40">
        <f>IF(N498&gt;=I498,0,ROUND(PV(H498/12,I498-N498,-L498),0))</f>
        <v/>
      </c>
      <c r="P498" s="40">
        <f>MIN(I498,M498)*L498-N498*L498</f>
        <v/>
      </c>
      <c r="Q498" s="41">
        <f>INDEX(DPD_Bucket,MATCH(K498,DPD_From,1))</f>
        <v/>
      </c>
      <c r="R498" s="41">
        <f>INDEX(DPD_Class,MATCH(K498,DPD_From,1))</f>
        <v/>
      </c>
      <c r="S498" s="41">
        <f>INDEX(DPD_NPA,MATCH(K498,DPD_From,1))</f>
        <v/>
      </c>
      <c r="T498" s="42">
        <f>INDEX(DPD_Prov,MATCH(K498,DPD_From,1))</f>
        <v/>
      </c>
      <c r="U498" s="40">
        <f>ROUND(O498*T498,0)</f>
        <v/>
      </c>
      <c r="V498" s="41">
        <f>INDEX(CIBIL_Grade,MATCH(J498,CIBIL_From,1))</f>
        <v/>
      </c>
      <c r="W498" s="41">
        <f>YEAR(F498)&amp;"-Q"&amp;ROUNDUP(MONTH(F498)/3,0)</f>
        <v/>
      </c>
      <c r="X498" s="41">
        <f>IF(AND(OR(Dashboard!$C$4="All",D498=Dashboard!$C$4),OR(Dashboard!$C$5="All",E498=Dashboard!$C$5)),1,0)</f>
        <v/>
      </c>
      <c r="Y498" s="43">
        <f>IF(AND(X498=1,S498="Yes"),O498+ROW()/1000000,0)</f>
        <v/>
      </c>
    </row>
    <row r="499">
      <c r="A499" s="35" t="inlineStr">
        <is>
          <t>LN100498</t>
        </is>
      </c>
      <c r="B499" s="35" t="inlineStr">
        <is>
          <t>Meera Singh</t>
        </is>
      </c>
      <c r="C499" s="35" t="inlineStr">
        <is>
          <t>PAT-01</t>
        </is>
      </c>
      <c r="D499" s="36">
        <f>INDEX(Branches!$C$2:$C$15,MATCH(C499,Branches!$A$2:$A$15,0))</f>
        <v/>
      </c>
      <c r="E499" s="35" t="inlineStr">
        <is>
          <t>Auto Loan</t>
        </is>
      </c>
      <c r="F499" s="37" t="n">
        <v>45140</v>
      </c>
      <c r="G499" s="38" t="n">
        <v>1031000</v>
      </c>
      <c r="H499" s="39" t="n">
        <v>0.0931</v>
      </c>
      <c r="I499" s="35" t="n">
        <v>84</v>
      </c>
      <c r="J499" s="35" t="n">
        <v>799</v>
      </c>
      <c r="K499" s="35" t="n">
        <v>0</v>
      </c>
      <c r="L499" s="40">
        <f>ROUND(PMT(H499/12,I499,-G499),0)</f>
        <v/>
      </c>
      <c r="M499" s="41">
        <f>MAX(0,(YEAR(AsOfDate)-YEAR(F499))*12+MONTH(AsOfDate)-MONTH(F499))</f>
        <v/>
      </c>
      <c r="N499" s="41">
        <f>MAX(0,MIN(I499,M499)-INT(K499/30))</f>
        <v/>
      </c>
      <c r="O499" s="40">
        <f>IF(N499&gt;=I499,0,ROUND(PV(H499/12,I499-N499,-L499),0))</f>
        <v/>
      </c>
      <c r="P499" s="40">
        <f>MIN(I499,M499)*L499-N499*L499</f>
        <v/>
      </c>
      <c r="Q499" s="41">
        <f>INDEX(DPD_Bucket,MATCH(K499,DPD_From,1))</f>
        <v/>
      </c>
      <c r="R499" s="41">
        <f>INDEX(DPD_Class,MATCH(K499,DPD_From,1))</f>
        <v/>
      </c>
      <c r="S499" s="41">
        <f>INDEX(DPD_NPA,MATCH(K499,DPD_From,1))</f>
        <v/>
      </c>
      <c r="T499" s="42">
        <f>INDEX(DPD_Prov,MATCH(K499,DPD_From,1))</f>
        <v/>
      </c>
      <c r="U499" s="40">
        <f>ROUND(O499*T499,0)</f>
        <v/>
      </c>
      <c r="V499" s="41">
        <f>INDEX(CIBIL_Grade,MATCH(J499,CIBIL_From,1))</f>
        <v/>
      </c>
      <c r="W499" s="41">
        <f>YEAR(F499)&amp;"-Q"&amp;ROUNDUP(MONTH(F499)/3,0)</f>
        <v/>
      </c>
      <c r="X499" s="41">
        <f>IF(AND(OR(Dashboard!$C$4="All",D499=Dashboard!$C$4),OR(Dashboard!$C$5="All",E499=Dashboard!$C$5)),1,0)</f>
        <v/>
      </c>
      <c r="Y499" s="43">
        <f>IF(AND(X499=1,S499="Yes"),O499+ROW()/1000000,0)</f>
        <v/>
      </c>
    </row>
    <row r="500">
      <c r="A500" s="35" t="inlineStr">
        <is>
          <t>LN100499</t>
        </is>
      </c>
      <c r="B500" s="35" t="inlineStr">
        <is>
          <t>Meera Reddy</t>
        </is>
      </c>
      <c r="C500" s="35" t="inlineStr">
        <is>
          <t>PAT-01</t>
        </is>
      </c>
      <c r="D500" s="36">
        <f>INDEX(Branches!$C$2:$C$15,MATCH(C500,Branches!$A$2:$A$15,0))</f>
        <v/>
      </c>
      <c r="E500" s="35" t="inlineStr">
        <is>
          <t>Home Loan</t>
        </is>
      </c>
      <c r="F500" s="37" t="n">
        <v>46073</v>
      </c>
      <c r="G500" s="38" t="n">
        <v>3753000</v>
      </c>
      <c r="H500" s="39" t="n">
        <v>0.09180000000000001</v>
      </c>
      <c r="I500" s="35" t="n">
        <v>240</v>
      </c>
      <c r="J500" s="35" t="n">
        <v>694</v>
      </c>
      <c r="K500" s="35" t="n">
        <v>0</v>
      </c>
      <c r="L500" s="40">
        <f>ROUND(PMT(H500/12,I500,-G500),0)</f>
        <v/>
      </c>
      <c r="M500" s="41">
        <f>MAX(0,(YEAR(AsOfDate)-YEAR(F500))*12+MONTH(AsOfDate)-MONTH(F500))</f>
        <v/>
      </c>
      <c r="N500" s="41">
        <f>MAX(0,MIN(I500,M500)-INT(K500/30))</f>
        <v/>
      </c>
      <c r="O500" s="40">
        <f>IF(N500&gt;=I500,0,ROUND(PV(H500/12,I500-N500,-L500),0))</f>
        <v/>
      </c>
      <c r="P500" s="40">
        <f>MIN(I500,M500)*L500-N500*L500</f>
        <v/>
      </c>
      <c r="Q500" s="41">
        <f>INDEX(DPD_Bucket,MATCH(K500,DPD_From,1))</f>
        <v/>
      </c>
      <c r="R500" s="41">
        <f>INDEX(DPD_Class,MATCH(K500,DPD_From,1))</f>
        <v/>
      </c>
      <c r="S500" s="41">
        <f>INDEX(DPD_NPA,MATCH(K500,DPD_From,1))</f>
        <v/>
      </c>
      <c r="T500" s="42">
        <f>INDEX(DPD_Prov,MATCH(K500,DPD_From,1))</f>
        <v/>
      </c>
      <c r="U500" s="40">
        <f>ROUND(O500*T500,0)</f>
        <v/>
      </c>
      <c r="V500" s="41">
        <f>INDEX(CIBIL_Grade,MATCH(J500,CIBIL_From,1))</f>
        <v/>
      </c>
      <c r="W500" s="41">
        <f>YEAR(F500)&amp;"-Q"&amp;ROUNDUP(MONTH(F500)/3,0)</f>
        <v/>
      </c>
      <c r="X500" s="41">
        <f>IF(AND(OR(Dashboard!$C$4="All",D500=Dashboard!$C$4),OR(Dashboard!$C$5="All",E500=Dashboard!$C$5)),1,0)</f>
        <v/>
      </c>
      <c r="Y500" s="43">
        <f>IF(AND(X500=1,S500="Yes"),O500+ROW()/1000000,0)</f>
        <v/>
      </c>
    </row>
    <row r="501">
      <c r="A501" s="35" t="inlineStr">
        <is>
          <t>LN100500</t>
        </is>
      </c>
      <c r="B501" s="35" t="inlineStr">
        <is>
          <t>Zoya Chatterjee</t>
        </is>
      </c>
      <c r="C501" s="35" t="inlineStr">
        <is>
          <t>KOC-01</t>
        </is>
      </c>
      <c r="D501" s="36">
        <f>INDEX(Branches!$C$2:$C$15,MATCH(C501,Branches!$A$2:$A$15,0))</f>
        <v/>
      </c>
      <c r="E501" s="35" t="inlineStr">
        <is>
          <t>Personal Loan</t>
        </is>
      </c>
      <c r="F501" s="37" t="n">
        <v>45772</v>
      </c>
      <c r="G501" s="38" t="n">
        <v>439000</v>
      </c>
      <c r="H501" s="39" t="n">
        <v>0.125</v>
      </c>
      <c r="I501" s="35" t="n">
        <v>60</v>
      </c>
      <c r="J501" s="35" t="n">
        <v>722</v>
      </c>
      <c r="K501" s="35" t="n">
        <v>0</v>
      </c>
      <c r="L501" s="40">
        <f>ROUND(PMT(H501/12,I501,-G501),0)</f>
        <v/>
      </c>
      <c r="M501" s="41">
        <f>MAX(0,(YEAR(AsOfDate)-YEAR(F501))*12+MONTH(AsOfDate)-MONTH(F501))</f>
        <v/>
      </c>
      <c r="N501" s="41">
        <f>MAX(0,MIN(I501,M501)-INT(K501/30))</f>
        <v/>
      </c>
      <c r="O501" s="40">
        <f>IF(N501&gt;=I501,0,ROUND(PV(H501/12,I501-N501,-L501),0))</f>
        <v/>
      </c>
      <c r="P501" s="40">
        <f>MIN(I501,M501)*L501-N501*L501</f>
        <v/>
      </c>
      <c r="Q501" s="41">
        <f>INDEX(DPD_Bucket,MATCH(K501,DPD_From,1))</f>
        <v/>
      </c>
      <c r="R501" s="41">
        <f>INDEX(DPD_Class,MATCH(K501,DPD_From,1))</f>
        <v/>
      </c>
      <c r="S501" s="41">
        <f>INDEX(DPD_NPA,MATCH(K501,DPD_From,1))</f>
        <v/>
      </c>
      <c r="T501" s="42">
        <f>INDEX(DPD_Prov,MATCH(K501,DPD_From,1))</f>
        <v/>
      </c>
      <c r="U501" s="40">
        <f>ROUND(O501*T501,0)</f>
        <v/>
      </c>
      <c r="V501" s="41">
        <f>INDEX(CIBIL_Grade,MATCH(J501,CIBIL_From,1))</f>
        <v/>
      </c>
      <c r="W501" s="41">
        <f>YEAR(F501)&amp;"-Q"&amp;ROUNDUP(MONTH(F501)/3,0)</f>
        <v/>
      </c>
      <c r="X501" s="41">
        <f>IF(AND(OR(Dashboard!$C$4="All",D501=Dashboard!$C$4),OR(Dashboard!$C$5="All",E501=Dashboard!$C$5)),1,0)</f>
        <v/>
      </c>
      <c r="Y501" s="43">
        <f>IF(AND(X501=1,S501="Yes"),O501+ROW()/1000000,0)</f>
        <v/>
      </c>
    </row>
    <row r="502">
      <c r="A502" s="35" t="inlineStr">
        <is>
          <t>LN100501</t>
        </is>
      </c>
      <c r="B502" s="35" t="inlineStr">
        <is>
          <t>Ishaan Rao</t>
        </is>
      </c>
      <c r="C502" s="35" t="inlineStr">
        <is>
          <t>PUN-01</t>
        </is>
      </c>
      <c r="D502" s="36">
        <f>INDEX(Branches!$C$2:$C$15,MATCH(C502,Branches!$A$2:$A$15,0))</f>
        <v/>
      </c>
      <c r="E502" s="35" t="inlineStr">
        <is>
          <t>Personal Loan</t>
        </is>
      </c>
      <c r="F502" s="37" t="n">
        <v>45990</v>
      </c>
      <c r="G502" s="38" t="n">
        <v>931000</v>
      </c>
      <c r="H502" s="39" t="n">
        <v>0.1068</v>
      </c>
      <c r="I502" s="35" t="n">
        <v>60</v>
      </c>
      <c r="J502" s="35" t="n">
        <v>778</v>
      </c>
      <c r="K502" s="35" t="n">
        <v>0</v>
      </c>
      <c r="L502" s="40">
        <f>ROUND(PMT(H502/12,I502,-G502),0)</f>
        <v/>
      </c>
      <c r="M502" s="41">
        <f>MAX(0,(YEAR(AsOfDate)-YEAR(F502))*12+MONTH(AsOfDate)-MONTH(F502))</f>
        <v/>
      </c>
      <c r="N502" s="41">
        <f>MAX(0,MIN(I502,M502)-INT(K502/30))</f>
        <v/>
      </c>
      <c r="O502" s="40">
        <f>IF(N502&gt;=I502,0,ROUND(PV(H502/12,I502-N502,-L502),0))</f>
        <v/>
      </c>
      <c r="P502" s="40">
        <f>MIN(I502,M502)*L502-N502*L502</f>
        <v/>
      </c>
      <c r="Q502" s="41">
        <f>INDEX(DPD_Bucket,MATCH(K502,DPD_From,1))</f>
        <v/>
      </c>
      <c r="R502" s="41">
        <f>INDEX(DPD_Class,MATCH(K502,DPD_From,1))</f>
        <v/>
      </c>
      <c r="S502" s="41">
        <f>INDEX(DPD_NPA,MATCH(K502,DPD_From,1))</f>
        <v/>
      </c>
      <c r="T502" s="42">
        <f>INDEX(DPD_Prov,MATCH(K502,DPD_From,1))</f>
        <v/>
      </c>
      <c r="U502" s="40">
        <f>ROUND(O502*T502,0)</f>
        <v/>
      </c>
      <c r="V502" s="41">
        <f>INDEX(CIBIL_Grade,MATCH(J502,CIBIL_From,1))</f>
        <v/>
      </c>
      <c r="W502" s="41">
        <f>YEAR(F502)&amp;"-Q"&amp;ROUNDUP(MONTH(F502)/3,0)</f>
        <v/>
      </c>
      <c r="X502" s="41">
        <f>IF(AND(OR(Dashboard!$C$4="All",D502=Dashboard!$C$4),OR(Dashboard!$C$5="All",E502=Dashboard!$C$5)),1,0)</f>
        <v/>
      </c>
      <c r="Y502" s="43">
        <f>IF(AND(X502=1,S502="Yes"),O502+ROW()/1000000,0)</f>
        <v/>
      </c>
    </row>
    <row r="503">
      <c r="A503" s="35" t="inlineStr">
        <is>
          <t>LN100502</t>
        </is>
      </c>
      <c r="B503" s="35" t="inlineStr">
        <is>
          <t>Riya Verma</t>
        </is>
      </c>
      <c r="C503" s="35" t="inlineStr">
        <is>
          <t>GUW-01</t>
        </is>
      </c>
      <c r="D503" s="36">
        <f>INDEX(Branches!$C$2:$C$15,MATCH(C503,Branches!$A$2:$A$15,0))</f>
        <v/>
      </c>
      <c r="E503" s="35" t="inlineStr">
        <is>
          <t>Auto Loan</t>
        </is>
      </c>
      <c r="F503" s="37" t="n">
        <v>45268</v>
      </c>
      <c r="G503" s="38" t="n">
        <v>774000</v>
      </c>
      <c r="H503" s="39" t="n">
        <v>0.1102</v>
      </c>
      <c r="I503" s="35" t="n">
        <v>60</v>
      </c>
      <c r="J503" s="35" t="n">
        <v>771</v>
      </c>
      <c r="K503" s="35" t="n">
        <v>0</v>
      </c>
      <c r="L503" s="40">
        <f>ROUND(PMT(H503/12,I503,-G503),0)</f>
        <v/>
      </c>
      <c r="M503" s="41">
        <f>MAX(0,(YEAR(AsOfDate)-YEAR(F503))*12+MONTH(AsOfDate)-MONTH(F503))</f>
        <v/>
      </c>
      <c r="N503" s="41">
        <f>MAX(0,MIN(I503,M503)-INT(K503/30))</f>
        <v/>
      </c>
      <c r="O503" s="40">
        <f>IF(N503&gt;=I503,0,ROUND(PV(H503/12,I503-N503,-L503),0))</f>
        <v/>
      </c>
      <c r="P503" s="40">
        <f>MIN(I503,M503)*L503-N503*L503</f>
        <v/>
      </c>
      <c r="Q503" s="41">
        <f>INDEX(DPD_Bucket,MATCH(K503,DPD_From,1))</f>
        <v/>
      </c>
      <c r="R503" s="41">
        <f>INDEX(DPD_Class,MATCH(K503,DPD_From,1))</f>
        <v/>
      </c>
      <c r="S503" s="41">
        <f>INDEX(DPD_NPA,MATCH(K503,DPD_From,1))</f>
        <v/>
      </c>
      <c r="T503" s="42">
        <f>INDEX(DPD_Prov,MATCH(K503,DPD_From,1))</f>
        <v/>
      </c>
      <c r="U503" s="40">
        <f>ROUND(O503*T503,0)</f>
        <v/>
      </c>
      <c r="V503" s="41">
        <f>INDEX(CIBIL_Grade,MATCH(J503,CIBIL_From,1))</f>
        <v/>
      </c>
      <c r="W503" s="41">
        <f>YEAR(F503)&amp;"-Q"&amp;ROUNDUP(MONTH(F503)/3,0)</f>
        <v/>
      </c>
      <c r="X503" s="41">
        <f>IF(AND(OR(Dashboard!$C$4="All",D503=Dashboard!$C$4),OR(Dashboard!$C$5="All",E503=Dashboard!$C$5)),1,0)</f>
        <v/>
      </c>
      <c r="Y503" s="43">
        <f>IF(AND(X503=1,S503="Yes"),O503+ROW()/1000000,0)</f>
        <v/>
      </c>
    </row>
    <row r="504">
      <c r="A504" s="35" t="inlineStr">
        <is>
          <t>LN100503</t>
        </is>
      </c>
      <c r="B504" s="35" t="inlineStr">
        <is>
          <t>Harsh Reddy</t>
        </is>
      </c>
      <c r="C504" s="35" t="inlineStr">
        <is>
          <t>GUW-01</t>
        </is>
      </c>
      <c r="D504" s="36">
        <f>INDEX(Branches!$C$2:$C$15,MATCH(C504,Branches!$A$2:$A$15,0))</f>
        <v/>
      </c>
      <c r="E504" s="35" t="inlineStr">
        <is>
          <t>Home Loan</t>
        </is>
      </c>
      <c r="F504" s="37" t="n">
        <v>45998</v>
      </c>
      <c r="G504" s="38" t="n">
        <v>12822000</v>
      </c>
      <c r="H504" s="39" t="n">
        <v>0.08799999999999999</v>
      </c>
      <c r="I504" s="35" t="n">
        <v>240</v>
      </c>
      <c r="J504" s="35" t="n">
        <v>749</v>
      </c>
      <c r="K504" s="35" t="n">
        <v>0</v>
      </c>
      <c r="L504" s="40">
        <f>ROUND(PMT(H504/12,I504,-G504),0)</f>
        <v/>
      </c>
      <c r="M504" s="41">
        <f>MAX(0,(YEAR(AsOfDate)-YEAR(F504))*12+MONTH(AsOfDate)-MONTH(F504))</f>
        <v/>
      </c>
      <c r="N504" s="41">
        <f>MAX(0,MIN(I504,M504)-INT(K504/30))</f>
        <v/>
      </c>
      <c r="O504" s="40">
        <f>IF(N504&gt;=I504,0,ROUND(PV(H504/12,I504-N504,-L504),0))</f>
        <v/>
      </c>
      <c r="P504" s="40">
        <f>MIN(I504,M504)*L504-N504*L504</f>
        <v/>
      </c>
      <c r="Q504" s="41">
        <f>INDEX(DPD_Bucket,MATCH(K504,DPD_From,1))</f>
        <v/>
      </c>
      <c r="R504" s="41">
        <f>INDEX(DPD_Class,MATCH(K504,DPD_From,1))</f>
        <v/>
      </c>
      <c r="S504" s="41">
        <f>INDEX(DPD_NPA,MATCH(K504,DPD_From,1))</f>
        <v/>
      </c>
      <c r="T504" s="42">
        <f>INDEX(DPD_Prov,MATCH(K504,DPD_From,1))</f>
        <v/>
      </c>
      <c r="U504" s="40">
        <f>ROUND(O504*T504,0)</f>
        <v/>
      </c>
      <c r="V504" s="41">
        <f>INDEX(CIBIL_Grade,MATCH(J504,CIBIL_From,1))</f>
        <v/>
      </c>
      <c r="W504" s="41">
        <f>YEAR(F504)&amp;"-Q"&amp;ROUNDUP(MONTH(F504)/3,0)</f>
        <v/>
      </c>
      <c r="X504" s="41">
        <f>IF(AND(OR(Dashboard!$C$4="All",D504=Dashboard!$C$4),OR(Dashboard!$C$5="All",E504=Dashboard!$C$5)),1,0)</f>
        <v/>
      </c>
      <c r="Y504" s="43">
        <f>IF(AND(X504=1,S504="Yes"),O504+ROW()/1000000,0)</f>
        <v/>
      </c>
    </row>
    <row r="505">
      <c r="A505" s="35" t="inlineStr">
        <is>
          <t>LN100504</t>
        </is>
      </c>
      <c r="B505" s="35" t="inlineStr">
        <is>
          <t>Aarav Rao</t>
        </is>
      </c>
      <c r="C505" s="35" t="inlineStr">
        <is>
          <t>KOC-01</t>
        </is>
      </c>
      <c r="D505" s="36">
        <f>INDEX(Branches!$C$2:$C$15,MATCH(C505,Branches!$A$2:$A$15,0))</f>
        <v/>
      </c>
      <c r="E505" s="35" t="inlineStr">
        <is>
          <t>Auto Loan</t>
        </is>
      </c>
      <c r="F505" s="37" t="n">
        <v>45549</v>
      </c>
      <c r="G505" s="38" t="n">
        <v>1584000</v>
      </c>
      <c r="H505" s="39" t="n">
        <v>0.0956</v>
      </c>
      <c r="I505" s="35" t="n">
        <v>36</v>
      </c>
      <c r="J505" s="35" t="n">
        <v>746</v>
      </c>
      <c r="K505" s="35" t="n">
        <v>0</v>
      </c>
      <c r="L505" s="40">
        <f>ROUND(PMT(H505/12,I505,-G505),0)</f>
        <v/>
      </c>
      <c r="M505" s="41">
        <f>MAX(0,(YEAR(AsOfDate)-YEAR(F505))*12+MONTH(AsOfDate)-MONTH(F505))</f>
        <v/>
      </c>
      <c r="N505" s="41">
        <f>MAX(0,MIN(I505,M505)-INT(K505/30))</f>
        <v/>
      </c>
      <c r="O505" s="40">
        <f>IF(N505&gt;=I505,0,ROUND(PV(H505/12,I505-N505,-L505),0))</f>
        <v/>
      </c>
      <c r="P505" s="40">
        <f>MIN(I505,M505)*L505-N505*L505</f>
        <v/>
      </c>
      <c r="Q505" s="41">
        <f>INDEX(DPD_Bucket,MATCH(K505,DPD_From,1))</f>
        <v/>
      </c>
      <c r="R505" s="41">
        <f>INDEX(DPD_Class,MATCH(K505,DPD_From,1))</f>
        <v/>
      </c>
      <c r="S505" s="41">
        <f>INDEX(DPD_NPA,MATCH(K505,DPD_From,1))</f>
        <v/>
      </c>
      <c r="T505" s="42">
        <f>INDEX(DPD_Prov,MATCH(K505,DPD_From,1))</f>
        <v/>
      </c>
      <c r="U505" s="40">
        <f>ROUND(O505*T505,0)</f>
        <v/>
      </c>
      <c r="V505" s="41">
        <f>INDEX(CIBIL_Grade,MATCH(J505,CIBIL_From,1))</f>
        <v/>
      </c>
      <c r="W505" s="41">
        <f>YEAR(F505)&amp;"-Q"&amp;ROUNDUP(MONTH(F505)/3,0)</f>
        <v/>
      </c>
      <c r="X505" s="41">
        <f>IF(AND(OR(Dashboard!$C$4="All",D505=Dashboard!$C$4),OR(Dashboard!$C$5="All",E505=Dashboard!$C$5)),1,0)</f>
        <v/>
      </c>
      <c r="Y505" s="43">
        <f>IF(AND(X505=1,S505="Yes"),O505+ROW()/1000000,0)</f>
        <v/>
      </c>
    </row>
    <row r="506">
      <c r="A506" s="35" t="inlineStr">
        <is>
          <t>LN100505</t>
        </is>
      </c>
      <c r="B506" s="35" t="inlineStr">
        <is>
          <t>Deepa Sharma</t>
        </is>
      </c>
      <c r="C506" s="35" t="inlineStr">
        <is>
          <t>AMD-01</t>
        </is>
      </c>
      <c r="D506" s="36">
        <f>INDEX(Branches!$C$2:$C$15,MATCH(C506,Branches!$A$2:$A$15,0))</f>
        <v/>
      </c>
      <c r="E506" s="35" t="inlineStr">
        <is>
          <t>Personal Loan</t>
        </is>
      </c>
      <c r="F506" s="37" t="n">
        <v>45184</v>
      </c>
      <c r="G506" s="38" t="n">
        <v>916000</v>
      </c>
      <c r="H506" s="39" t="n">
        <v>0.1548</v>
      </c>
      <c r="I506" s="35" t="n">
        <v>36</v>
      </c>
      <c r="J506" s="35" t="n">
        <v>612</v>
      </c>
      <c r="K506" s="35" t="n">
        <v>0</v>
      </c>
      <c r="L506" s="40">
        <f>ROUND(PMT(H506/12,I506,-G506),0)</f>
        <v/>
      </c>
      <c r="M506" s="41">
        <f>MAX(0,(YEAR(AsOfDate)-YEAR(F506))*12+MONTH(AsOfDate)-MONTH(F506))</f>
        <v/>
      </c>
      <c r="N506" s="41">
        <f>MAX(0,MIN(I506,M506)-INT(K506/30))</f>
        <v/>
      </c>
      <c r="O506" s="40">
        <f>IF(N506&gt;=I506,0,ROUND(PV(H506/12,I506-N506,-L506),0))</f>
        <v/>
      </c>
      <c r="P506" s="40">
        <f>MIN(I506,M506)*L506-N506*L506</f>
        <v/>
      </c>
      <c r="Q506" s="41">
        <f>INDEX(DPD_Bucket,MATCH(K506,DPD_From,1))</f>
        <v/>
      </c>
      <c r="R506" s="41">
        <f>INDEX(DPD_Class,MATCH(K506,DPD_From,1))</f>
        <v/>
      </c>
      <c r="S506" s="41">
        <f>INDEX(DPD_NPA,MATCH(K506,DPD_From,1))</f>
        <v/>
      </c>
      <c r="T506" s="42">
        <f>INDEX(DPD_Prov,MATCH(K506,DPD_From,1))</f>
        <v/>
      </c>
      <c r="U506" s="40">
        <f>ROUND(O506*T506,0)</f>
        <v/>
      </c>
      <c r="V506" s="41">
        <f>INDEX(CIBIL_Grade,MATCH(J506,CIBIL_From,1))</f>
        <v/>
      </c>
      <c r="W506" s="41">
        <f>YEAR(F506)&amp;"-Q"&amp;ROUNDUP(MONTH(F506)/3,0)</f>
        <v/>
      </c>
      <c r="X506" s="41">
        <f>IF(AND(OR(Dashboard!$C$4="All",D506=Dashboard!$C$4),OR(Dashboard!$C$5="All",E506=Dashboard!$C$5)),1,0)</f>
        <v/>
      </c>
      <c r="Y506" s="43">
        <f>IF(AND(X506=1,S506="Yes"),O506+ROW()/1000000,0)</f>
        <v/>
      </c>
    </row>
    <row r="507">
      <c r="A507" s="35" t="inlineStr">
        <is>
          <t>LN100506</t>
        </is>
      </c>
      <c r="B507" s="35" t="inlineStr">
        <is>
          <t>Nikhil Sahoo</t>
        </is>
      </c>
      <c r="C507" s="35" t="inlineStr">
        <is>
          <t>MUM-01</t>
        </is>
      </c>
      <c r="D507" s="36">
        <f>INDEX(Branches!$C$2:$C$15,MATCH(C507,Branches!$A$2:$A$15,0))</f>
        <v/>
      </c>
      <c r="E507" s="35" t="inlineStr">
        <is>
          <t>Home Loan</t>
        </is>
      </c>
      <c r="F507" s="37" t="n">
        <v>46050</v>
      </c>
      <c r="G507" s="38" t="n">
        <v>2690000</v>
      </c>
      <c r="H507" s="39" t="n">
        <v>0.09320000000000001</v>
      </c>
      <c r="I507" s="35" t="n">
        <v>120</v>
      </c>
      <c r="J507" s="35" t="n">
        <v>615</v>
      </c>
      <c r="K507" s="35" t="n">
        <v>0</v>
      </c>
      <c r="L507" s="40">
        <f>ROUND(PMT(H507/12,I507,-G507),0)</f>
        <v/>
      </c>
      <c r="M507" s="41">
        <f>MAX(0,(YEAR(AsOfDate)-YEAR(F507))*12+MONTH(AsOfDate)-MONTH(F507))</f>
        <v/>
      </c>
      <c r="N507" s="41">
        <f>MAX(0,MIN(I507,M507)-INT(K507/30))</f>
        <v/>
      </c>
      <c r="O507" s="40">
        <f>IF(N507&gt;=I507,0,ROUND(PV(H507/12,I507-N507,-L507),0))</f>
        <v/>
      </c>
      <c r="P507" s="40">
        <f>MIN(I507,M507)*L507-N507*L507</f>
        <v/>
      </c>
      <c r="Q507" s="41">
        <f>INDEX(DPD_Bucket,MATCH(K507,DPD_From,1))</f>
        <v/>
      </c>
      <c r="R507" s="41">
        <f>INDEX(DPD_Class,MATCH(K507,DPD_From,1))</f>
        <v/>
      </c>
      <c r="S507" s="41">
        <f>INDEX(DPD_NPA,MATCH(K507,DPD_From,1))</f>
        <v/>
      </c>
      <c r="T507" s="42">
        <f>INDEX(DPD_Prov,MATCH(K507,DPD_From,1))</f>
        <v/>
      </c>
      <c r="U507" s="40">
        <f>ROUND(O507*T507,0)</f>
        <v/>
      </c>
      <c r="V507" s="41">
        <f>INDEX(CIBIL_Grade,MATCH(J507,CIBIL_From,1))</f>
        <v/>
      </c>
      <c r="W507" s="41">
        <f>YEAR(F507)&amp;"-Q"&amp;ROUNDUP(MONTH(F507)/3,0)</f>
        <v/>
      </c>
      <c r="X507" s="41">
        <f>IF(AND(OR(Dashboard!$C$4="All",D507=Dashboard!$C$4),OR(Dashboard!$C$5="All",E507=Dashboard!$C$5)),1,0)</f>
        <v/>
      </c>
      <c r="Y507" s="43">
        <f>IF(AND(X507=1,S507="Yes"),O507+ROW()/1000000,0)</f>
        <v/>
      </c>
    </row>
    <row r="508">
      <c r="A508" s="35" t="inlineStr">
        <is>
          <t>LN100507</t>
        </is>
      </c>
      <c r="B508" s="35" t="inlineStr">
        <is>
          <t>Arjun Sharma</t>
        </is>
      </c>
      <c r="C508" s="35" t="inlineStr">
        <is>
          <t>MUM-01</t>
        </is>
      </c>
      <c r="D508" s="36">
        <f>INDEX(Branches!$C$2:$C$15,MATCH(C508,Branches!$A$2:$A$15,0))</f>
        <v/>
      </c>
      <c r="E508" s="35" t="inlineStr">
        <is>
          <t>Home Loan</t>
        </is>
      </c>
      <c r="F508" s="37" t="n">
        <v>45618</v>
      </c>
      <c r="G508" s="38" t="n">
        <v>13276000</v>
      </c>
      <c r="H508" s="39" t="n">
        <v>0.0931</v>
      </c>
      <c r="I508" s="35" t="n">
        <v>180</v>
      </c>
      <c r="J508" s="35" t="n">
        <v>671</v>
      </c>
      <c r="K508" s="35" t="n">
        <v>0</v>
      </c>
      <c r="L508" s="40">
        <f>ROUND(PMT(H508/12,I508,-G508),0)</f>
        <v/>
      </c>
      <c r="M508" s="41">
        <f>MAX(0,(YEAR(AsOfDate)-YEAR(F508))*12+MONTH(AsOfDate)-MONTH(F508))</f>
        <v/>
      </c>
      <c r="N508" s="41">
        <f>MAX(0,MIN(I508,M508)-INT(K508/30))</f>
        <v/>
      </c>
      <c r="O508" s="40">
        <f>IF(N508&gt;=I508,0,ROUND(PV(H508/12,I508-N508,-L508),0))</f>
        <v/>
      </c>
      <c r="P508" s="40">
        <f>MIN(I508,M508)*L508-N508*L508</f>
        <v/>
      </c>
      <c r="Q508" s="41">
        <f>INDEX(DPD_Bucket,MATCH(K508,DPD_From,1))</f>
        <v/>
      </c>
      <c r="R508" s="41">
        <f>INDEX(DPD_Class,MATCH(K508,DPD_From,1))</f>
        <v/>
      </c>
      <c r="S508" s="41">
        <f>INDEX(DPD_NPA,MATCH(K508,DPD_From,1))</f>
        <v/>
      </c>
      <c r="T508" s="42">
        <f>INDEX(DPD_Prov,MATCH(K508,DPD_From,1))</f>
        <v/>
      </c>
      <c r="U508" s="40">
        <f>ROUND(O508*T508,0)</f>
        <v/>
      </c>
      <c r="V508" s="41">
        <f>INDEX(CIBIL_Grade,MATCH(J508,CIBIL_From,1))</f>
        <v/>
      </c>
      <c r="W508" s="41">
        <f>YEAR(F508)&amp;"-Q"&amp;ROUNDUP(MONTH(F508)/3,0)</f>
        <v/>
      </c>
      <c r="X508" s="41">
        <f>IF(AND(OR(Dashboard!$C$4="All",D508=Dashboard!$C$4),OR(Dashboard!$C$5="All",E508=Dashboard!$C$5)),1,0)</f>
        <v/>
      </c>
      <c r="Y508" s="43">
        <f>IF(AND(X508=1,S508="Yes"),O508+ROW()/1000000,0)</f>
        <v/>
      </c>
    </row>
    <row r="509">
      <c r="A509" s="35" t="inlineStr">
        <is>
          <t>LN100508</t>
        </is>
      </c>
      <c r="B509" s="35" t="inlineStr">
        <is>
          <t>Arjun Rao</t>
        </is>
      </c>
      <c r="C509" s="35" t="inlineStr">
        <is>
          <t>DEL-01</t>
        </is>
      </c>
      <c r="D509" s="36">
        <f>INDEX(Branches!$C$2:$C$15,MATCH(C509,Branches!$A$2:$A$15,0))</f>
        <v/>
      </c>
      <c r="E509" s="35" t="inlineStr">
        <is>
          <t>Auto Loan</t>
        </is>
      </c>
      <c r="F509" s="37" t="n">
        <v>45132</v>
      </c>
      <c r="G509" s="38" t="n">
        <v>1787000</v>
      </c>
      <c r="H509" s="39" t="n">
        <v>0.1055</v>
      </c>
      <c r="I509" s="35" t="n">
        <v>84</v>
      </c>
      <c r="J509" s="35" t="n">
        <v>631</v>
      </c>
      <c r="K509" s="35" t="n">
        <v>0</v>
      </c>
      <c r="L509" s="40">
        <f>ROUND(PMT(H509/12,I509,-G509),0)</f>
        <v/>
      </c>
      <c r="M509" s="41">
        <f>MAX(0,(YEAR(AsOfDate)-YEAR(F509))*12+MONTH(AsOfDate)-MONTH(F509))</f>
        <v/>
      </c>
      <c r="N509" s="41">
        <f>MAX(0,MIN(I509,M509)-INT(K509/30))</f>
        <v/>
      </c>
      <c r="O509" s="40">
        <f>IF(N509&gt;=I509,0,ROUND(PV(H509/12,I509-N509,-L509),0))</f>
        <v/>
      </c>
      <c r="P509" s="40">
        <f>MIN(I509,M509)*L509-N509*L509</f>
        <v/>
      </c>
      <c r="Q509" s="41">
        <f>INDEX(DPD_Bucket,MATCH(K509,DPD_From,1))</f>
        <v/>
      </c>
      <c r="R509" s="41">
        <f>INDEX(DPD_Class,MATCH(K509,DPD_From,1))</f>
        <v/>
      </c>
      <c r="S509" s="41">
        <f>INDEX(DPD_NPA,MATCH(K509,DPD_From,1))</f>
        <v/>
      </c>
      <c r="T509" s="42">
        <f>INDEX(DPD_Prov,MATCH(K509,DPD_From,1))</f>
        <v/>
      </c>
      <c r="U509" s="40">
        <f>ROUND(O509*T509,0)</f>
        <v/>
      </c>
      <c r="V509" s="41">
        <f>INDEX(CIBIL_Grade,MATCH(J509,CIBIL_From,1))</f>
        <v/>
      </c>
      <c r="W509" s="41">
        <f>YEAR(F509)&amp;"-Q"&amp;ROUNDUP(MONTH(F509)/3,0)</f>
        <v/>
      </c>
      <c r="X509" s="41">
        <f>IF(AND(OR(Dashboard!$C$4="All",D509=Dashboard!$C$4),OR(Dashboard!$C$5="All",E509=Dashboard!$C$5)),1,0)</f>
        <v/>
      </c>
      <c r="Y509" s="43">
        <f>IF(AND(X509=1,S509="Yes"),O509+ROW()/1000000,0)</f>
        <v/>
      </c>
    </row>
    <row r="510">
      <c r="A510" s="35" t="inlineStr">
        <is>
          <t>LN100509</t>
        </is>
      </c>
      <c r="B510" s="35" t="inlineStr">
        <is>
          <t>Sneha Menon</t>
        </is>
      </c>
      <c r="C510" s="35" t="inlineStr">
        <is>
          <t>PUN-01</t>
        </is>
      </c>
      <c r="D510" s="36">
        <f>INDEX(Branches!$C$2:$C$15,MATCH(C510,Branches!$A$2:$A$15,0))</f>
        <v/>
      </c>
      <c r="E510" s="35" t="inlineStr">
        <is>
          <t>Home Loan</t>
        </is>
      </c>
      <c r="F510" s="37" t="n">
        <v>45236</v>
      </c>
      <c r="G510" s="38" t="n">
        <v>10128000</v>
      </c>
      <c r="H510" s="39" t="n">
        <v>0.0873</v>
      </c>
      <c r="I510" s="35" t="n">
        <v>240</v>
      </c>
      <c r="J510" s="35" t="n">
        <v>654</v>
      </c>
      <c r="K510" s="35" t="n">
        <v>30</v>
      </c>
      <c r="L510" s="40">
        <f>ROUND(PMT(H510/12,I510,-G510),0)</f>
        <v/>
      </c>
      <c r="M510" s="41">
        <f>MAX(0,(YEAR(AsOfDate)-YEAR(F510))*12+MONTH(AsOfDate)-MONTH(F510))</f>
        <v/>
      </c>
      <c r="N510" s="41">
        <f>MAX(0,MIN(I510,M510)-INT(K510/30))</f>
        <v/>
      </c>
      <c r="O510" s="40">
        <f>IF(N510&gt;=I510,0,ROUND(PV(H510/12,I510-N510,-L510),0))</f>
        <v/>
      </c>
      <c r="P510" s="40">
        <f>MIN(I510,M510)*L510-N510*L510</f>
        <v/>
      </c>
      <c r="Q510" s="41">
        <f>INDEX(DPD_Bucket,MATCH(K510,DPD_From,1))</f>
        <v/>
      </c>
      <c r="R510" s="41">
        <f>INDEX(DPD_Class,MATCH(K510,DPD_From,1))</f>
        <v/>
      </c>
      <c r="S510" s="41">
        <f>INDEX(DPD_NPA,MATCH(K510,DPD_From,1))</f>
        <v/>
      </c>
      <c r="T510" s="42">
        <f>INDEX(DPD_Prov,MATCH(K510,DPD_From,1))</f>
        <v/>
      </c>
      <c r="U510" s="40">
        <f>ROUND(O510*T510,0)</f>
        <v/>
      </c>
      <c r="V510" s="41">
        <f>INDEX(CIBIL_Grade,MATCH(J510,CIBIL_From,1))</f>
        <v/>
      </c>
      <c r="W510" s="41">
        <f>YEAR(F510)&amp;"-Q"&amp;ROUNDUP(MONTH(F510)/3,0)</f>
        <v/>
      </c>
      <c r="X510" s="41">
        <f>IF(AND(OR(Dashboard!$C$4="All",D510=Dashboard!$C$4),OR(Dashboard!$C$5="All",E510=Dashboard!$C$5)),1,0)</f>
        <v/>
      </c>
      <c r="Y510" s="43">
        <f>IF(AND(X510=1,S510="Yes"),O510+ROW()/1000000,0)</f>
        <v/>
      </c>
    </row>
    <row r="511">
      <c r="A511" s="35" t="inlineStr">
        <is>
          <t>LN100510</t>
        </is>
      </c>
      <c r="B511" s="35" t="inlineStr">
        <is>
          <t>Swati Banerjee</t>
        </is>
      </c>
      <c r="C511" s="35" t="inlineStr">
        <is>
          <t>GUW-01</t>
        </is>
      </c>
      <c r="D511" s="36">
        <f>INDEX(Branches!$C$2:$C$15,MATCH(C511,Branches!$A$2:$A$15,0))</f>
        <v/>
      </c>
      <c r="E511" s="35" t="inlineStr">
        <is>
          <t>Gold Loan</t>
        </is>
      </c>
      <c r="F511" s="37" t="n">
        <v>46047</v>
      </c>
      <c r="G511" s="38" t="n">
        <v>496000</v>
      </c>
      <c r="H511" s="39" t="n">
        <v>0.1183</v>
      </c>
      <c r="I511" s="35" t="n">
        <v>12</v>
      </c>
      <c r="J511" s="35" t="n">
        <v>702</v>
      </c>
      <c r="K511" s="35" t="n">
        <v>0</v>
      </c>
      <c r="L511" s="40">
        <f>ROUND(PMT(H511/12,I511,-G511),0)</f>
        <v/>
      </c>
      <c r="M511" s="41">
        <f>MAX(0,(YEAR(AsOfDate)-YEAR(F511))*12+MONTH(AsOfDate)-MONTH(F511))</f>
        <v/>
      </c>
      <c r="N511" s="41">
        <f>MAX(0,MIN(I511,M511)-INT(K511/30))</f>
        <v/>
      </c>
      <c r="O511" s="40">
        <f>IF(N511&gt;=I511,0,ROUND(PV(H511/12,I511-N511,-L511),0))</f>
        <v/>
      </c>
      <c r="P511" s="40">
        <f>MIN(I511,M511)*L511-N511*L511</f>
        <v/>
      </c>
      <c r="Q511" s="41">
        <f>INDEX(DPD_Bucket,MATCH(K511,DPD_From,1))</f>
        <v/>
      </c>
      <c r="R511" s="41">
        <f>INDEX(DPD_Class,MATCH(K511,DPD_From,1))</f>
        <v/>
      </c>
      <c r="S511" s="41">
        <f>INDEX(DPD_NPA,MATCH(K511,DPD_From,1))</f>
        <v/>
      </c>
      <c r="T511" s="42">
        <f>INDEX(DPD_Prov,MATCH(K511,DPD_From,1))</f>
        <v/>
      </c>
      <c r="U511" s="40">
        <f>ROUND(O511*T511,0)</f>
        <v/>
      </c>
      <c r="V511" s="41">
        <f>INDEX(CIBIL_Grade,MATCH(J511,CIBIL_From,1))</f>
        <v/>
      </c>
      <c r="W511" s="41">
        <f>YEAR(F511)&amp;"-Q"&amp;ROUNDUP(MONTH(F511)/3,0)</f>
        <v/>
      </c>
      <c r="X511" s="41">
        <f>IF(AND(OR(Dashboard!$C$4="All",D511=Dashboard!$C$4),OR(Dashboard!$C$5="All",E511=Dashboard!$C$5)),1,0)</f>
        <v/>
      </c>
      <c r="Y511" s="43">
        <f>IF(AND(X511=1,S511="Yes"),O511+ROW()/1000000,0)</f>
        <v/>
      </c>
    </row>
    <row r="512">
      <c r="A512" s="35" t="inlineStr">
        <is>
          <t>LN100511</t>
        </is>
      </c>
      <c r="B512" s="35" t="inlineStr">
        <is>
          <t>Zoya Banerjee</t>
        </is>
      </c>
      <c r="C512" s="35" t="inlineStr">
        <is>
          <t>LKO-01</t>
        </is>
      </c>
      <c r="D512" s="36">
        <f>INDEX(Branches!$C$2:$C$15,MATCH(C512,Branches!$A$2:$A$15,0))</f>
        <v/>
      </c>
      <c r="E512" s="35" t="inlineStr">
        <is>
          <t>Gold Loan</t>
        </is>
      </c>
      <c r="F512" s="37" t="n">
        <v>45863</v>
      </c>
      <c r="G512" s="38" t="n">
        <v>482000</v>
      </c>
      <c r="H512" s="39" t="n">
        <v>0.1084</v>
      </c>
      <c r="I512" s="35" t="n">
        <v>6</v>
      </c>
      <c r="J512" s="35" t="n">
        <v>705</v>
      </c>
      <c r="K512" s="35" t="n">
        <v>0</v>
      </c>
      <c r="L512" s="40">
        <f>ROUND(PMT(H512/12,I512,-G512),0)</f>
        <v/>
      </c>
      <c r="M512" s="41">
        <f>MAX(0,(YEAR(AsOfDate)-YEAR(F512))*12+MONTH(AsOfDate)-MONTH(F512))</f>
        <v/>
      </c>
      <c r="N512" s="41">
        <f>MAX(0,MIN(I512,M512)-INT(K512/30))</f>
        <v/>
      </c>
      <c r="O512" s="40">
        <f>IF(N512&gt;=I512,0,ROUND(PV(H512/12,I512-N512,-L512),0))</f>
        <v/>
      </c>
      <c r="P512" s="40">
        <f>MIN(I512,M512)*L512-N512*L512</f>
        <v/>
      </c>
      <c r="Q512" s="41">
        <f>INDEX(DPD_Bucket,MATCH(K512,DPD_From,1))</f>
        <v/>
      </c>
      <c r="R512" s="41">
        <f>INDEX(DPD_Class,MATCH(K512,DPD_From,1))</f>
        <v/>
      </c>
      <c r="S512" s="41">
        <f>INDEX(DPD_NPA,MATCH(K512,DPD_From,1))</f>
        <v/>
      </c>
      <c r="T512" s="42">
        <f>INDEX(DPD_Prov,MATCH(K512,DPD_From,1))</f>
        <v/>
      </c>
      <c r="U512" s="40">
        <f>ROUND(O512*T512,0)</f>
        <v/>
      </c>
      <c r="V512" s="41">
        <f>INDEX(CIBIL_Grade,MATCH(J512,CIBIL_From,1))</f>
        <v/>
      </c>
      <c r="W512" s="41">
        <f>YEAR(F512)&amp;"-Q"&amp;ROUNDUP(MONTH(F512)/3,0)</f>
        <v/>
      </c>
      <c r="X512" s="41">
        <f>IF(AND(OR(Dashboard!$C$4="All",D512=Dashboard!$C$4),OR(Dashboard!$C$5="All",E512=Dashboard!$C$5)),1,0)</f>
        <v/>
      </c>
      <c r="Y512" s="43">
        <f>IF(AND(X512=1,S512="Yes"),O512+ROW()/1000000,0)</f>
        <v/>
      </c>
    </row>
    <row r="513">
      <c r="A513" s="35" t="inlineStr">
        <is>
          <t>LN100512</t>
        </is>
      </c>
      <c r="B513" s="35" t="inlineStr">
        <is>
          <t>Sai Khan</t>
        </is>
      </c>
      <c r="C513" s="35" t="inlineStr">
        <is>
          <t>MUM-01</t>
        </is>
      </c>
      <c r="D513" s="36">
        <f>INDEX(Branches!$C$2:$C$15,MATCH(C513,Branches!$A$2:$A$15,0))</f>
        <v/>
      </c>
      <c r="E513" s="35" t="inlineStr">
        <is>
          <t>Personal Loan</t>
        </is>
      </c>
      <c r="F513" s="37" t="n">
        <v>45319</v>
      </c>
      <c r="G513" s="38" t="n">
        <v>1374000</v>
      </c>
      <c r="H513" s="39" t="n">
        <v>0.1297</v>
      </c>
      <c r="I513" s="35" t="n">
        <v>24</v>
      </c>
      <c r="J513" s="35" t="n">
        <v>781</v>
      </c>
      <c r="K513" s="35" t="n">
        <v>0</v>
      </c>
      <c r="L513" s="40">
        <f>ROUND(PMT(H513/12,I513,-G513),0)</f>
        <v/>
      </c>
      <c r="M513" s="41">
        <f>MAX(0,(YEAR(AsOfDate)-YEAR(F513))*12+MONTH(AsOfDate)-MONTH(F513))</f>
        <v/>
      </c>
      <c r="N513" s="41">
        <f>MAX(0,MIN(I513,M513)-INT(K513/30))</f>
        <v/>
      </c>
      <c r="O513" s="40">
        <f>IF(N513&gt;=I513,0,ROUND(PV(H513/12,I513-N513,-L513),0))</f>
        <v/>
      </c>
      <c r="P513" s="40">
        <f>MIN(I513,M513)*L513-N513*L513</f>
        <v/>
      </c>
      <c r="Q513" s="41">
        <f>INDEX(DPD_Bucket,MATCH(K513,DPD_From,1))</f>
        <v/>
      </c>
      <c r="R513" s="41">
        <f>INDEX(DPD_Class,MATCH(K513,DPD_From,1))</f>
        <v/>
      </c>
      <c r="S513" s="41">
        <f>INDEX(DPD_NPA,MATCH(K513,DPD_From,1))</f>
        <v/>
      </c>
      <c r="T513" s="42">
        <f>INDEX(DPD_Prov,MATCH(K513,DPD_From,1))</f>
        <v/>
      </c>
      <c r="U513" s="40">
        <f>ROUND(O513*T513,0)</f>
        <v/>
      </c>
      <c r="V513" s="41">
        <f>INDEX(CIBIL_Grade,MATCH(J513,CIBIL_From,1))</f>
        <v/>
      </c>
      <c r="W513" s="41">
        <f>YEAR(F513)&amp;"-Q"&amp;ROUNDUP(MONTH(F513)/3,0)</f>
        <v/>
      </c>
      <c r="X513" s="41">
        <f>IF(AND(OR(Dashboard!$C$4="All",D513=Dashboard!$C$4),OR(Dashboard!$C$5="All",E513=Dashboard!$C$5)),1,0)</f>
        <v/>
      </c>
      <c r="Y513" s="43">
        <f>IF(AND(X513=1,S513="Yes"),O513+ROW()/1000000,0)</f>
        <v/>
      </c>
    </row>
    <row r="514">
      <c r="A514" s="35" t="inlineStr">
        <is>
          <t>LN100513</t>
        </is>
      </c>
      <c r="B514" s="35" t="inlineStr">
        <is>
          <t>Harsh Mishra</t>
        </is>
      </c>
      <c r="C514" s="35" t="inlineStr">
        <is>
          <t>HYD-01</t>
        </is>
      </c>
      <c r="D514" s="36">
        <f>INDEX(Branches!$C$2:$C$15,MATCH(C514,Branches!$A$2:$A$15,0))</f>
        <v/>
      </c>
      <c r="E514" s="35" t="inlineStr">
        <is>
          <t>Personal Loan</t>
        </is>
      </c>
      <c r="F514" s="37" t="n">
        <v>45890</v>
      </c>
      <c r="G514" s="38" t="n">
        <v>544000</v>
      </c>
      <c r="H514" s="39" t="n">
        <v>0.1468</v>
      </c>
      <c r="I514" s="35" t="n">
        <v>24</v>
      </c>
      <c r="J514" s="35" t="n">
        <v>662</v>
      </c>
      <c r="K514" s="35" t="n">
        <v>285</v>
      </c>
      <c r="L514" s="40">
        <f>ROUND(PMT(H514/12,I514,-G514),0)</f>
        <v/>
      </c>
      <c r="M514" s="41">
        <f>MAX(0,(YEAR(AsOfDate)-YEAR(F514))*12+MONTH(AsOfDate)-MONTH(F514))</f>
        <v/>
      </c>
      <c r="N514" s="41">
        <f>MAX(0,MIN(I514,M514)-INT(K514/30))</f>
        <v/>
      </c>
      <c r="O514" s="40">
        <f>IF(N514&gt;=I514,0,ROUND(PV(H514/12,I514-N514,-L514),0))</f>
        <v/>
      </c>
      <c r="P514" s="40">
        <f>MIN(I514,M514)*L514-N514*L514</f>
        <v/>
      </c>
      <c r="Q514" s="41">
        <f>INDEX(DPD_Bucket,MATCH(K514,DPD_From,1))</f>
        <v/>
      </c>
      <c r="R514" s="41">
        <f>INDEX(DPD_Class,MATCH(K514,DPD_From,1))</f>
        <v/>
      </c>
      <c r="S514" s="41">
        <f>INDEX(DPD_NPA,MATCH(K514,DPD_From,1))</f>
        <v/>
      </c>
      <c r="T514" s="42">
        <f>INDEX(DPD_Prov,MATCH(K514,DPD_From,1))</f>
        <v/>
      </c>
      <c r="U514" s="40">
        <f>ROUND(O514*T514,0)</f>
        <v/>
      </c>
      <c r="V514" s="41">
        <f>INDEX(CIBIL_Grade,MATCH(J514,CIBIL_From,1))</f>
        <v/>
      </c>
      <c r="W514" s="41">
        <f>YEAR(F514)&amp;"-Q"&amp;ROUNDUP(MONTH(F514)/3,0)</f>
        <v/>
      </c>
      <c r="X514" s="41">
        <f>IF(AND(OR(Dashboard!$C$4="All",D514=Dashboard!$C$4),OR(Dashboard!$C$5="All",E514=Dashboard!$C$5)),1,0)</f>
        <v/>
      </c>
      <c r="Y514" s="43">
        <f>IF(AND(X514=1,S514="Yes"),O514+ROW()/1000000,0)</f>
        <v/>
      </c>
    </row>
    <row r="515">
      <c r="A515" s="35" t="inlineStr">
        <is>
          <t>LN100514</t>
        </is>
      </c>
      <c r="B515" s="35" t="inlineStr">
        <is>
          <t>Swati Reddy</t>
        </is>
      </c>
      <c r="C515" s="35" t="inlineStr">
        <is>
          <t>BBS-01</t>
        </is>
      </c>
      <c r="D515" s="36">
        <f>INDEX(Branches!$C$2:$C$15,MATCH(C515,Branches!$A$2:$A$15,0))</f>
        <v/>
      </c>
      <c r="E515" s="35" t="inlineStr">
        <is>
          <t>Gold Loan</t>
        </is>
      </c>
      <c r="F515" s="37" t="n">
        <v>45796</v>
      </c>
      <c r="G515" s="38" t="n">
        <v>63000</v>
      </c>
      <c r="H515" s="39" t="n">
        <v>0.09959999999999999</v>
      </c>
      <c r="I515" s="35" t="n">
        <v>6</v>
      </c>
      <c r="J515" s="35" t="n">
        <v>694</v>
      </c>
      <c r="K515" s="35" t="n">
        <v>0</v>
      </c>
      <c r="L515" s="40">
        <f>ROUND(PMT(H515/12,I515,-G515),0)</f>
        <v/>
      </c>
      <c r="M515" s="41">
        <f>MAX(0,(YEAR(AsOfDate)-YEAR(F515))*12+MONTH(AsOfDate)-MONTH(F515))</f>
        <v/>
      </c>
      <c r="N515" s="41">
        <f>MAX(0,MIN(I515,M515)-INT(K515/30))</f>
        <v/>
      </c>
      <c r="O515" s="40">
        <f>IF(N515&gt;=I515,0,ROUND(PV(H515/12,I515-N515,-L515),0))</f>
        <v/>
      </c>
      <c r="P515" s="40">
        <f>MIN(I515,M515)*L515-N515*L515</f>
        <v/>
      </c>
      <c r="Q515" s="41">
        <f>INDEX(DPD_Bucket,MATCH(K515,DPD_From,1))</f>
        <v/>
      </c>
      <c r="R515" s="41">
        <f>INDEX(DPD_Class,MATCH(K515,DPD_From,1))</f>
        <v/>
      </c>
      <c r="S515" s="41">
        <f>INDEX(DPD_NPA,MATCH(K515,DPD_From,1))</f>
        <v/>
      </c>
      <c r="T515" s="42">
        <f>INDEX(DPD_Prov,MATCH(K515,DPD_From,1))</f>
        <v/>
      </c>
      <c r="U515" s="40">
        <f>ROUND(O515*T515,0)</f>
        <v/>
      </c>
      <c r="V515" s="41">
        <f>INDEX(CIBIL_Grade,MATCH(J515,CIBIL_From,1))</f>
        <v/>
      </c>
      <c r="W515" s="41">
        <f>YEAR(F515)&amp;"-Q"&amp;ROUNDUP(MONTH(F515)/3,0)</f>
        <v/>
      </c>
      <c r="X515" s="41">
        <f>IF(AND(OR(Dashboard!$C$4="All",D515=Dashboard!$C$4),OR(Dashboard!$C$5="All",E515=Dashboard!$C$5)),1,0)</f>
        <v/>
      </c>
      <c r="Y515" s="43">
        <f>IF(AND(X515=1,S515="Yes"),O515+ROW()/1000000,0)</f>
        <v/>
      </c>
    </row>
    <row r="516">
      <c r="A516" s="35" t="inlineStr">
        <is>
          <t>LN100515</t>
        </is>
      </c>
      <c r="B516" s="35" t="inlineStr">
        <is>
          <t>Harsh Gupta</t>
        </is>
      </c>
      <c r="C516" s="35" t="inlineStr">
        <is>
          <t>HYD-01</t>
        </is>
      </c>
      <c r="D516" s="36">
        <f>INDEX(Branches!$C$2:$C$15,MATCH(C516,Branches!$A$2:$A$15,0))</f>
        <v/>
      </c>
      <c r="E516" s="35" t="inlineStr">
        <is>
          <t>Gold Loan</t>
        </is>
      </c>
      <c r="F516" s="37" t="n">
        <v>45552</v>
      </c>
      <c r="G516" s="38" t="n">
        <v>401000</v>
      </c>
      <c r="H516" s="39" t="n">
        <v>0.09320000000000001</v>
      </c>
      <c r="I516" s="35" t="n">
        <v>12</v>
      </c>
      <c r="J516" s="35" t="n">
        <v>614</v>
      </c>
      <c r="K516" s="35" t="n">
        <v>0</v>
      </c>
      <c r="L516" s="40">
        <f>ROUND(PMT(H516/12,I516,-G516),0)</f>
        <v/>
      </c>
      <c r="M516" s="41">
        <f>MAX(0,(YEAR(AsOfDate)-YEAR(F516))*12+MONTH(AsOfDate)-MONTH(F516))</f>
        <v/>
      </c>
      <c r="N516" s="41">
        <f>MAX(0,MIN(I516,M516)-INT(K516/30))</f>
        <v/>
      </c>
      <c r="O516" s="40">
        <f>IF(N516&gt;=I516,0,ROUND(PV(H516/12,I516-N516,-L516),0))</f>
        <v/>
      </c>
      <c r="P516" s="40">
        <f>MIN(I516,M516)*L516-N516*L516</f>
        <v/>
      </c>
      <c r="Q516" s="41">
        <f>INDEX(DPD_Bucket,MATCH(K516,DPD_From,1))</f>
        <v/>
      </c>
      <c r="R516" s="41">
        <f>INDEX(DPD_Class,MATCH(K516,DPD_From,1))</f>
        <v/>
      </c>
      <c r="S516" s="41">
        <f>INDEX(DPD_NPA,MATCH(K516,DPD_From,1))</f>
        <v/>
      </c>
      <c r="T516" s="42">
        <f>INDEX(DPD_Prov,MATCH(K516,DPD_From,1))</f>
        <v/>
      </c>
      <c r="U516" s="40">
        <f>ROUND(O516*T516,0)</f>
        <v/>
      </c>
      <c r="V516" s="41">
        <f>INDEX(CIBIL_Grade,MATCH(J516,CIBIL_From,1))</f>
        <v/>
      </c>
      <c r="W516" s="41">
        <f>YEAR(F516)&amp;"-Q"&amp;ROUNDUP(MONTH(F516)/3,0)</f>
        <v/>
      </c>
      <c r="X516" s="41">
        <f>IF(AND(OR(Dashboard!$C$4="All",D516=Dashboard!$C$4),OR(Dashboard!$C$5="All",E516=Dashboard!$C$5)),1,0)</f>
        <v/>
      </c>
      <c r="Y516" s="43">
        <f>IF(AND(X516=1,S516="Yes"),O516+ROW()/1000000,0)</f>
        <v/>
      </c>
    </row>
    <row r="517">
      <c r="A517" s="35" t="inlineStr">
        <is>
          <t>LN100516</t>
        </is>
      </c>
      <c r="B517" s="35" t="inlineStr">
        <is>
          <t>Suresh Mohanty</t>
        </is>
      </c>
      <c r="C517" s="35" t="inlineStr">
        <is>
          <t>JAI-01</t>
        </is>
      </c>
      <c r="D517" s="36">
        <f>INDEX(Branches!$C$2:$C$15,MATCH(C517,Branches!$A$2:$A$15,0))</f>
        <v/>
      </c>
      <c r="E517" s="35" t="inlineStr">
        <is>
          <t>Home Loan</t>
        </is>
      </c>
      <c r="F517" s="37" t="n">
        <v>45627</v>
      </c>
      <c r="G517" s="38" t="n">
        <v>5018000</v>
      </c>
      <c r="H517" s="39" t="n">
        <v>0.0936</v>
      </c>
      <c r="I517" s="35" t="n">
        <v>240</v>
      </c>
      <c r="J517" s="35" t="n">
        <v>779</v>
      </c>
      <c r="K517" s="35" t="n">
        <v>0</v>
      </c>
      <c r="L517" s="40">
        <f>ROUND(PMT(H517/12,I517,-G517),0)</f>
        <v/>
      </c>
      <c r="M517" s="41">
        <f>MAX(0,(YEAR(AsOfDate)-YEAR(F517))*12+MONTH(AsOfDate)-MONTH(F517))</f>
        <v/>
      </c>
      <c r="N517" s="41">
        <f>MAX(0,MIN(I517,M517)-INT(K517/30))</f>
        <v/>
      </c>
      <c r="O517" s="40">
        <f>IF(N517&gt;=I517,0,ROUND(PV(H517/12,I517-N517,-L517),0))</f>
        <v/>
      </c>
      <c r="P517" s="40">
        <f>MIN(I517,M517)*L517-N517*L517</f>
        <v/>
      </c>
      <c r="Q517" s="41">
        <f>INDEX(DPD_Bucket,MATCH(K517,DPD_From,1))</f>
        <v/>
      </c>
      <c r="R517" s="41">
        <f>INDEX(DPD_Class,MATCH(K517,DPD_From,1))</f>
        <v/>
      </c>
      <c r="S517" s="41">
        <f>INDEX(DPD_NPA,MATCH(K517,DPD_From,1))</f>
        <v/>
      </c>
      <c r="T517" s="42">
        <f>INDEX(DPD_Prov,MATCH(K517,DPD_From,1))</f>
        <v/>
      </c>
      <c r="U517" s="40">
        <f>ROUND(O517*T517,0)</f>
        <v/>
      </c>
      <c r="V517" s="41">
        <f>INDEX(CIBIL_Grade,MATCH(J517,CIBIL_From,1))</f>
        <v/>
      </c>
      <c r="W517" s="41">
        <f>YEAR(F517)&amp;"-Q"&amp;ROUNDUP(MONTH(F517)/3,0)</f>
        <v/>
      </c>
      <c r="X517" s="41">
        <f>IF(AND(OR(Dashboard!$C$4="All",D517=Dashboard!$C$4),OR(Dashboard!$C$5="All",E517=Dashboard!$C$5)),1,0)</f>
        <v/>
      </c>
      <c r="Y517" s="43">
        <f>IF(AND(X517=1,S517="Yes"),O517+ROW()/1000000,0)</f>
        <v/>
      </c>
    </row>
    <row r="518">
      <c r="A518" s="35" t="inlineStr">
        <is>
          <t>LN100517</t>
        </is>
      </c>
      <c r="B518" s="35" t="inlineStr">
        <is>
          <t>Sneha Patel</t>
        </is>
      </c>
      <c r="C518" s="35" t="inlineStr">
        <is>
          <t>GUW-01</t>
        </is>
      </c>
      <c r="D518" s="36">
        <f>INDEX(Branches!$C$2:$C$15,MATCH(C518,Branches!$A$2:$A$15,0))</f>
        <v/>
      </c>
      <c r="E518" s="35" t="inlineStr">
        <is>
          <t>Auto Loan</t>
        </is>
      </c>
      <c r="F518" s="37" t="n">
        <v>45899</v>
      </c>
      <c r="G518" s="38" t="n">
        <v>1020000</v>
      </c>
      <c r="H518" s="39" t="n">
        <v>0.1037</v>
      </c>
      <c r="I518" s="35" t="n">
        <v>84</v>
      </c>
      <c r="J518" s="35" t="n">
        <v>660</v>
      </c>
      <c r="K518" s="35" t="n">
        <v>0</v>
      </c>
      <c r="L518" s="40">
        <f>ROUND(PMT(H518/12,I518,-G518),0)</f>
        <v/>
      </c>
      <c r="M518" s="41">
        <f>MAX(0,(YEAR(AsOfDate)-YEAR(F518))*12+MONTH(AsOfDate)-MONTH(F518))</f>
        <v/>
      </c>
      <c r="N518" s="41">
        <f>MAX(0,MIN(I518,M518)-INT(K518/30))</f>
        <v/>
      </c>
      <c r="O518" s="40">
        <f>IF(N518&gt;=I518,0,ROUND(PV(H518/12,I518-N518,-L518),0))</f>
        <v/>
      </c>
      <c r="P518" s="40">
        <f>MIN(I518,M518)*L518-N518*L518</f>
        <v/>
      </c>
      <c r="Q518" s="41">
        <f>INDEX(DPD_Bucket,MATCH(K518,DPD_From,1))</f>
        <v/>
      </c>
      <c r="R518" s="41">
        <f>INDEX(DPD_Class,MATCH(K518,DPD_From,1))</f>
        <v/>
      </c>
      <c r="S518" s="41">
        <f>INDEX(DPD_NPA,MATCH(K518,DPD_From,1))</f>
        <v/>
      </c>
      <c r="T518" s="42">
        <f>INDEX(DPD_Prov,MATCH(K518,DPD_From,1))</f>
        <v/>
      </c>
      <c r="U518" s="40">
        <f>ROUND(O518*T518,0)</f>
        <v/>
      </c>
      <c r="V518" s="41">
        <f>INDEX(CIBIL_Grade,MATCH(J518,CIBIL_From,1))</f>
        <v/>
      </c>
      <c r="W518" s="41">
        <f>YEAR(F518)&amp;"-Q"&amp;ROUNDUP(MONTH(F518)/3,0)</f>
        <v/>
      </c>
      <c r="X518" s="41">
        <f>IF(AND(OR(Dashboard!$C$4="All",D518=Dashboard!$C$4),OR(Dashboard!$C$5="All",E518=Dashboard!$C$5)),1,0)</f>
        <v/>
      </c>
      <c r="Y518" s="43">
        <f>IF(AND(X518=1,S518="Yes"),O518+ROW()/1000000,0)</f>
        <v/>
      </c>
    </row>
    <row r="519">
      <c r="A519" s="35" t="inlineStr">
        <is>
          <t>LN100518</t>
        </is>
      </c>
      <c r="B519" s="35" t="inlineStr">
        <is>
          <t>Aarav Gupta</t>
        </is>
      </c>
      <c r="C519" s="35" t="inlineStr">
        <is>
          <t>AMD-01</t>
        </is>
      </c>
      <c r="D519" s="36">
        <f>INDEX(Branches!$C$2:$C$15,MATCH(C519,Branches!$A$2:$A$15,0))</f>
        <v/>
      </c>
      <c r="E519" s="35" t="inlineStr">
        <is>
          <t>Home Loan</t>
        </is>
      </c>
      <c r="F519" s="37" t="n">
        <v>46107</v>
      </c>
      <c r="G519" s="38" t="n">
        <v>4893000</v>
      </c>
      <c r="H519" s="39" t="n">
        <v>0.0934</v>
      </c>
      <c r="I519" s="35" t="n">
        <v>120</v>
      </c>
      <c r="J519" s="35" t="n">
        <v>733</v>
      </c>
      <c r="K519" s="35" t="n">
        <v>0</v>
      </c>
      <c r="L519" s="40">
        <f>ROUND(PMT(H519/12,I519,-G519),0)</f>
        <v/>
      </c>
      <c r="M519" s="41">
        <f>MAX(0,(YEAR(AsOfDate)-YEAR(F519))*12+MONTH(AsOfDate)-MONTH(F519))</f>
        <v/>
      </c>
      <c r="N519" s="41">
        <f>MAX(0,MIN(I519,M519)-INT(K519/30))</f>
        <v/>
      </c>
      <c r="O519" s="40">
        <f>IF(N519&gt;=I519,0,ROUND(PV(H519/12,I519-N519,-L519),0))</f>
        <v/>
      </c>
      <c r="P519" s="40">
        <f>MIN(I519,M519)*L519-N519*L519</f>
        <v/>
      </c>
      <c r="Q519" s="41">
        <f>INDEX(DPD_Bucket,MATCH(K519,DPD_From,1))</f>
        <v/>
      </c>
      <c r="R519" s="41">
        <f>INDEX(DPD_Class,MATCH(K519,DPD_From,1))</f>
        <v/>
      </c>
      <c r="S519" s="41">
        <f>INDEX(DPD_NPA,MATCH(K519,DPD_From,1))</f>
        <v/>
      </c>
      <c r="T519" s="42">
        <f>INDEX(DPD_Prov,MATCH(K519,DPD_From,1))</f>
        <v/>
      </c>
      <c r="U519" s="40">
        <f>ROUND(O519*T519,0)</f>
        <v/>
      </c>
      <c r="V519" s="41">
        <f>INDEX(CIBIL_Grade,MATCH(J519,CIBIL_From,1))</f>
        <v/>
      </c>
      <c r="W519" s="41">
        <f>YEAR(F519)&amp;"-Q"&amp;ROUNDUP(MONTH(F519)/3,0)</f>
        <v/>
      </c>
      <c r="X519" s="41">
        <f>IF(AND(OR(Dashboard!$C$4="All",D519=Dashboard!$C$4),OR(Dashboard!$C$5="All",E519=Dashboard!$C$5)),1,0)</f>
        <v/>
      </c>
      <c r="Y519" s="43">
        <f>IF(AND(X519=1,S519="Yes"),O519+ROW()/1000000,0)</f>
        <v/>
      </c>
    </row>
    <row r="520">
      <c r="A520" s="35" t="inlineStr">
        <is>
          <t>LN100519</t>
        </is>
      </c>
      <c r="B520" s="35" t="inlineStr">
        <is>
          <t>Suresh Pillai</t>
        </is>
      </c>
      <c r="C520" s="35" t="inlineStr">
        <is>
          <t>BBS-01</t>
        </is>
      </c>
      <c r="D520" s="36">
        <f>INDEX(Branches!$C$2:$C$15,MATCH(C520,Branches!$A$2:$A$15,0))</f>
        <v/>
      </c>
      <c r="E520" s="35" t="inlineStr">
        <is>
          <t>Home Loan</t>
        </is>
      </c>
      <c r="F520" s="37" t="n">
        <v>46038</v>
      </c>
      <c r="G520" s="38" t="n">
        <v>6224000</v>
      </c>
      <c r="H520" s="39" t="n">
        <v>0.09039999999999999</v>
      </c>
      <c r="I520" s="35" t="n">
        <v>120</v>
      </c>
      <c r="J520" s="35" t="n">
        <v>795</v>
      </c>
      <c r="K520" s="35" t="n">
        <v>0</v>
      </c>
      <c r="L520" s="40">
        <f>ROUND(PMT(H520/12,I520,-G520),0)</f>
        <v/>
      </c>
      <c r="M520" s="41">
        <f>MAX(0,(YEAR(AsOfDate)-YEAR(F520))*12+MONTH(AsOfDate)-MONTH(F520))</f>
        <v/>
      </c>
      <c r="N520" s="41">
        <f>MAX(0,MIN(I520,M520)-INT(K520/30))</f>
        <v/>
      </c>
      <c r="O520" s="40">
        <f>IF(N520&gt;=I520,0,ROUND(PV(H520/12,I520-N520,-L520),0))</f>
        <v/>
      </c>
      <c r="P520" s="40">
        <f>MIN(I520,M520)*L520-N520*L520</f>
        <v/>
      </c>
      <c r="Q520" s="41">
        <f>INDEX(DPD_Bucket,MATCH(K520,DPD_From,1))</f>
        <v/>
      </c>
      <c r="R520" s="41">
        <f>INDEX(DPD_Class,MATCH(K520,DPD_From,1))</f>
        <v/>
      </c>
      <c r="S520" s="41">
        <f>INDEX(DPD_NPA,MATCH(K520,DPD_From,1))</f>
        <v/>
      </c>
      <c r="T520" s="42">
        <f>INDEX(DPD_Prov,MATCH(K520,DPD_From,1))</f>
        <v/>
      </c>
      <c r="U520" s="40">
        <f>ROUND(O520*T520,0)</f>
        <v/>
      </c>
      <c r="V520" s="41">
        <f>INDEX(CIBIL_Grade,MATCH(J520,CIBIL_From,1))</f>
        <v/>
      </c>
      <c r="W520" s="41">
        <f>YEAR(F520)&amp;"-Q"&amp;ROUNDUP(MONTH(F520)/3,0)</f>
        <v/>
      </c>
      <c r="X520" s="41">
        <f>IF(AND(OR(Dashboard!$C$4="All",D520=Dashboard!$C$4),OR(Dashboard!$C$5="All",E520=Dashboard!$C$5)),1,0)</f>
        <v/>
      </c>
      <c r="Y520" s="43">
        <f>IF(AND(X520=1,S520="Yes"),O520+ROW()/1000000,0)</f>
        <v/>
      </c>
    </row>
    <row r="521">
      <c r="A521" s="35" t="inlineStr">
        <is>
          <t>LN100520</t>
        </is>
      </c>
      <c r="B521" s="35" t="inlineStr">
        <is>
          <t>Tanvi Banerjee</t>
        </is>
      </c>
      <c r="C521" s="35" t="inlineStr">
        <is>
          <t>BBS-01</t>
        </is>
      </c>
      <c r="D521" s="36">
        <f>INDEX(Branches!$C$2:$C$15,MATCH(C521,Branches!$A$2:$A$15,0))</f>
        <v/>
      </c>
      <c r="E521" s="35" t="inlineStr">
        <is>
          <t>Auto Loan</t>
        </is>
      </c>
      <c r="F521" s="37" t="n">
        <v>46088</v>
      </c>
      <c r="G521" s="38" t="n">
        <v>901000</v>
      </c>
      <c r="H521" s="39" t="n">
        <v>0.108</v>
      </c>
      <c r="I521" s="35" t="n">
        <v>84</v>
      </c>
      <c r="J521" s="35" t="n">
        <v>857</v>
      </c>
      <c r="K521" s="35" t="n">
        <v>0</v>
      </c>
      <c r="L521" s="40">
        <f>ROUND(PMT(H521/12,I521,-G521),0)</f>
        <v/>
      </c>
      <c r="M521" s="41">
        <f>MAX(0,(YEAR(AsOfDate)-YEAR(F521))*12+MONTH(AsOfDate)-MONTH(F521))</f>
        <v/>
      </c>
      <c r="N521" s="41">
        <f>MAX(0,MIN(I521,M521)-INT(K521/30))</f>
        <v/>
      </c>
      <c r="O521" s="40">
        <f>IF(N521&gt;=I521,0,ROUND(PV(H521/12,I521-N521,-L521),0))</f>
        <v/>
      </c>
      <c r="P521" s="40">
        <f>MIN(I521,M521)*L521-N521*L521</f>
        <v/>
      </c>
      <c r="Q521" s="41">
        <f>INDEX(DPD_Bucket,MATCH(K521,DPD_From,1))</f>
        <v/>
      </c>
      <c r="R521" s="41">
        <f>INDEX(DPD_Class,MATCH(K521,DPD_From,1))</f>
        <v/>
      </c>
      <c r="S521" s="41">
        <f>INDEX(DPD_NPA,MATCH(K521,DPD_From,1))</f>
        <v/>
      </c>
      <c r="T521" s="42">
        <f>INDEX(DPD_Prov,MATCH(K521,DPD_From,1))</f>
        <v/>
      </c>
      <c r="U521" s="40">
        <f>ROUND(O521*T521,0)</f>
        <v/>
      </c>
      <c r="V521" s="41">
        <f>INDEX(CIBIL_Grade,MATCH(J521,CIBIL_From,1))</f>
        <v/>
      </c>
      <c r="W521" s="41">
        <f>YEAR(F521)&amp;"-Q"&amp;ROUNDUP(MONTH(F521)/3,0)</f>
        <v/>
      </c>
      <c r="X521" s="41">
        <f>IF(AND(OR(Dashboard!$C$4="All",D521=Dashboard!$C$4),OR(Dashboard!$C$5="All",E521=Dashboard!$C$5)),1,0)</f>
        <v/>
      </c>
      <c r="Y521" s="43">
        <f>IF(AND(X521=1,S521="Yes"),O521+ROW()/1000000,0)</f>
        <v/>
      </c>
    </row>
    <row r="522">
      <c r="A522" s="35" t="inlineStr">
        <is>
          <t>LN100521</t>
        </is>
      </c>
      <c r="B522" s="35" t="inlineStr">
        <is>
          <t>Manish Verma</t>
        </is>
      </c>
      <c r="C522" s="35" t="inlineStr">
        <is>
          <t>KOC-01</t>
        </is>
      </c>
      <c r="D522" s="36">
        <f>INDEX(Branches!$C$2:$C$15,MATCH(C522,Branches!$A$2:$A$15,0))</f>
        <v/>
      </c>
      <c r="E522" s="35" t="inlineStr">
        <is>
          <t>Business Loan</t>
        </is>
      </c>
      <c r="F522" s="37" t="n">
        <v>45950</v>
      </c>
      <c r="G522" s="38" t="n">
        <v>1810000</v>
      </c>
      <c r="H522" s="39" t="n">
        <v>0.1579</v>
      </c>
      <c r="I522" s="35" t="n">
        <v>12</v>
      </c>
      <c r="J522" s="35" t="n">
        <v>636</v>
      </c>
      <c r="K522" s="35" t="n">
        <v>111</v>
      </c>
      <c r="L522" s="40">
        <f>ROUND(PMT(H522/12,I522,-G522),0)</f>
        <v/>
      </c>
      <c r="M522" s="41">
        <f>MAX(0,(YEAR(AsOfDate)-YEAR(F522))*12+MONTH(AsOfDate)-MONTH(F522))</f>
        <v/>
      </c>
      <c r="N522" s="41">
        <f>MAX(0,MIN(I522,M522)-INT(K522/30))</f>
        <v/>
      </c>
      <c r="O522" s="40">
        <f>IF(N522&gt;=I522,0,ROUND(PV(H522/12,I522-N522,-L522),0))</f>
        <v/>
      </c>
      <c r="P522" s="40">
        <f>MIN(I522,M522)*L522-N522*L522</f>
        <v/>
      </c>
      <c r="Q522" s="41">
        <f>INDEX(DPD_Bucket,MATCH(K522,DPD_From,1))</f>
        <v/>
      </c>
      <c r="R522" s="41">
        <f>INDEX(DPD_Class,MATCH(K522,DPD_From,1))</f>
        <v/>
      </c>
      <c r="S522" s="41">
        <f>INDEX(DPD_NPA,MATCH(K522,DPD_From,1))</f>
        <v/>
      </c>
      <c r="T522" s="42">
        <f>INDEX(DPD_Prov,MATCH(K522,DPD_From,1))</f>
        <v/>
      </c>
      <c r="U522" s="40">
        <f>ROUND(O522*T522,0)</f>
        <v/>
      </c>
      <c r="V522" s="41">
        <f>INDEX(CIBIL_Grade,MATCH(J522,CIBIL_From,1))</f>
        <v/>
      </c>
      <c r="W522" s="41">
        <f>YEAR(F522)&amp;"-Q"&amp;ROUNDUP(MONTH(F522)/3,0)</f>
        <v/>
      </c>
      <c r="X522" s="41">
        <f>IF(AND(OR(Dashboard!$C$4="All",D522=Dashboard!$C$4),OR(Dashboard!$C$5="All",E522=Dashboard!$C$5)),1,0)</f>
        <v/>
      </c>
      <c r="Y522" s="43">
        <f>IF(AND(X522=1,S522="Yes"),O522+ROW()/1000000,0)</f>
        <v/>
      </c>
    </row>
    <row r="523">
      <c r="A523" s="35" t="inlineStr">
        <is>
          <t>LN100522</t>
        </is>
      </c>
      <c r="B523" s="35" t="inlineStr">
        <is>
          <t>Diya Sahoo</t>
        </is>
      </c>
      <c r="C523" s="35" t="inlineStr">
        <is>
          <t>BLR-01</t>
        </is>
      </c>
      <c r="D523" s="36">
        <f>INDEX(Branches!$C$2:$C$15,MATCH(C523,Branches!$A$2:$A$15,0))</f>
        <v/>
      </c>
      <c r="E523" s="35" t="inlineStr">
        <is>
          <t>Auto Loan</t>
        </is>
      </c>
      <c r="F523" s="37" t="n">
        <v>45229</v>
      </c>
      <c r="G523" s="38" t="n">
        <v>1504000</v>
      </c>
      <c r="H523" s="39" t="n">
        <v>0.117</v>
      </c>
      <c r="I523" s="35" t="n">
        <v>60</v>
      </c>
      <c r="J523" s="35" t="n">
        <v>765</v>
      </c>
      <c r="K523" s="35" t="n">
        <v>0</v>
      </c>
      <c r="L523" s="40">
        <f>ROUND(PMT(H523/12,I523,-G523),0)</f>
        <v/>
      </c>
      <c r="M523" s="41">
        <f>MAX(0,(YEAR(AsOfDate)-YEAR(F523))*12+MONTH(AsOfDate)-MONTH(F523))</f>
        <v/>
      </c>
      <c r="N523" s="41">
        <f>MAX(0,MIN(I523,M523)-INT(K523/30))</f>
        <v/>
      </c>
      <c r="O523" s="40">
        <f>IF(N523&gt;=I523,0,ROUND(PV(H523/12,I523-N523,-L523),0))</f>
        <v/>
      </c>
      <c r="P523" s="40">
        <f>MIN(I523,M523)*L523-N523*L523</f>
        <v/>
      </c>
      <c r="Q523" s="41">
        <f>INDEX(DPD_Bucket,MATCH(K523,DPD_From,1))</f>
        <v/>
      </c>
      <c r="R523" s="41">
        <f>INDEX(DPD_Class,MATCH(K523,DPD_From,1))</f>
        <v/>
      </c>
      <c r="S523" s="41">
        <f>INDEX(DPD_NPA,MATCH(K523,DPD_From,1))</f>
        <v/>
      </c>
      <c r="T523" s="42">
        <f>INDEX(DPD_Prov,MATCH(K523,DPD_From,1))</f>
        <v/>
      </c>
      <c r="U523" s="40">
        <f>ROUND(O523*T523,0)</f>
        <v/>
      </c>
      <c r="V523" s="41">
        <f>INDEX(CIBIL_Grade,MATCH(J523,CIBIL_From,1))</f>
        <v/>
      </c>
      <c r="W523" s="41">
        <f>YEAR(F523)&amp;"-Q"&amp;ROUNDUP(MONTH(F523)/3,0)</f>
        <v/>
      </c>
      <c r="X523" s="41">
        <f>IF(AND(OR(Dashboard!$C$4="All",D523=Dashboard!$C$4),OR(Dashboard!$C$5="All",E523=Dashboard!$C$5)),1,0)</f>
        <v/>
      </c>
      <c r="Y523" s="43">
        <f>IF(AND(X523=1,S523="Yes"),O523+ROW()/1000000,0)</f>
        <v/>
      </c>
    </row>
    <row r="524">
      <c r="A524" s="35" t="inlineStr">
        <is>
          <t>LN100523</t>
        </is>
      </c>
      <c r="B524" s="35" t="inlineStr">
        <is>
          <t>Swati Kulkarni</t>
        </is>
      </c>
      <c r="C524" s="35" t="inlineStr">
        <is>
          <t>HYD-01</t>
        </is>
      </c>
      <c r="D524" s="36">
        <f>INDEX(Branches!$C$2:$C$15,MATCH(C524,Branches!$A$2:$A$15,0))</f>
        <v/>
      </c>
      <c r="E524" s="35" t="inlineStr">
        <is>
          <t>Personal Loan</t>
        </is>
      </c>
      <c r="F524" s="37" t="n">
        <v>45988</v>
      </c>
      <c r="G524" s="38" t="n">
        <v>650000</v>
      </c>
      <c r="H524" s="39" t="n">
        <v>0.1293</v>
      </c>
      <c r="I524" s="35" t="n">
        <v>48</v>
      </c>
      <c r="J524" s="35" t="n">
        <v>730</v>
      </c>
      <c r="K524" s="35" t="n">
        <v>0</v>
      </c>
      <c r="L524" s="40">
        <f>ROUND(PMT(H524/12,I524,-G524),0)</f>
        <v/>
      </c>
      <c r="M524" s="41">
        <f>MAX(0,(YEAR(AsOfDate)-YEAR(F524))*12+MONTH(AsOfDate)-MONTH(F524))</f>
        <v/>
      </c>
      <c r="N524" s="41">
        <f>MAX(0,MIN(I524,M524)-INT(K524/30))</f>
        <v/>
      </c>
      <c r="O524" s="40">
        <f>IF(N524&gt;=I524,0,ROUND(PV(H524/12,I524-N524,-L524),0))</f>
        <v/>
      </c>
      <c r="P524" s="40">
        <f>MIN(I524,M524)*L524-N524*L524</f>
        <v/>
      </c>
      <c r="Q524" s="41">
        <f>INDEX(DPD_Bucket,MATCH(K524,DPD_From,1))</f>
        <v/>
      </c>
      <c r="R524" s="41">
        <f>INDEX(DPD_Class,MATCH(K524,DPD_From,1))</f>
        <v/>
      </c>
      <c r="S524" s="41">
        <f>INDEX(DPD_NPA,MATCH(K524,DPD_From,1))</f>
        <v/>
      </c>
      <c r="T524" s="42">
        <f>INDEX(DPD_Prov,MATCH(K524,DPD_From,1))</f>
        <v/>
      </c>
      <c r="U524" s="40">
        <f>ROUND(O524*T524,0)</f>
        <v/>
      </c>
      <c r="V524" s="41">
        <f>INDEX(CIBIL_Grade,MATCH(J524,CIBIL_From,1))</f>
        <v/>
      </c>
      <c r="W524" s="41">
        <f>YEAR(F524)&amp;"-Q"&amp;ROUNDUP(MONTH(F524)/3,0)</f>
        <v/>
      </c>
      <c r="X524" s="41">
        <f>IF(AND(OR(Dashboard!$C$4="All",D524=Dashboard!$C$4),OR(Dashboard!$C$5="All",E524=Dashboard!$C$5)),1,0)</f>
        <v/>
      </c>
      <c r="Y524" s="43">
        <f>IF(AND(X524=1,S524="Yes"),O524+ROW()/1000000,0)</f>
        <v/>
      </c>
    </row>
    <row r="525">
      <c r="A525" s="35" t="inlineStr">
        <is>
          <t>LN100524</t>
        </is>
      </c>
      <c r="B525" s="35" t="inlineStr">
        <is>
          <t>Aditya Gupta</t>
        </is>
      </c>
      <c r="C525" s="35" t="inlineStr">
        <is>
          <t>PUN-01</t>
        </is>
      </c>
      <c r="D525" s="36">
        <f>INDEX(Branches!$C$2:$C$15,MATCH(C525,Branches!$A$2:$A$15,0))</f>
        <v/>
      </c>
      <c r="E525" s="35" t="inlineStr">
        <is>
          <t>Home Loan</t>
        </is>
      </c>
      <c r="F525" s="37" t="n">
        <v>45760</v>
      </c>
      <c r="G525" s="38" t="n">
        <v>10992000</v>
      </c>
      <c r="H525" s="39" t="n">
        <v>0.09669999999999999</v>
      </c>
      <c r="I525" s="35" t="n">
        <v>180</v>
      </c>
      <c r="J525" s="35" t="n">
        <v>708</v>
      </c>
      <c r="K525" s="35" t="n">
        <v>0</v>
      </c>
      <c r="L525" s="40">
        <f>ROUND(PMT(H525/12,I525,-G525),0)</f>
        <v/>
      </c>
      <c r="M525" s="41">
        <f>MAX(0,(YEAR(AsOfDate)-YEAR(F525))*12+MONTH(AsOfDate)-MONTH(F525))</f>
        <v/>
      </c>
      <c r="N525" s="41">
        <f>MAX(0,MIN(I525,M525)-INT(K525/30))</f>
        <v/>
      </c>
      <c r="O525" s="40">
        <f>IF(N525&gt;=I525,0,ROUND(PV(H525/12,I525-N525,-L525),0))</f>
        <v/>
      </c>
      <c r="P525" s="40">
        <f>MIN(I525,M525)*L525-N525*L525</f>
        <v/>
      </c>
      <c r="Q525" s="41">
        <f>INDEX(DPD_Bucket,MATCH(K525,DPD_From,1))</f>
        <v/>
      </c>
      <c r="R525" s="41">
        <f>INDEX(DPD_Class,MATCH(K525,DPD_From,1))</f>
        <v/>
      </c>
      <c r="S525" s="41">
        <f>INDEX(DPD_NPA,MATCH(K525,DPD_From,1))</f>
        <v/>
      </c>
      <c r="T525" s="42">
        <f>INDEX(DPD_Prov,MATCH(K525,DPD_From,1))</f>
        <v/>
      </c>
      <c r="U525" s="40">
        <f>ROUND(O525*T525,0)</f>
        <v/>
      </c>
      <c r="V525" s="41">
        <f>INDEX(CIBIL_Grade,MATCH(J525,CIBIL_From,1))</f>
        <v/>
      </c>
      <c r="W525" s="41">
        <f>YEAR(F525)&amp;"-Q"&amp;ROUNDUP(MONTH(F525)/3,0)</f>
        <v/>
      </c>
      <c r="X525" s="41">
        <f>IF(AND(OR(Dashboard!$C$4="All",D525=Dashboard!$C$4),OR(Dashboard!$C$5="All",E525=Dashboard!$C$5)),1,0)</f>
        <v/>
      </c>
      <c r="Y525" s="43">
        <f>IF(AND(X525=1,S525="Yes"),O525+ROW()/1000000,0)</f>
        <v/>
      </c>
    </row>
    <row r="526">
      <c r="A526" s="35" t="inlineStr">
        <is>
          <t>LN100525</t>
        </is>
      </c>
      <c r="B526" s="35" t="inlineStr">
        <is>
          <t>Rahul Banerjee</t>
        </is>
      </c>
      <c r="C526" s="35" t="inlineStr">
        <is>
          <t>BBS-01</t>
        </is>
      </c>
      <c r="D526" s="36">
        <f>INDEX(Branches!$C$2:$C$15,MATCH(C526,Branches!$A$2:$A$15,0))</f>
        <v/>
      </c>
      <c r="E526" s="35" t="inlineStr">
        <is>
          <t>Business Loan</t>
        </is>
      </c>
      <c r="F526" s="37" t="n">
        <v>45987</v>
      </c>
      <c r="G526" s="38" t="n">
        <v>4060000</v>
      </c>
      <c r="H526" s="39" t="n">
        <v>0.1658</v>
      </c>
      <c r="I526" s="35" t="n">
        <v>12</v>
      </c>
      <c r="J526" s="35" t="n">
        <v>780</v>
      </c>
      <c r="K526" s="35" t="n">
        <v>0</v>
      </c>
      <c r="L526" s="40">
        <f>ROUND(PMT(H526/12,I526,-G526),0)</f>
        <v/>
      </c>
      <c r="M526" s="41">
        <f>MAX(0,(YEAR(AsOfDate)-YEAR(F526))*12+MONTH(AsOfDate)-MONTH(F526))</f>
        <v/>
      </c>
      <c r="N526" s="41">
        <f>MAX(0,MIN(I526,M526)-INT(K526/30))</f>
        <v/>
      </c>
      <c r="O526" s="40">
        <f>IF(N526&gt;=I526,0,ROUND(PV(H526/12,I526-N526,-L526),0))</f>
        <v/>
      </c>
      <c r="P526" s="40">
        <f>MIN(I526,M526)*L526-N526*L526</f>
        <v/>
      </c>
      <c r="Q526" s="41">
        <f>INDEX(DPD_Bucket,MATCH(K526,DPD_From,1))</f>
        <v/>
      </c>
      <c r="R526" s="41">
        <f>INDEX(DPD_Class,MATCH(K526,DPD_From,1))</f>
        <v/>
      </c>
      <c r="S526" s="41">
        <f>INDEX(DPD_NPA,MATCH(K526,DPD_From,1))</f>
        <v/>
      </c>
      <c r="T526" s="42">
        <f>INDEX(DPD_Prov,MATCH(K526,DPD_From,1))</f>
        <v/>
      </c>
      <c r="U526" s="40">
        <f>ROUND(O526*T526,0)</f>
        <v/>
      </c>
      <c r="V526" s="41">
        <f>INDEX(CIBIL_Grade,MATCH(J526,CIBIL_From,1))</f>
        <v/>
      </c>
      <c r="W526" s="41">
        <f>YEAR(F526)&amp;"-Q"&amp;ROUNDUP(MONTH(F526)/3,0)</f>
        <v/>
      </c>
      <c r="X526" s="41">
        <f>IF(AND(OR(Dashboard!$C$4="All",D526=Dashboard!$C$4),OR(Dashboard!$C$5="All",E526=Dashboard!$C$5)),1,0)</f>
        <v/>
      </c>
      <c r="Y526" s="43">
        <f>IF(AND(X526=1,S526="Yes"),O526+ROW()/1000000,0)</f>
        <v/>
      </c>
    </row>
    <row r="527">
      <c r="A527" s="35" t="inlineStr">
        <is>
          <t>LN100526</t>
        </is>
      </c>
      <c r="B527" s="35" t="inlineStr">
        <is>
          <t>Farhan Verma</t>
        </is>
      </c>
      <c r="C527" s="35" t="inlineStr">
        <is>
          <t>AMD-01</t>
        </is>
      </c>
      <c r="D527" s="36">
        <f>INDEX(Branches!$C$2:$C$15,MATCH(C527,Branches!$A$2:$A$15,0))</f>
        <v/>
      </c>
      <c r="E527" s="35" t="inlineStr">
        <is>
          <t>Gold Loan</t>
        </is>
      </c>
      <c r="F527" s="37" t="n">
        <v>45394</v>
      </c>
      <c r="G527" s="38" t="n">
        <v>189000</v>
      </c>
      <c r="H527" s="39" t="n">
        <v>0.1119</v>
      </c>
      <c r="I527" s="35" t="n">
        <v>12</v>
      </c>
      <c r="J527" s="35" t="n">
        <v>774</v>
      </c>
      <c r="K527" s="35" t="n">
        <v>0</v>
      </c>
      <c r="L527" s="40">
        <f>ROUND(PMT(H527/12,I527,-G527),0)</f>
        <v/>
      </c>
      <c r="M527" s="41">
        <f>MAX(0,(YEAR(AsOfDate)-YEAR(F527))*12+MONTH(AsOfDate)-MONTH(F527))</f>
        <v/>
      </c>
      <c r="N527" s="41">
        <f>MAX(0,MIN(I527,M527)-INT(K527/30))</f>
        <v/>
      </c>
      <c r="O527" s="40">
        <f>IF(N527&gt;=I527,0,ROUND(PV(H527/12,I527-N527,-L527),0))</f>
        <v/>
      </c>
      <c r="P527" s="40">
        <f>MIN(I527,M527)*L527-N527*L527</f>
        <v/>
      </c>
      <c r="Q527" s="41">
        <f>INDEX(DPD_Bucket,MATCH(K527,DPD_From,1))</f>
        <v/>
      </c>
      <c r="R527" s="41">
        <f>INDEX(DPD_Class,MATCH(K527,DPD_From,1))</f>
        <v/>
      </c>
      <c r="S527" s="41">
        <f>INDEX(DPD_NPA,MATCH(K527,DPD_From,1))</f>
        <v/>
      </c>
      <c r="T527" s="42">
        <f>INDEX(DPD_Prov,MATCH(K527,DPD_From,1))</f>
        <v/>
      </c>
      <c r="U527" s="40">
        <f>ROUND(O527*T527,0)</f>
        <v/>
      </c>
      <c r="V527" s="41">
        <f>INDEX(CIBIL_Grade,MATCH(J527,CIBIL_From,1))</f>
        <v/>
      </c>
      <c r="W527" s="41">
        <f>YEAR(F527)&amp;"-Q"&amp;ROUNDUP(MONTH(F527)/3,0)</f>
        <v/>
      </c>
      <c r="X527" s="41">
        <f>IF(AND(OR(Dashboard!$C$4="All",D527=Dashboard!$C$4),OR(Dashboard!$C$5="All",E527=Dashboard!$C$5)),1,0)</f>
        <v/>
      </c>
      <c r="Y527" s="43">
        <f>IF(AND(X527=1,S527="Yes"),O527+ROW()/1000000,0)</f>
        <v/>
      </c>
    </row>
    <row r="528">
      <c r="A528" s="35" t="inlineStr">
        <is>
          <t>LN100527</t>
        </is>
      </c>
      <c r="B528" s="35" t="inlineStr">
        <is>
          <t>Suresh Gupta</t>
        </is>
      </c>
      <c r="C528" s="35" t="inlineStr">
        <is>
          <t>BLR-01</t>
        </is>
      </c>
      <c r="D528" s="36">
        <f>INDEX(Branches!$C$2:$C$15,MATCH(C528,Branches!$A$2:$A$15,0))</f>
        <v/>
      </c>
      <c r="E528" s="35" t="inlineStr">
        <is>
          <t>Gold Loan</t>
        </is>
      </c>
      <c r="F528" s="37" t="n">
        <v>45803</v>
      </c>
      <c r="G528" s="38" t="n">
        <v>256000</v>
      </c>
      <c r="H528" s="39" t="n">
        <v>0.1157</v>
      </c>
      <c r="I528" s="35" t="n">
        <v>12</v>
      </c>
      <c r="J528" s="35" t="n">
        <v>756</v>
      </c>
      <c r="K528" s="35" t="n">
        <v>0</v>
      </c>
      <c r="L528" s="40">
        <f>ROUND(PMT(H528/12,I528,-G528),0)</f>
        <v/>
      </c>
      <c r="M528" s="41">
        <f>MAX(0,(YEAR(AsOfDate)-YEAR(F528))*12+MONTH(AsOfDate)-MONTH(F528))</f>
        <v/>
      </c>
      <c r="N528" s="41">
        <f>MAX(0,MIN(I528,M528)-INT(K528/30))</f>
        <v/>
      </c>
      <c r="O528" s="40">
        <f>IF(N528&gt;=I528,0,ROUND(PV(H528/12,I528-N528,-L528),0))</f>
        <v/>
      </c>
      <c r="P528" s="40">
        <f>MIN(I528,M528)*L528-N528*L528</f>
        <v/>
      </c>
      <c r="Q528" s="41">
        <f>INDEX(DPD_Bucket,MATCH(K528,DPD_From,1))</f>
        <v/>
      </c>
      <c r="R528" s="41">
        <f>INDEX(DPD_Class,MATCH(K528,DPD_From,1))</f>
        <v/>
      </c>
      <c r="S528" s="41">
        <f>INDEX(DPD_NPA,MATCH(K528,DPD_From,1))</f>
        <v/>
      </c>
      <c r="T528" s="42">
        <f>INDEX(DPD_Prov,MATCH(K528,DPD_From,1))</f>
        <v/>
      </c>
      <c r="U528" s="40">
        <f>ROUND(O528*T528,0)</f>
        <v/>
      </c>
      <c r="V528" s="41">
        <f>INDEX(CIBIL_Grade,MATCH(J528,CIBIL_From,1))</f>
        <v/>
      </c>
      <c r="W528" s="41">
        <f>YEAR(F528)&amp;"-Q"&amp;ROUNDUP(MONTH(F528)/3,0)</f>
        <v/>
      </c>
      <c r="X528" s="41">
        <f>IF(AND(OR(Dashboard!$C$4="All",D528=Dashboard!$C$4),OR(Dashboard!$C$5="All",E528=Dashboard!$C$5)),1,0)</f>
        <v/>
      </c>
      <c r="Y528" s="43">
        <f>IF(AND(X528=1,S528="Yes"),O528+ROW()/1000000,0)</f>
        <v/>
      </c>
    </row>
    <row r="529">
      <c r="A529" s="35" t="inlineStr">
        <is>
          <t>LN100528</t>
        </is>
      </c>
      <c r="B529" s="35" t="inlineStr">
        <is>
          <t>Karthik Pillai</t>
        </is>
      </c>
      <c r="C529" s="35" t="inlineStr">
        <is>
          <t>DEL-01</t>
        </is>
      </c>
      <c r="D529" s="36">
        <f>INDEX(Branches!$C$2:$C$15,MATCH(C529,Branches!$A$2:$A$15,0))</f>
        <v/>
      </c>
      <c r="E529" s="35" t="inlineStr">
        <is>
          <t>Personal Loan</t>
        </is>
      </c>
      <c r="F529" s="37" t="n">
        <v>45163</v>
      </c>
      <c r="G529" s="38" t="n">
        <v>674000</v>
      </c>
      <c r="H529" s="39" t="n">
        <v>0.111</v>
      </c>
      <c r="I529" s="35" t="n">
        <v>12</v>
      </c>
      <c r="J529" s="35" t="n">
        <v>754</v>
      </c>
      <c r="K529" s="35" t="n">
        <v>0</v>
      </c>
      <c r="L529" s="40">
        <f>ROUND(PMT(H529/12,I529,-G529),0)</f>
        <v/>
      </c>
      <c r="M529" s="41">
        <f>MAX(0,(YEAR(AsOfDate)-YEAR(F529))*12+MONTH(AsOfDate)-MONTH(F529))</f>
        <v/>
      </c>
      <c r="N529" s="41">
        <f>MAX(0,MIN(I529,M529)-INT(K529/30))</f>
        <v/>
      </c>
      <c r="O529" s="40">
        <f>IF(N529&gt;=I529,0,ROUND(PV(H529/12,I529-N529,-L529),0))</f>
        <v/>
      </c>
      <c r="P529" s="40">
        <f>MIN(I529,M529)*L529-N529*L529</f>
        <v/>
      </c>
      <c r="Q529" s="41">
        <f>INDEX(DPD_Bucket,MATCH(K529,DPD_From,1))</f>
        <v/>
      </c>
      <c r="R529" s="41">
        <f>INDEX(DPD_Class,MATCH(K529,DPD_From,1))</f>
        <v/>
      </c>
      <c r="S529" s="41">
        <f>INDEX(DPD_NPA,MATCH(K529,DPD_From,1))</f>
        <v/>
      </c>
      <c r="T529" s="42">
        <f>INDEX(DPD_Prov,MATCH(K529,DPD_From,1))</f>
        <v/>
      </c>
      <c r="U529" s="40">
        <f>ROUND(O529*T529,0)</f>
        <v/>
      </c>
      <c r="V529" s="41">
        <f>INDEX(CIBIL_Grade,MATCH(J529,CIBIL_From,1))</f>
        <v/>
      </c>
      <c r="W529" s="41">
        <f>YEAR(F529)&amp;"-Q"&amp;ROUNDUP(MONTH(F529)/3,0)</f>
        <v/>
      </c>
      <c r="X529" s="41">
        <f>IF(AND(OR(Dashboard!$C$4="All",D529=Dashboard!$C$4),OR(Dashboard!$C$5="All",E529=Dashboard!$C$5)),1,0)</f>
        <v/>
      </c>
      <c r="Y529" s="43">
        <f>IF(AND(X529=1,S529="Yes"),O529+ROW()/1000000,0)</f>
        <v/>
      </c>
    </row>
    <row r="530">
      <c r="A530" s="35" t="inlineStr">
        <is>
          <t>LN100529</t>
        </is>
      </c>
      <c r="B530" s="35" t="inlineStr">
        <is>
          <t>Vivaan Patel</t>
        </is>
      </c>
      <c r="C530" s="35" t="inlineStr">
        <is>
          <t>HYD-01</t>
        </is>
      </c>
      <c r="D530" s="36">
        <f>INDEX(Branches!$C$2:$C$15,MATCH(C530,Branches!$A$2:$A$15,0))</f>
        <v/>
      </c>
      <c r="E530" s="35" t="inlineStr">
        <is>
          <t>Personal Loan</t>
        </is>
      </c>
      <c r="F530" s="37" t="n">
        <v>45604</v>
      </c>
      <c r="G530" s="38" t="n">
        <v>177000</v>
      </c>
      <c r="H530" s="39" t="n">
        <v>0.1312</v>
      </c>
      <c r="I530" s="35" t="n">
        <v>24</v>
      </c>
      <c r="J530" s="35" t="n">
        <v>683</v>
      </c>
      <c r="K530" s="35" t="n">
        <v>0</v>
      </c>
      <c r="L530" s="40">
        <f>ROUND(PMT(H530/12,I530,-G530),0)</f>
        <v/>
      </c>
      <c r="M530" s="41">
        <f>MAX(0,(YEAR(AsOfDate)-YEAR(F530))*12+MONTH(AsOfDate)-MONTH(F530))</f>
        <v/>
      </c>
      <c r="N530" s="41">
        <f>MAX(0,MIN(I530,M530)-INT(K530/30))</f>
        <v/>
      </c>
      <c r="O530" s="40">
        <f>IF(N530&gt;=I530,0,ROUND(PV(H530/12,I530-N530,-L530),0))</f>
        <v/>
      </c>
      <c r="P530" s="40">
        <f>MIN(I530,M530)*L530-N530*L530</f>
        <v/>
      </c>
      <c r="Q530" s="41">
        <f>INDEX(DPD_Bucket,MATCH(K530,DPD_From,1))</f>
        <v/>
      </c>
      <c r="R530" s="41">
        <f>INDEX(DPD_Class,MATCH(K530,DPD_From,1))</f>
        <v/>
      </c>
      <c r="S530" s="41">
        <f>INDEX(DPD_NPA,MATCH(K530,DPD_From,1))</f>
        <v/>
      </c>
      <c r="T530" s="42">
        <f>INDEX(DPD_Prov,MATCH(K530,DPD_From,1))</f>
        <v/>
      </c>
      <c r="U530" s="40">
        <f>ROUND(O530*T530,0)</f>
        <v/>
      </c>
      <c r="V530" s="41">
        <f>INDEX(CIBIL_Grade,MATCH(J530,CIBIL_From,1))</f>
        <v/>
      </c>
      <c r="W530" s="41">
        <f>YEAR(F530)&amp;"-Q"&amp;ROUNDUP(MONTH(F530)/3,0)</f>
        <v/>
      </c>
      <c r="X530" s="41">
        <f>IF(AND(OR(Dashboard!$C$4="All",D530=Dashboard!$C$4),OR(Dashboard!$C$5="All",E530=Dashboard!$C$5)),1,0)</f>
        <v/>
      </c>
      <c r="Y530" s="43">
        <f>IF(AND(X530=1,S530="Yes"),O530+ROW()/1000000,0)</f>
        <v/>
      </c>
    </row>
    <row r="531">
      <c r="A531" s="35" t="inlineStr">
        <is>
          <t>LN100530</t>
        </is>
      </c>
      <c r="B531" s="35" t="inlineStr">
        <is>
          <t>Aditya Verma</t>
        </is>
      </c>
      <c r="C531" s="35" t="inlineStr">
        <is>
          <t>CHN-01</t>
        </is>
      </c>
      <c r="D531" s="36">
        <f>INDEX(Branches!$C$2:$C$15,MATCH(C531,Branches!$A$2:$A$15,0))</f>
        <v/>
      </c>
      <c r="E531" s="35" t="inlineStr">
        <is>
          <t>Home Loan</t>
        </is>
      </c>
      <c r="F531" s="37" t="n">
        <v>45562</v>
      </c>
      <c r="G531" s="38" t="n">
        <v>7420000</v>
      </c>
      <c r="H531" s="39" t="n">
        <v>0.08649999999999999</v>
      </c>
      <c r="I531" s="35" t="n">
        <v>120</v>
      </c>
      <c r="J531" s="35" t="n">
        <v>686</v>
      </c>
      <c r="K531" s="35" t="n">
        <v>0</v>
      </c>
      <c r="L531" s="40">
        <f>ROUND(PMT(H531/12,I531,-G531),0)</f>
        <v/>
      </c>
      <c r="M531" s="41">
        <f>MAX(0,(YEAR(AsOfDate)-YEAR(F531))*12+MONTH(AsOfDate)-MONTH(F531))</f>
        <v/>
      </c>
      <c r="N531" s="41">
        <f>MAX(0,MIN(I531,M531)-INT(K531/30))</f>
        <v/>
      </c>
      <c r="O531" s="40">
        <f>IF(N531&gt;=I531,0,ROUND(PV(H531/12,I531-N531,-L531),0))</f>
        <v/>
      </c>
      <c r="P531" s="40">
        <f>MIN(I531,M531)*L531-N531*L531</f>
        <v/>
      </c>
      <c r="Q531" s="41">
        <f>INDEX(DPD_Bucket,MATCH(K531,DPD_From,1))</f>
        <v/>
      </c>
      <c r="R531" s="41">
        <f>INDEX(DPD_Class,MATCH(K531,DPD_From,1))</f>
        <v/>
      </c>
      <c r="S531" s="41">
        <f>INDEX(DPD_NPA,MATCH(K531,DPD_From,1))</f>
        <v/>
      </c>
      <c r="T531" s="42">
        <f>INDEX(DPD_Prov,MATCH(K531,DPD_From,1))</f>
        <v/>
      </c>
      <c r="U531" s="40">
        <f>ROUND(O531*T531,0)</f>
        <v/>
      </c>
      <c r="V531" s="41">
        <f>INDEX(CIBIL_Grade,MATCH(J531,CIBIL_From,1))</f>
        <v/>
      </c>
      <c r="W531" s="41">
        <f>YEAR(F531)&amp;"-Q"&amp;ROUNDUP(MONTH(F531)/3,0)</f>
        <v/>
      </c>
      <c r="X531" s="41">
        <f>IF(AND(OR(Dashboard!$C$4="All",D531=Dashboard!$C$4),OR(Dashboard!$C$5="All",E531=Dashboard!$C$5)),1,0)</f>
        <v/>
      </c>
      <c r="Y531" s="43">
        <f>IF(AND(X531=1,S531="Yes"),O531+ROW()/1000000,0)</f>
        <v/>
      </c>
    </row>
    <row r="532">
      <c r="A532" s="35" t="inlineStr">
        <is>
          <t>LN100531</t>
        </is>
      </c>
      <c r="B532" s="35" t="inlineStr">
        <is>
          <t>Vivaan Iyer</t>
        </is>
      </c>
      <c r="C532" s="35" t="inlineStr">
        <is>
          <t>PAT-01</t>
        </is>
      </c>
      <c r="D532" s="36">
        <f>INDEX(Branches!$C$2:$C$15,MATCH(C532,Branches!$A$2:$A$15,0))</f>
        <v/>
      </c>
      <c r="E532" s="35" t="inlineStr">
        <is>
          <t>Personal Loan</t>
        </is>
      </c>
      <c r="F532" s="37" t="n">
        <v>45810</v>
      </c>
      <c r="G532" s="38" t="n">
        <v>519000</v>
      </c>
      <c r="H532" s="39" t="n">
        <v>0.1326</v>
      </c>
      <c r="I532" s="35" t="n">
        <v>60</v>
      </c>
      <c r="J532" s="35" t="n">
        <v>824</v>
      </c>
      <c r="K532" s="35" t="n">
        <v>0</v>
      </c>
      <c r="L532" s="40">
        <f>ROUND(PMT(H532/12,I532,-G532),0)</f>
        <v/>
      </c>
      <c r="M532" s="41">
        <f>MAX(0,(YEAR(AsOfDate)-YEAR(F532))*12+MONTH(AsOfDate)-MONTH(F532))</f>
        <v/>
      </c>
      <c r="N532" s="41">
        <f>MAX(0,MIN(I532,M532)-INT(K532/30))</f>
        <v/>
      </c>
      <c r="O532" s="40">
        <f>IF(N532&gt;=I532,0,ROUND(PV(H532/12,I532-N532,-L532),0))</f>
        <v/>
      </c>
      <c r="P532" s="40">
        <f>MIN(I532,M532)*L532-N532*L532</f>
        <v/>
      </c>
      <c r="Q532" s="41">
        <f>INDEX(DPD_Bucket,MATCH(K532,DPD_From,1))</f>
        <v/>
      </c>
      <c r="R532" s="41">
        <f>INDEX(DPD_Class,MATCH(K532,DPD_From,1))</f>
        <v/>
      </c>
      <c r="S532" s="41">
        <f>INDEX(DPD_NPA,MATCH(K532,DPD_From,1))</f>
        <v/>
      </c>
      <c r="T532" s="42">
        <f>INDEX(DPD_Prov,MATCH(K532,DPD_From,1))</f>
        <v/>
      </c>
      <c r="U532" s="40">
        <f>ROUND(O532*T532,0)</f>
        <v/>
      </c>
      <c r="V532" s="41">
        <f>INDEX(CIBIL_Grade,MATCH(J532,CIBIL_From,1))</f>
        <v/>
      </c>
      <c r="W532" s="41">
        <f>YEAR(F532)&amp;"-Q"&amp;ROUNDUP(MONTH(F532)/3,0)</f>
        <v/>
      </c>
      <c r="X532" s="41">
        <f>IF(AND(OR(Dashboard!$C$4="All",D532=Dashboard!$C$4),OR(Dashboard!$C$5="All",E532=Dashboard!$C$5)),1,0)</f>
        <v/>
      </c>
      <c r="Y532" s="43">
        <f>IF(AND(X532=1,S532="Yes"),O532+ROW()/1000000,0)</f>
        <v/>
      </c>
    </row>
    <row r="533">
      <c r="A533" s="35" t="inlineStr">
        <is>
          <t>LN100532</t>
        </is>
      </c>
      <c r="B533" s="35" t="inlineStr">
        <is>
          <t>Aditya Singh</t>
        </is>
      </c>
      <c r="C533" s="35" t="inlineStr">
        <is>
          <t>DEL-01</t>
        </is>
      </c>
      <c r="D533" s="36">
        <f>INDEX(Branches!$C$2:$C$15,MATCH(C533,Branches!$A$2:$A$15,0))</f>
        <v/>
      </c>
      <c r="E533" s="35" t="inlineStr">
        <is>
          <t>Auto Loan</t>
        </is>
      </c>
      <c r="F533" s="37" t="n">
        <v>45298</v>
      </c>
      <c r="G533" s="38" t="n">
        <v>615000</v>
      </c>
      <c r="H533" s="39" t="n">
        <v>0.1105</v>
      </c>
      <c r="I533" s="35" t="n">
        <v>36</v>
      </c>
      <c r="J533" s="35" t="n">
        <v>715</v>
      </c>
      <c r="K533" s="35" t="n">
        <v>0</v>
      </c>
      <c r="L533" s="40">
        <f>ROUND(PMT(H533/12,I533,-G533),0)</f>
        <v/>
      </c>
      <c r="M533" s="41">
        <f>MAX(0,(YEAR(AsOfDate)-YEAR(F533))*12+MONTH(AsOfDate)-MONTH(F533))</f>
        <v/>
      </c>
      <c r="N533" s="41">
        <f>MAX(0,MIN(I533,M533)-INT(K533/30))</f>
        <v/>
      </c>
      <c r="O533" s="40">
        <f>IF(N533&gt;=I533,0,ROUND(PV(H533/12,I533-N533,-L533),0))</f>
        <v/>
      </c>
      <c r="P533" s="40">
        <f>MIN(I533,M533)*L533-N533*L533</f>
        <v/>
      </c>
      <c r="Q533" s="41">
        <f>INDEX(DPD_Bucket,MATCH(K533,DPD_From,1))</f>
        <v/>
      </c>
      <c r="R533" s="41">
        <f>INDEX(DPD_Class,MATCH(K533,DPD_From,1))</f>
        <v/>
      </c>
      <c r="S533" s="41">
        <f>INDEX(DPD_NPA,MATCH(K533,DPD_From,1))</f>
        <v/>
      </c>
      <c r="T533" s="42">
        <f>INDEX(DPD_Prov,MATCH(K533,DPD_From,1))</f>
        <v/>
      </c>
      <c r="U533" s="40">
        <f>ROUND(O533*T533,0)</f>
        <v/>
      </c>
      <c r="V533" s="41">
        <f>INDEX(CIBIL_Grade,MATCH(J533,CIBIL_From,1))</f>
        <v/>
      </c>
      <c r="W533" s="41">
        <f>YEAR(F533)&amp;"-Q"&amp;ROUNDUP(MONTH(F533)/3,0)</f>
        <v/>
      </c>
      <c r="X533" s="41">
        <f>IF(AND(OR(Dashboard!$C$4="All",D533=Dashboard!$C$4),OR(Dashboard!$C$5="All",E533=Dashboard!$C$5)),1,0)</f>
        <v/>
      </c>
      <c r="Y533" s="43">
        <f>IF(AND(X533=1,S533="Yes"),O533+ROW()/1000000,0)</f>
        <v/>
      </c>
    </row>
    <row r="534">
      <c r="A534" s="35" t="inlineStr">
        <is>
          <t>LN100533</t>
        </is>
      </c>
      <c r="B534" s="35" t="inlineStr">
        <is>
          <t>Zoya Chatterjee</t>
        </is>
      </c>
      <c r="C534" s="35" t="inlineStr">
        <is>
          <t>CHN-01</t>
        </is>
      </c>
      <c r="D534" s="36">
        <f>INDEX(Branches!$C$2:$C$15,MATCH(C534,Branches!$A$2:$A$15,0))</f>
        <v/>
      </c>
      <c r="E534" s="35" t="inlineStr">
        <is>
          <t>Auto Loan</t>
        </is>
      </c>
      <c r="F534" s="37" t="n">
        <v>45744</v>
      </c>
      <c r="G534" s="38" t="n">
        <v>1174000</v>
      </c>
      <c r="H534" s="39" t="n">
        <v>0.1103</v>
      </c>
      <c r="I534" s="35" t="n">
        <v>84</v>
      </c>
      <c r="J534" s="35" t="n">
        <v>709</v>
      </c>
      <c r="K534" s="35" t="n">
        <v>0</v>
      </c>
      <c r="L534" s="40">
        <f>ROUND(PMT(H534/12,I534,-G534),0)</f>
        <v/>
      </c>
      <c r="M534" s="41">
        <f>MAX(0,(YEAR(AsOfDate)-YEAR(F534))*12+MONTH(AsOfDate)-MONTH(F534))</f>
        <v/>
      </c>
      <c r="N534" s="41">
        <f>MAX(0,MIN(I534,M534)-INT(K534/30))</f>
        <v/>
      </c>
      <c r="O534" s="40">
        <f>IF(N534&gt;=I534,0,ROUND(PV(H534/12,I534-N534,-L534),0))</f>
        <v/>
      </c>
      <c r="P534" s="40">
        <f>MIN(I534,M534)*L534-N534*L534</f>
        <v/>
      </c>
      <c r="Q534" s="41">
        <f>INDEX(DPD_Bucket,MATCH(K534,DPD_From,1))</f>
        <v/>
      </c>
      <c r="R534" s="41">
        <f>INDEX(DPD_Class,MATCH(K534,DPD_From,1))</f>
        <v/>
      </c>
      <c r="S534" s="41">
        <f>INDEX(DPD_NPA,MATCH(K534,DPD_From,1))</f>
        <v/>
      </c>
      <c r="T534" s="42">
        <f>INDEX(DPD_Prov,MATCH(K534,DPD_From,1))</f>
        <v/>
      </c>
      <c r="U534" s="40">
        <f>ROUND(O534*T534,0)</f>
        <v/>
      </c>
      <c r="V534" s="41">
        <f>INDEX(CIBIL_Grade,MATCH(J534,CIBIL_From,1))</f>
        <v/>
      </c>
      <c r="W534" s="41">
        <f>YEAR(F534)&amp;"-Q"&amp;ROUNDUP(MONTH(F534)/3,0)</f>
        <v/>
      </c>
      <c r="X534" s="41">
        <f>IF(AND(OR(Dashboard!$C$4="All",D534=Dashboard!$C$4),OR(Dashboard!$C$5="All",E534=Dashboard!$C$5)),1,0)</f>
        <v/>
      </c>
      <c r="Y534" s="43">
        <f>IF(AND(X534=1,S534="Yes"),O534+ROW()/1000000,0)</f>
        <v/>
      </c>
    </row>
    <row r="535">
      <c r="A535" s="35" t="inlineStr">
        <is>
          <t>LN100534</t>
        </is>
      </c>
      <c r="B535" s="35" t="inlineStr">
        <is>
          <t>Priya Gupta</t>
        </is>
      </c>
      <c r="C535" s="35" t="inlineStr">
        <is>
          <t>LKO-01</t>
        </is>
      </c>
      <c r="D535" s="36">
        <f>INDEX(Branches!$C$2:$C$15,MATCH(C535,Branches!$A$2:$A$15,0))</f>
        <v/>
      </c>
      <c r="E535" s="35" t="inlineStr">
        <is>
          <t>Gold Loan</t>
        </is>
      </c>
      <c r="F535" s="37" t="n">
        <v>45299</v>
      </c>
      <c r="G535" s="38" t="n">
        <v>309000</v>
      </c>
      <c r="H535" s="39" t="n">
        <v>0.1087</v>
      </c>
      <c r="I535" s="35" t="n">
        <v>12</v>
      </c>
      <c r="J535" s="35" t="n">
        <v>663</v>
      </c>
      <c r="K535" s="35" t="n">
        <v>0</v>
      </c>
      <c r="L535" s="40">
        <f>ROUND(PMT(H535/12,I535,-G535),0)</f>
        <v/>
      </c>
      <c r="M535" s="41">
        <f>MAX(0,(YEAR(AsOfDate)-YEAR(F535))*12+MONTH(AsOfDate)-MONTH(F535))</f>
        <v/>
      </c>
      <c r="N535" s="41">
        <f>MAX(0,MIN(I535,M535)-INT(K535/30))</f>
        <v/>
      </c>
      <c r="O535" s="40">
        <f>IF(N535&gt;=I535,0,ROUND(PV(H535/12,I535-N535,-L535),0))</f>
        <v/>
      </c>
      <c r="P535" s="40">
        <f>MIN(I535,M535)*L535-N535*L535</f>
        <v/>
      </c>
      <c r="Q535" s="41">
        <f>INDEX(DPD_Bucket,MATCH(K535,DPD_From,1))</f>
        <v/>
      </c>
      <c r="R535" s="41">
        <f>INDEX(DPD_Class,MATCH(K535,DPD_From,1))</f>
        <v/>
      </c>
      <c r="S535" s="41">
        <f>INDEX(DPD_NPA,MATCH(K535,DPD_From,1))</f>
        <v/>
      </c>
      <c r="T535" s="42">
        <f>INDEX(DPD_Prov,MATCH(K535,DPD_From,1))</f>
        <v/>
      </c>
      <c r="U535" s="40">
        <f>ROUND(O535*T535,0)</f>
        <v/>
      </c>
      <c r="V535" s="41">
        <f>INDEX(CIBIL_Grade,MATCH(J535,CIBIL_From,1))</f>
        <v/>
      </c>
      <c r="W535" s="41">
        <f>YEAR(F535)&amp;"-Q"&amp;ROUNDUP(MONTH(F535)/3,0)</f>
        <v/>
      </c>
      <c r="X535" s="41">
        <f>IF(AND(OR(Dashboard!$C$4="All",D535=Dashboard!$C$4),OR(Dashboard!$C$5="All",E535=Dashboard!$C$5)),1,0)</f>
        <v/>
      </c>
      <c r="Y535" s="43">
        <f>IF(AND(X535=1,S535="Yes"),O535+ROW()/1000000,0)</f>
        <v/>
      </c>
    </row>
    <row r="536">
      <c r="A536" s="35" t="inlineStr">
        <is>
          <t>LN100535</t>
        </is>
      </c>
      <c r="B536" s="35" t="inlineStr">
        <is>
          <t>Swati Sahoo</t>
        </is>
      </c>
      <c r="C536" s="35" t="inlineStr">
        <is>
          <t>KOC-01</t>
        </is>
      </c>
      <c r="D536" s="36">
        <f>INDEX(Branches!$C$2:$C$15,MATCH(C536,Branches!$A$2:$A$15,0))</f>
        <v/>
      </c>
      <c r="E536" s="35" t="inlineStr">
        <is>
          <t>Gold Loan</t>
        </is>
      </c>
      <c r="F536" s="37" t="n">
        <v>45109</v>
      </c>
      <c r="G536" s="38" t="n">
        <v>369000</v>
      </c>
      <c r="H536" s="39" t="n">
        <v>0.1194</v>
      </c>
      <c r="I536" s="35" t="n">
        <v>12</v>
      </c>
      <c r="J536" s="35" t="n">
        <v>726</v>
      </c>
      <c r="K536" s="35" t="n">
        <v>0</v>
      </c>
      <c r="L536" s="40">
        <f>ROUND(PMT(H536/12,I536,-G536),0)</f>
        <v/>
      </c>
      <c r="M536" s="41">
        <f>MAX(0,(YEAR(AsOfDate)-YEAR(F536))*12+MONTH(AsOfDate)-MONTH(F536))</f>
        <v/>
      </c>
      <c r="N536" s="41">
        <f>MAX(0,MIN(I536,M536)-INT(K536/30))</f>
        <v/>
      </c>
      <c r="O536" s="40">
        <f>IF(N536&gt;=I536,0,ROUND(PV(H536/12,I536-N536,-L536),0))</f>
        <v/>
      </c>
      <c r="P536" s="40">
        <f>MIN(I536,M536)*L536-N536*L536</f>
        <v/>
      </c>
      <c r="Q536" s="41">
        <f>INDEX(DPD_Bucket,MATCH(K536,DPD_From,1))</f>
        <v/>
      </c>
      <c r="R536" s="41">
        <f>INDEX(DPD_Class,MATCH(K536,DPD_From,1))</f>
        <v/>
      </c>
      <c r="S536" s="41">
        <f>INDEX(DPD_NPA,MATCH(K536,DPD_From,1))</f>
        <v/>
      </c>
      <c r="T536" s="42">
        <f>INDEX(DPD_Prov,MATCH(K536,DPD_From,1))</f>
        <v/>
      </c>
      <c r="U536" s="40">
        <f>ROUND(O536*T536,0)</f>
        <v/>
      </c>
      <c r="V536" s="41">
        <f>INDEX(CIBIL_Grade,MATCH(J536,CIBIL_From,1))</f>
        <v/>
      </c>
      <c r="W536" s="41">
        <f>YEAR(F536)&amp;"-Q"&amp;ROUNDUP(MONTH(F536)/3,0)</f>
        <v/>
      </c>
      <c r="X536" s="41">
        <f>IF(AND(OR(Dashboard!$C$4="All",D536=Dashboard!$C$4),OR(Dashboard!$C$5="All",E536=Dashboard!$C$5)),1,0)</f>
        <v/>
      </c>
      <c r="Y536" s="43">
        <f>IF(AND(X536=1,S536="Yes"),O536+ROW()/1000000,0)</f>
        <v/>
      </c>
    </row>
    <row r="537">
      <c r="A537" s="35" t="inlineStr">
        <is>
          <t>LN100536</t>
        </is>
      </c>
      <c r="B537" s="35" t="inlineStr">
        <is>
          <t>Arjun Das</t>
        </is>
      </c>
      <c r="C537" s="35" t="inlineStr">
        <is>
          <t>PAT-01</t>
        </is>
      </c>
      <c r="D537" s="36">
        <f>INDEX(Branches!$C$2:$C$15,MATCH(C537,Branches!$A$2:$A$15,0))</f>
        <v/>
      </c>
      <c r="E537" s="35" t="inlineStr">
        <is>
          <t>Home Loan</t>
        </is>
      </c>
      <c r="F537" s="37" t="n">
        <v>45221</v>
      </c>
      <c r="G537" s="38" t="n">
        <v>9999000</v>
      </c>
      <c r="H537" s="39" t="n">
        <v>0.0898</v>
      </c>
      <c r="I537" s="35" t="n">
        <v>120</v>
      </c>
      <c r="J537" s="35" t="n">
        <v>671</v>
      </c>
      <c r="K537" s="35" t="n">
        <v>0</v>
      </c>
      <c r="L537" s="40">
        <f>ROUND(PMT(H537/12,I537,-G537),0)</f>
        <v/>
      </c>
      <c r="M537" s="41">
        <f>MAX(0,(YEAR(AsOfDate)-YEAR(F537))*12+MONTH(AsOfDate)-MONTH(F537))</f>
        <v/>
      </c>
      <c r="N537" s="41">
        <f>MAX(0,MIN(I537,M537)-INT(K537/30))</f>
        <v/>
      </c>
      <c r="O537" s="40">
        <f>IF(N537&gt;=I537,0,ROUND(PV(H537/12,I537-N537,-L537),0))</f>
        <v/>
      </c>
      <c r="P537" s="40">
        <f>MIN(I537,M537)*L537-N537*L537</f>
        <v/>
      </c>
      <c r="Q537" s="41">
        <f>INDEX(DPD_Bucket,MATCH(K537,DPD_From,1))</f>
        <v/>
      </c>
      <c r="R537" s="41">
        <f>INDEX(DPD_Class,MATCH(K537,DPD_From,1))</f>
        <v/>
      </c>
      <c r="S537" s="41">
        <f>INDEX(DPD_NPA,MATCH(K537,DPD_From,1))</f>
        <v/>
      </c>
      <c r="T537" s="42">
        <f>INDEX(DPD_Prov,MATCH(K537,DPD_From,1))</f>
        <v/>
      </c>
      <c r="U537" s="40">
        <f>ROUND(O537*T537,0)</f>
        <v/>
      </c>
      <c r="V537" s="41">
        <f>INDEX(CIBIL_Grade,MATCH(J537,CIBIL_From,1))</f>
        <v/>
      </c>
      <c r="W537" s="41">
        <f>YEAR(F537)&amp;"-Q"&amp;ROUNDUP(MONTH(F537)/3,0)</f>
        <v/>
      </c>
      <c r="X537" s="41">
        <f>IF(AND(OR(Dashboard!$C$4="All",D537=Dashboard!$C$4),OR(Dashboard!$C$5="All",E537=Dashboard!$C$5)),1,0)</f>
        <v/>
      </c>
      <c r="Y537" s="43">
        <f>IF(AND(X537=1,S537="Yes"),O537+ROW()/1000000,0)</f>
        <v/>
      </c>
    </row>
    <row r="538">
      <c r="A538" s="35" t="inlineStr">
        <is>
          <t>LN100537</t>
        </is>
      </c>
      <c r="B538" s="35" t="inlineStr">
        <is>
          <t>Nikhil Iyer</t>
        </is>
      </c>
      <c r="C538" s="35" t="inlineStr">
        <is>
          <t>MUM-01</t>
        </is>
      </c>
      <c r="D538" s="36">
        <f>INDEX(Branches!$C$2:$C$15,MATCH(C538,Branches!$A$2:$A$15,0))</f>
        <v/>
      </c>
      <c r="E538" s="35" t="inlineStr">
        <is>
          <t>Home Loan</t>
        </is>
      </c>
      <c r="F538" s="37" t="n">
        <v>45739</v>
      </c>
      <c r="G538" s="38" t="n">
        <v>5904000</v>
      </c>
      <c r="H538" s="39" t="n">
        <v>0.0917</v>
      </c>
      <c r="I538" s="35" t="n">
        <v>180</v>
      </c>
      <c r="J538" s="35" t="n">
        <v>771</v>
      </c>
      <c r="K538" s="35" t="n">
        <v>0</v>
      </c>
      <c r="L538" s="40">
        <f>ROUND(PMT(H538/12,I538,-G538),0)</f>
        <v/>
      </c>
      <c r="M538" s="41">
        <f>MAX(0,(YEAR(AsOfDate)-YEAR(F538))*12+MONTH(AsOfDate)-MONTH(F538))</f>
        <v/>
      </c>
      <c r="N538" s="41">
        <f>MAX(0,MIN(I538,M538)-INT(K538/30))</f>
        <v/>
      </c>
      <c r="O538" s="40">
        <f>IF(N538&gt;=I538,0,ROUND(PV(H538/12,I538-N538,-L538),0))</f>
        <v/>
      </c>
      <c r="P538" s="40">
        <f>MIN(I538,M538)*L538-N538*L538</f>
        <v/>
      </c>
      <c r="Q538" s="41">
        <f>INDEX(DPD_Bucket,MATCH(K538,DPD_From,1))</f>
        <v/>
      </c>
      <c r="R538" s="41">
        <f>INDEX(DPD_Class,MATCH(K538,DPD_From,1))</f>
        <v/>
      </c>
      <c r="S538" s="41">
        <f>INDEX(DPD_NPA,MATCH(K538,DPD_From,1))</f>
        <v/>
      </c>
      <c r="T538" s="42">
        <f>INDEX(DPD_Prov,MATCH(K538,DPD_From,1))</f>
        <v/>
      </c>
      <c r="U538" s="40">
        <f>ROUND(O538*T538,0)</f>
        <v/>
      </c>
      <c r="V538" s="41">
        <f>INDEX(CIBIL_Grade,MATCH(J538,CIBIL_From,1))</f>
        <v/>
      </c>
      <c r="W538" s="41">
        <f>YEAR(F538)&amp;"-Q"&amp;ROUNDUP(MONTH(F538)/3,0)</f>
        <v/>
      </c>
      <c r="X538" s="41">
        <f>IF(AND(OR(Dashboard!$C$4="All",D538=Dashboard!$C$4),OR(Dashboard!$C$5="All",E538=Dashboard!$C$5)),1,0)</f>
        <v/>
      </c>
      <c r="Y538" s="43">
        <f>IF(AND(X538=1,S538="Yes"),O538+ROW()/1000000,0)</f>
        <v/>
      </c>
    </row>
    <row r="539">
      <c r="A539" s="35" t="inlineStr">
        <is>
          <t>LN100538</t>
        </is>
      </c>
      <c r="B539" s="35" t="inlineStr">
        <is>
          <t>Zoya Mishra</t>
        </is>
      </c>
      <c r="C539" s="35" t="inlineStr">
        <is>
          <t>JAI-01</t>
        </is>
      </c>
      <c r="D539" s="36">
        <f>INDEX(Branches!$C$2:$C$15,MATCH(C539,Branches!$A$2:$A$15,0))</f>
        <v/>
      </c>
      <c r="E539" s="35" t="inlineStr">
        <is>
          <t>Business Loan</t>
        </is>
      </c>
      <c r="F539" s="37" t="n">
        <v>45491</v>
      </c>
      <c r="G539" s="38" t="n">
        <v>4821000</v>
      </c>
      <c r="H539" s="39" t="n">
        <v>0.1882</v>
      </c>
      <c r="I539" s="35" t="n">
        <v>12</v>
      </c>
      <c r="J539" s="35" t="n">
        <v>737</v>
      </c>
      <c r="K539" s="35" t="n">
        <v>0</v>
      </c>
      <c r="L539" s="40">
        <f>ROUND(PMT(H539/12,I539,-G539),0)</f>
        <v/>
      </c>
      <c r="M539" s="41">
        <f>MAX(0,(YEAR(AsOfDate)-YEAR(F539))*12+MONTH(AsOfDate)-MONTH(F539))</f>
        <v/>
      </c>
      <c r="N539" s="41">
        <f>MAX(0,MIN(I539,M539)-INT(K539/30))</f>
        <v/>
      </c>
      <c r="O539" s="40">
        <f>IF(N539&gt;=I539,0,ROUND(PV(H539/12,I539-N539,-L539),0))</f>
        <v/>
      </c>
      <c r="P539" s="40">
        <f>MIN(I539,M539)*L539-N539*L539</f>
        <v/>
      </c>
      <c r="Q539" s="41">
        <f>INDEX(DPD_Bucket,MATCH(K539,DPD_From,1))</f>
        <v/>
      </c>
      <c r="R539" s="41">
        <f>INDEX(DPD_Class,MATCH(K539,DPD_From,1))</f>
        <v/>
      </c>
      <c r="S539" s="41">
        <f>INDEX(DPD_NPA,MATCH(K539,DPD_From,1))</f>
        <v/>
      </c>
      <c r="T539" s="42">
        <f>INDEX(DPD_Prov,MATCH(K539,DPD_From,1))</f>
        <v/>
      </c>
      <c r="U539" s="40">
        <f>ROUND(O539*T539,0)</f>
        <v/>
      </c>
      <c r="V539" s="41">
        <f>INDEX(CIBIL_Grade,MATCH(J539,CIBIL_From,1))</f>
        <v/>
      </c>
      <c r="W539" s="41">
        <f>YEAR(F539)&amp;"-Q"&amp;ROUNDUP(MONTH(F539)/3,0)</f>
        <v/>
      </c>
      <c r="X539" s="41">
        <f>IF(AND(OR(Dashboard!$C$4="All",D539=Dashboard!$C$4),OR(Dashboard!$C$5="All",E539=Dashboard!$C$5)),1,0)</f>
        <v/>
      </c>
      <c r="Y539" s="43">
        <f>IF(AND(X539=1,S539="Yes"),O539+ROW()/1000000,0)</f>
        <v/>
      </c>
    </row>
    <row r="540">
      <c r="A540" s="35" t="inlineStr">
        <is>
          <t>LN100539</t>
        </is>
      </c>
      <c r="B540" s="35" t="inlineStr">
        <is>
          <t>Pooja Reddy</t>
        </is>
      </c>
      <c r="C540" s="35" t="inlineStr">
        <is>
          <t>KOL-01</t>
        </is>
      </c>
      <c r="D540" s="36">
        <f>INDEX(Branches!$C$2:$C$15,MATCH(C540,Branches!$A$2:$A$15,0))</f>
        <v/>
      </c>
      <c r="E540" s="35" t="inlineStr">
        <is>
          <t>Home Loan</t>
        </is>
      </c>
      <c r="F540" s="37" t="n">
        <v>45192</v>
      </c>
      <c r="G540" s="38" t="n">
        <v>7988000</v>
      </c>
      <c r="H540" s="39" t="n">
        <v>0.0961</v>
      </c>
      <c r="I540" s="35" t="n">
        <v>180</v>
      </c>
      <c r="J540" s="35" t="n">
        <v>819</v>
      </c>
      <c r="K540" s="35" t="n">
        <v>0</v>
      </c>
      <c r="L540" s="40">
        <f>ROUND(PMT(H540/12,I540,-G540),0)</f>
        <v/>
      </c>
      <c r="M540" s="41">
        <f>MAX(0,(YEAR(AsOfDate)-YEAR(F540))*12+MONTH(AsOfDate)-MONTH(F540))</f>
        <v/>
      </c>
      <c r="N540" s="41">
        <f>MAX(0,MIN(I540,M540)-INT(K540/30))</f>
        <v/>
      </c>
      <c r="O540" s="40">
        <f>IF(N540&gt;=I540,0,ROUND(PV(H540/12,I540-N540,-L540),0))</f>
        <v/>
      </c>
      <c r="P540" s="40">
        <f>MIN(I540,M540)*L540-N540*L540</f>
        <v/>
      </c>
      <c r="Q540" s="41">
        <f>INDEX(DPD_Bucket,MATCH(K540,DPD_From,1))</f>
        <v/>
      </c>
      <c r="R540" s="41">
        <f>INDEX(DPD_Class,MATCH(K540,DPD_From,1))</f>
        <v/>
      </c>
      <c r="S540" s="41">
        <f>INDEX(DPD_NPA,MATCH(K540,DPD_From,1))</f>
        <v/>
      </c>
      <c r="T540" s="42">
        <f>INDEX(DPD_Prov,MATCH(K540,DPD_From,1))</f>
        <v/>
      </c>
      <c r="U540" s="40">
        <f>ROUND(O540*T540,0)</f>
        <v/>
      </c>
      <c r="V540" s="41">
        <f>INDEX(CIBIL_Grade,MATCH(J540,CIBIL_From,1))</f>
        <v/>
      </c>
      <c r="W540" s="41">
        <f>YEAR(F540)&amp;"-Q"&amp;ROUNDUP(MONTH(F540)/3,0)</f>
        <v/>
      </c>
      <c r="X540" s="41">
        <f>IF(AND(OR(Dashboard!$C$4="All",D540=Dashboard!$C$4),OR(Dashboard!$C$5="All",E540=Dashboard!$C$5)),1,0)</f>
        <v/>
      </c>
      <c r="Y540" s="43">
        <f>IF(AND(X540=1,S540="Yes"),O540+ROW()/1000000,0)</f>
        <v/>
      </c>
    </row>
    <row r="541">
      <c r="A541" s="35" t="inlineStr">
        <is>
          <t>LN100540</t>
        </is>
      </c>
      <c r="B541" s="35" t="inlineStr">
        <is>
          <t>Vivaan Chatterjee</t>
        </is>
      </c>
      <c r="C541" s="35" t="inlineStr">
        <is>
          <t>MUM-01</t>
        </is>
      </c>
      <c r="D541" s="36">
        <f>INDEX(Branches!$C$2:$C$15,MATCH(C541,Branches!$A$2:$A$15,0))</f>
        <v/>
      </c>
      <c r="E541" s="35" t="inlineStr">
        <is>
          <t>Gold Loan</t>
        </is>
      </c>
      <c r="F541" s="37" t="n">
        <v>45326</v>
      </c>
      <c r="G541" s="38" t="n">
        <v>304000</v>
      </c>
      <c r="H541" s="39" t="n">
        <v>0.1103</v>
      </c>
      <c r="I541" s="35" t="n">
        <v>12</v>
      </c>
      <c r="J541" s="35" t="n">
        <v>685</v>
      </c>
      <c r="K541" s="35" t="n">
        <v>0</v>
      </c>
      <c r="L541" s="40">
        <f>ROUND(PMT(H541/12,I541,-G541),0)</f>
        <v/>
      </c>
      <c r="M541" s="41">
        <f>MAX(0,(YEAR(AsOfDate)-YEAR(F541))*12+MONTH(AsOfDate)-MONTH(F541))</f>
        <v/>
      </c>
      <c r="N541" s="41">
        <f>MAX(0,MIN(I541,M541)-INT(K541/30))</f>
        <v/>
      </c>
      <c r="O541" s="40">
        <f>IF(N541&gt;=I541,0,ROUND(PV(H541/12,I541-N541,-L541),0))</f>
        <v/>
      </c>
      <c r="P541" s="40">
        <f>MIN(I541,M541)*L541-N541*L541</f>
        <v/>
      </c>
      <c r="Q541" s="41">
        <f>INDEX(DPD_Bucket,MATCH(K541,DPD_From,1))</f>
        <v/>
      </c>
      <c r="R541" s="41">
        <f>INDEX(DPD_Class,MATCH(K541,DPD_From,1))</f>
        <v/>
      </c>
      <c r="S541" s="41">
        <f>INDEX(DPD_NPA,MATCH(K541,DPD_From,1))</f>
        <v/>
      </c>
      <c r="T541" s="42">
        <f>INDEX(DPD_Prov,MATCH(K541,DPD_From,1))</f>
        <v/>
      </c>
      <c r="U541" s="40">
        <f>ROUND(O541*T541,0)</f>
        <v/>
      </c>
      <c r="V541" s="41">
        <f>INDEX(CIBIL_Grade,MATCH(J541,CIBIL_From,1))</f>
        <v/>
      </c>
      <c r="W541" s="41">
        <f>YEAR(F541)&amp;"-Q"&amp;ROUNDUP(MONTH(F541)/3,0)</f>
        <v/>
      </c>
      <c r="X541" s="41">
        <f>IF(AND(OR(Dashboard!$C$4="All",D541=Dashboard!$C$4),OR(Dashboard!$C$5="All",E541=Dashboard!$C$5)),1,0)</f>
        <v/>
      </c>
      <c r="Y541" s="43">
        <f>IF(AND(X541=1,S541="Yes"),O541+ROW()/1000000,0)</f>
        <v/>
      </c>
    </row>
    <row r="542">
      <c r="A542" s="35" t="inlineStr">
        <is>
          <t>LN100541</t>
        </is>
      </c>
      <c r="B542" s="35" t="inlineStr">
        <is>
          <t>Nikhil Menon</t>
        </is>
      </c>
      <c r="C542" s="35" t="inlineStr">
        <is>
          <t>CHN-01</t>
        </is>
      </c>
      <c r="D542" s="36">
        <f>INDEX(Branches!$C$2:$C$15,MATCH(C542,Branches!$A$2:$A$15,0))</f>
        <v/>
      </c>
      <c r="E542" s="35" t="inlineStr">
        <is>
          <t>Personal Loan</t>
        </is>
      </c>
      <c r="F542" s="37" t="n">
        <v>45747</v>
      </c>
      <c r="G542" s="38" t="n">
        <v>1457000</v>
      </c>
      <c r="H542" s="39" t="n">
        <v>0.126</v>
      </c>
      <c r="I542" s="35" t="n">
        <v>12</v>
      </c>
      <c r="J542" s="35" t="n">
        <v>691</v>
      </c>
      <c r="K542" s="35" t="n">
        <v>0</v>
      </c>
      <c r="L542" s="40">
        <f>ROUND(PMT(H542/12,I542,-G542),0)</f>
        <v/>
      </c>
      <c r="M542" s="41">
        <f>MAX(0,(YEAR(AsOfDate)-YEAR(F542))*12+MONTH(AsOfDate)-MONTH(F542))</f>
        <v/>
      </c>
      <c r="N542" s="41">
        <f>MAX(0,MIN(I542,M542)-INT(K542/30))</f>
        <v/>
      </c>
      <c r="O542" s="40">
        <f>IF(N542&gt;=I542,0,ROUND(PV(H542/12,I542-N542,-L542),0))</f>
        <v/>
      </c>
      <c r="P542" s="40">
        <f>MIN(I542,M542)*L542-N542*L542</f>
        <v/>
      </c>
      <c r="Q542" s="41">
        <f>INDEX(DPD_Bucket,MATCH(K542,DPD_From,1))</f>
        <v/>
      </c>
      <c r="R542" s="41">
        <f>INDEX(DPD_Class,MATCH(K542,DPD_From,1))</f>
        <v/>
      </c>
      <c r="S542" s="41">
        <f>INDEX(DPD_NPA,MATCH(K542,DPD_From,1))</f>
        <v/>
      </c>
      <c r="T542" s="42">
        <f>INDEX(DPD_Prov,MATCH(K542,DPD_From,1))</f>
        <v/>
      </c>
      <c r="U542" s="40">
        <f>ROUND(O542*T542,0)</f>
        <v/>
      </c>
      <c r="V542" s="41">
        <f>INDEX(CIBIL_Grade,MATCH(J542,CIBIL_From,1))</f>
        <v/>
      </c>
      <c r="W542" s="41">
        <f>YEAR(F542)&amp;"-Q"&amp;ROUNDUP(MONTH(F542)/3,0)</f>
        <v/>
      </c>
      <c r="X542" s="41">
        <f>IF(AND(OR(Dashboard!$C$4="All",D542=Dashboard!$C$4),OR(Dashboard!$C$5="All",E542=Dashboard!$C$5)),1,0)</f>
        <v/>
      </c>
      <c r="Y542" s="43">
        <f>IF(AND(X542=1,S542="Yes"),O542+ROW()/1000000,0)</f>
        <v/>
      </c>
    </row>
    <row r="543">
      <c r="A543" s="35" t="inlineStr">
        <is>
          <t>LN100542</t>
        </is>
      </c>
      <c r="B543" s="35" t="inlineStr">
        <is>
          <t>Kavya Patel</t>
        </is>
      </c>
      <c r="C543" s="35" t="inlineStr">
        <is>
          <t>JAI-01</t>
        </is>
      </c>
      <c r="D543" s="36">
        <f>INDEX(Branches!$C$2:$C$15,MATCH(C543,Branches!$A$2:$A$15,0))</f>
        <v/>
      </c>
      <c r="E543" s="35" t="inlineStr">
        <is>
          <t>Home Loan</t>
        </is>
      </c>
      <c r="F543" s="37" t="n">
        <v>45834</v>
      </c>
      <c r="G543" s="38" t="n">
        <v>3519000</v>
      </c>
      <c r="H543" s="39" t="n">
        <v>0.095</v>
      </c>
      <c r="I543" s="35" t="n">
        <v>180</v>
      </c>
      <c r="J543" s="35" t="n">
        <v>711</v>
      </c>
      <c r="K543" s="35" t="n">
        <v>0</v>
      </c>
      <c r="L543" s="40">
        <f>ROUND(PMT(H543/12,I543,-G543),0)</f>
        <v/>
      </c>
      <c r="M543" s="41">
        <f>MAX(0,(YEAR(AsOfDate)-YEAR(F543))*12+MONTH(AsOfDate)-MONTH(F543))</f>
        <v/>
      </c>
      <c r="N543" s="41">
        <f>MAX(0,MIN(I543,M543)-INT(K543/30))</f>
        <v/>
      </c>
      <c r="O543" s="40">
        <f>IF(N543&gt;=I543,0,ROUND(PV(H543/12,I543-N543,-L543),0))</f>
        <v/>
      </c>
      <c r="P543" s="40">
        <f>MIN(I543,M543)*L543-N543*L543</f>
        <v/>
      </c>
      <c r="Q543" s="41">
        <f>INDEX(DPD_Bucket,MATCH(K543,DPD_From,1))</f>
        <v/>
      </c>
      <c r="R543" s="41">
        <f>INDEX(DPD_Class,MATCH(K543,DPD_From,1))</f>
        <v/>
      </c>
      <c r="S543" s="41">
        <f>INDEX(DPD_NPA,MATCH(K543,DPD_From,1))</f>
        <v/>
      </c>
      <c r="T543" s="42">
        <f>INDEX(DPD_Prov,MATCH(K543,DPD_From,1))</f>
        <v/>
      </c>
      <c r="U543" s="40">
        <f>ROUND(O543*T543,0)</f>
        <v/>
      </c>
      <c r="V543" s="41">
        <f>INDEX(CIBIL_Grade,MATCH(J543,CIBIL_From,1))</f>
        <v/>
      </c>
      <c r="W543" s="41">
        <f>YEAR(F543)&amp;"-Q"&amp;ROUNDUP(MONTH(F543)/3,0)</f>
        <v/>
      </c>
      <c r="X543" s="41">
        <f>IF(AND(OR(Dashboard!$C$4="All",D543=Dashboard!$C$4),OR(Dashboard!$C$5="All",E543=Dashboard!$C$5)),1,0)</f>
        <v/>
      </c>
      <c r="Y543" s="43">
        <f>IF(AND(X543=1,S543="Yes"),O543+ROW()/1000000,0)</f>
        <v/>
      </c>
    </row>
    <row r="544">
      <c r="A544" s="35" t="inlineStr">
        <is>
          <t>LN100543</t>
        </is>
      </c>
      <c r="B544" s="35" t="inlineStr">
        <is>
          <t>Sneha Joshi</t>
        </is>
      </c>
      <c r="C544" s="35" t="inlineStr">
        <is>
          <t>GUW-01</t>
        </is>
      </c>
      <c r="D544" s="36">
        <f>INDEX(Branches!$C$2:$C$15,MATCH(C544,Branches!$A$2:$A$15,0))</f>
        <v/>
      </c>
      <c r="E544" s="35" t="inlineStr">
        <is>
          <t>Auto Loan</t>
        </is>
      </c>
      <c r="F544" s="37" t="n">
        <v>46109</v>
      </c>
      <c r="G544" s="38" t="n">
        <v>1921000</v>
      </c>
      <c r="H544" s="39" t="n">
        <v>0.09569999999999999</v>
      </c>
      <c r="I544" s="35" t="n">
        <v>60</v>
      </c>
      <c r="J544" s="35" t="n">
        <v>731</v>
      </c>
      <c r="K544" s="35" t="n">
        <v>0</v>
      </c>
      <c r="L544" s="40">
        <f>ROUND(PMT(H544/12,I544,-G544),0)</f>
        <v/>
      </c>
      <c r="M544" s="41">
        <f>MAX(0,(YEAR(AsOfDate)-YEAR(F544))*12+MONTH(AsOfDate)-MONTH(F544))</f>
        <v/>
      </c>
      <c r="N544" s="41">
        <f>MAX(0,MIN(I544,M544)-INT(K544/30))</f>
        <v/>
      </c>
      <c r="O544" s="40">
        <f>IF(N544&gt;=I544,0,ROUND(PV(H544/12,I544-N544,-L544),0))</f>
        <v/>
      </c>
      <c r="P544" s="40">
        <f>MIN(I544,M544)*L544-N544*L544</f>
        <v/>
      </c>
      <c r="Q544" s="41">
        <f>INDEX(DPD_Bucket,MATCH(K544,DPD_From,1))</f>
        <v/>
      </c>
      <c r="R544" s="41">
        <f>INDEX(DPD_Class,MATCH(K544,DPD_From,1))</f>
        <v/>
      </c>
      <c r="S544" s="41">
        <f>INDEX(DPD_NPA,MATCH(K544,DPD_From,1))</f>
        <v/>
      </c>
      <c r="T544" s="42">
        <f>INDEX(DPD_Prov,MATCH(K544,DPD_From,1))</f>
        <v/>
      </c>
      <c r="U544" s="40">
        <f>ROUND(O544*T544,0)</f>
        <v/>
      </c>
      <c r="V544" s="41">
        <f>INDEX(CIBIL_Grade,MATCH(J544,CIBIL_From,1))</f>
        <v/>
      </c>
      <c r="W544" s="41">
        <f>YEAR(F544)&amp;"-Q"&amp;ROUNDUP(MONTH(F544)/3,0)</f>
        <v/>
      </c>
      <c r="X544" s="41">
        <f>IF(AND(OR(Dashboard!$C$4="All",D544=Dashboard!$C$4),OR(Dashboard!$C$5="All",E544=Dashboard!$C$5)),1,0)</f>
        <v/>
      </c>
      <c r="Y544" s="43">
        <f>IF(AND(X544=1,S544="Yes"),O544+ROW()/1000000,0)</f>
        <v/>
      </c>
    </row>
    <row r="545">
      <c r="A545" s="35" t="inlineStr">
        <is>
          <t>LN100544</t>
        </is>
      </c>
      <c r="B545" s="35" t="inlineStr">
        <is>
          <t>Manish Das</t>
        </is>
      </c>
      <c r="C545" s="35" t="inlineStr">
        <is>
          <t>CHN-01</t>
        </is>
      </c>
      <c r="D545" s="36">
        <f>INDEX(Branches!$C$2:$C$15,MATCH(C545,Branches!$A$2:$A$15,0))</f>
        <v/>
      </c>
      <c r="E545" s="35" t="inlineStr">
        <is>
          <t>Auto Loan</t>
        </is>
      </c>
      <c r="F545" s="37" t="n">
        <v>45407</v>
      </c>
      <c r="G545" s="38" t="n">
        <v>1110000</v>
      </c>
      <c r="H545" s="39" t="n">
        <v>0.0898</v>
      </c>
      <c r="I545" s="35" t="n">
        <v>36</v>
      </c>
      <c r="J545" s="35" t="n">
        <v>758</v>
      </c>
      <c r="K545" s="35" t="n">
        <v>0</v>
      </c>
      <c r="L545" s="40">
        <f>ROUND(PMT(H545/12,I545,-G545),0)</f>
        <v/>
      </c>
      <c r="M545" s="41">
        <f>MAX(0,(YEAR(AsOfDate)-YEAR(F545))*12+MONTH(AsOfDate)-MONTH(F545))</f>
        <v/>
      </c>
      <c r="N545" s="41">
        <f>MAX(0,MIN(I545,M545)-INT(K545/30))</f>
        <v/>
      </c>
      <c r="O545" s="40">
        <f>IF(N545&gt;=I545,0,ROUND(PV(H545/12,I545-N545,-L545),0))</f>
        <v/>
      </c>
      <c r="P545" s="40">
        <f>MIN(I545,M545)*L545-N545*L545</f>
        <v/>
      </c>
      <c r="Q545" s="41">
        <f>INDEX(DPD_Bucket,MATCH(K545,DPD_From,1))</f>
        <v/>
      </c>
      <c r="R545" s="41">
        <f>INDEX(DPD_Class,MATCH(K545,DPD_From,1))</f>
        <v/>
      </c>
      <c r="S545" s="41">
        <f>INDEX(DPD_NPA,MATCH(K545,DPD_From,1))</f>
        <v/>
      </c>
      <c r="T545" s="42">
        <f>INDEX(DPD_Prov,MATCH(K545,DPD_From,1))</f>
        <v/>
      </c>
      <c r="U545" s="40">
        <f>ROUND(O545*T545,0)</f>
        <v/>
      </c>
      <c r="V545" s="41">
        <f>INDEX(CIBIL_Grade,MATCH(J545,CIBIL_From,1))</f>
        <v/>
      </c>
      <c r="W545" s="41">
        <f>YEAR(F545)&amp;"-Q"&amp;ROUNDUP(MONTH(F545)/3,0)</f>
        <v/>
      </c>
      <c r="X545" s="41">
        <f>IF(AND(OR(Dashboard!$C$4="All",D545=Dashboard!$C$4),OR(Dashboard!$C$5="All",E545=Dashboard!$C$5)),1,0)</f>
        <v/>
      </c>
      <c r="Y545" s="43">
        <f>IF(AND(X545=1,S545="Yes"),O545+ROW()/1000000,0)</f>
        <v/>
      </c>
    </row>
    <row r="546">
      <c r="A546" s="35" t="inlineStr">
        <is>
          <t>LN100545</t>
        </is>
      </c>
      <c r="B546" s="35" t="inlineStr">
        <is>
          <t>Rahul Singh</t>
        </is>
      </c>
      <c r="C546" s="35" t="inlineStr">
        <is>
          <t>PAT-01</t>
        </is>
      </c>
      <c r="D546" s="36">
        <f>INDEX(Branches!$C$2:$C$15,MATCH(C546,Branches!$A$2:$A$15,0))</f>
        <v/>
      </c>
      <c r="E546" s="35" t="inlineStr">
        <is>
          <t>Personal Loan</t>
        </is>
      </c>
      <c r="F546" s="37" t="n">
        <v>45858</v>
      </c>
      <c r="G546" s="38" t="n">
        <v>558000</v>
      </c>
      <c r="H546" s="39" t="n">
        <v>0.1627</v>
      </c>
      <c r="I546" s="35" t="n">
        <v>60</v>
      </c>
      <c r="J546" s="35" t="n">
        <v>780</v>
      </c>
      <c r="K546" s="35" t="n">
        <v>0</v>
      </c>
      <c r="L546" s="40">
        <f>ROUND(PMT(H546/12,I546,-G546),0)</f>
        <v/>
      </c>
      <c r="M546" s="41">
        <f>MAX(0,(YEAR(AsOfDate)-YEAR(F546))*12+MONTH(AsOfDate)-MONTH(F546))</f>
        <v/>
      </c>
      <c r="N546" s="41">
        <f>MAX(0,MIN(I546,M546)-INT(K546/30))</f>
        <v/>
      </c>
      <c r="O546" s="40">
        <f>IF(N546&gt;=I546,0,ROUND(PV(H546/12,I546-N546,-L546),0))</f>
        <v/>
      </c>
      <c r="P546" s="40">
        <f>MIN(I546,M546)*L546-N546*L546</f>
        <v/>
      </c>
      <c r="Q546" s="41">
        <f>INDEX(DPD_Bucket,MATCH(K546,DPD_From,1))</f>
        <v/>
      </c>
      <c r="R546" s="41">
        <f>INDEX(DPD_Class,MATCH(K546,DPD_From,1))</f>
        <v/>
      </c>
      <c r="S546" s="41">
        <f>INDEX(DPD_NPA,MATCH(K546,DPD_From,1))</f>
        <v/>
      </c>
      <c r="T546" s="42">
        <f>INDEX(DPD_Prov,MATCH(K546,DPD_From,1))</f>
        <v/>
      </c>
      <c r="U546" s="40">
        <f>ROUND(O546*T546,0)</f>
        <v/>
      </c>
      <c r="V546" s="41">
        <f>INDEX(CIBIL_Grade,MATCH(J546,CIBIL_From,1))</f>
        <v/>
      </c>
      <c r="W546" s="41">
        <f>YEAR(F546)&amp;"-Q"&amp;ROUNDUP(MONTH(F546)/3,0)</f>
        <v/>
      </c>
      <c r="X546" s="41">
        <f>IF(AND(OR(Dashboard!$C$4="All",D546=Dashboard!$C$4),OR(Dashboard!$C$5="All",E546=Dashboard!$C$5)),1,0)</f>
        <v/>
      </c>
      <c r="Y546" s="43">
        <f>IF(AND(X546=1,S546="Yes"),O546+ROW()/1000000,0)</f>
        <v/>
      </c>
    </row>
    <row r="547">
      <c r="A547" s="35" t="inlineStr">
        <is>
          <t>LN100546</t>
        </is>
      </c>
      <c r="B547" s="35" t="inlineStr">
        <is>
          <t>Vivaan Joshi</t>
        </is>
      </c>
      <c r="C547" s="35" t="inlineStr">
        <is>
          <t>AMD-01</t>
        </is>
      </c>
      <c r="D547" s="36">
        <f>INDEX(Branches!$C$2:$C$15,MATCH(C547,Branches!$A$2:$A$15,0))</f>
        <v/>
      </c>
      <c r="E547" s="35" t="inlineStr">
        <is>
          <t>Home Loan</t>
        </is>
      </c>
      <c r="F547" s="37" t="n">
        <v>45902</v>
      </c>
      <c r="G547" s="38" t="n">
        <v>11278000</v>
      </c>
      <c r="H547" s="39" t="n">
        <v>0.09130000000000001</v>
      </c>
      <c r="I547" s="35" t="n">
        <v>240</v>
      </c>
      <c r="J547" s="35" t="n">
        <v>851</v>
      </c>
      <c r="K547" s="35" t="n">
        <v>0</v>
      </c>
      <c r="L547" s="40">
        <f>ROUND(PMT(H547/12,I547,-G547),0)</f>
        <v/>
      </c>
      <c r="M547" s="41">
        <f>MAX(0,(YEAR(AsOfDate)-YEAR(F547))*12+MONTH(AsOfDate)-MONTH(F547))</f>
        <v/>
      </c>
      <c r="N547" s="41">
        <f>MAX(0,MIN(I547,M547)-INT(K547/30))</f>
        <v/>
      </c>
      <c r="O547" s="40">
        <f>IF(N547&gt;=I547,0,ROUND(PV(H547/12,I547-N547,-L547),0))</f>
        <v/>
      </c>
      <c r="P547" s="40">
        <f>MIN(I547,M547)*L547-N547*L547</f>
        <v/>
      </c>
      <c r="Q547" s="41">
        <f>INDEX(DPD_Bucket,MATCH(K547,DPD_From,1))</f>
        <v/>
      </c>
      <c r="R547" s="41">
        <f>INDEX(DPD_Class,MATCH(K547,DPD_From,1))</f>
        <v/>
      </c>
      <c r="S547" s="41">
        <f>INDEX(DPD_NPA,MATCH(K547,DPD_From,1))</f>
        <v/>
      </c>
      <c r="T547" s="42">
        <f>INDEX(DPD_Prov,MATCH(K547,DPD_From,1))</f>
        <v/>
      </c>
      <c r="U547" s="40">
        <f>ROUND(O547*T547,0)</f>
        <v/>
      </c>
      <c r="V547" s="41">
        <f>INDEX(CIBIL_Grade,MATCH(J547,CIBIL_From,1))</f>
        <v/>
      </c>
      <c r="W547" s="41">
        <f>YEAR(F547)&amp;"-Q"&amp;ROUNDUP(MONTH(F547)/3,0)</f>
        <v/>
      </c>
      <c r="X547" s="41">
        <f>IF(AND(OR(Dashboard!$C$4="All",D547=Dashboard!$C$4),OR(Dashboard!$C$5="All",E547=Dashboard!$C$5)),1,0)</f>
        <v/>
      </c>
      <c r="Y547" s="43">
        <f>IF(AND(X547=1,S547="Yes"),O547+ROW()/1000000,0)</f>
        <v/>
      </c>
    </row>
    <row r="548">
      <c r="A548" s="35" t="inlineStr">
        <is>
          <t>LN100547</t>
        </is>
      </c>
      <c r="B548" s="35" t="inlineStr">
        <is>
          <t>Manish Singh</t>
        </is>
      </c>
      <c r="C548" s="35" t="inlineStr">
        <is>
          <t>BLR-01</t>
        </is>
      </c>
      <c r="D548" s="36">
        <f>INDEX(Branches!$C$2:$C$15,MATCH(C548,Branches!$A$2:$A$15,0))</f>
        <v/>
      </c>
      <c r="E548" s="35" t="inlineStr">
        <is>
          <t>Home Loan</t>
        </is>
      </c>
      <c r="F548" s="37" t="n">
        <v>45995</v>
      </c>
      <c r="G548" s="38" t="n">
        <v>9508000</v>
      </c>
      <c r="H548" s="39" t="n">
        <v>0.08840000000000001</v>
      </c>
      <c r="I548" s="35" t="n">
        <v>120</v>
      </c>
      <c r="J548" s="35" t="n">
        <v>677</v>
      </c>
      <c r="K548" s="35" t="n">
        <v>0</v>
      </c>
      <c r="L548" s="40">
        <f>ROUND(PMT(H548/12,I548,-G548),0)</f>
        <v/>
      </c>
      <c r="M548" s="41">
        <f>MAX(0,(YEAR(AsOfDate)-YEAR(F548))*12+MONTH(AsOfDate)-MONTH(F548))</f>
        <v/>
      </c>
      <c r="N548" s="41">
        <f>MAX(0,MIN(I548,M548)-INT(K548/30))</f>
        <v/>
      </c>
      <c r="O548" s="40">
        <f>IF(N548&gt;=I548,0,ROUND(PV(H548/12,I548-N548,-L548),0))</f>
        <v/>
      </c>
      <c r="P548" s="40">
        <f>MIN(I548,M548)*L548-N548*L548</f>
        <v/>
      </c>
      <c r="Q548" s="41">
        <f>INDEX(DPD_Bucket,MATCH(K548,DPD_From,1))</f>
        <v/>
      </c>
      <c r="R548" s="41">
        <f>INDEX(DPD_Class,MATCH(K548,DPD_From,1))</f>
        <v/>
      </c>
      <c r="S548" s="41">
        <f>INDEX(DPD_NPA,MATCH(K548,DPD_From,1))</f>
        <v/>
      </c>
      <c r="T548" s="42">
        <f>INDEX(DPD_Prov,MATCH(K548,DPD_From,1))</f>
        <v/>
      </c>
      <c r="U548" s="40">
        <f>ROUND(O548*T548,0)</f>
        <v/>
      </c>
      <c r="V548" s="41">
        <f>INDEX(CIBIL_Grade,MATCH(J548,CIBIL_From,1))</f>
        <v/>
      </c>
      <c r="W548" s="41">
        <f>YEAR(F548)&amp;"-Q"&amp;ROUNDUP(MONTH(F548)/3,0)</f>
        <v/>
      </c>
      <c r="X548" s="41">
        <f>IF(AND(OR(Dashboard!$C$4="All",D548=Dashboard!$C$4),OR(Dashboard!$C$5="All",E548=Dashboard!$C$5)),1,0)</f>
        <v/>
      </c>
      <c r="Y548" s="43">
        <f>IF(AND(X548=1,S548="Yes"),O548+ROW()/1000000,0)</f>
        <v/>
      </c>
    </row>
    <row r="549">
      <c r="A549" s="35" t="inlineStr">
        <is>
          <t>LN100548</t>
        </is>
      </c>
      <c r="B549" s="35" t="inlineStr">
        <is>
          <t>Ananya Kulkarni</t>
        </is>
      </c>
      <c r="C549" s="35" t="inlineStr">
        <is>
          <t>PUN-01</t>
        </is>
      </c>
      <c r="D549" s="36">
        <f>INDEX(Branches!$C$2:$C$15,MATCH(C549,Branches!$A$2:$A$15,0))</f>
        <v/>
      </c>
      <c r="E549" s="35" t="inlineStr">
        <is>
          <t>Gold Loan</t>
        </is>
      </c>
      <c r="F549" s="37" t="n">
        <v>45763</v>
      </c>
      <c r="G549" s="38" t="n">
        <v>398000</v>
      </c>
      <c r="H549" s="39" t="n">
        <v>0.1101</v>
      </c>
      <c r="I549" s="35" t="n">
        <v>12</v>
      </c>
      <c r="J549" s="35" t="n">
        <v>834</v>
      </c>
      <c r="K549" s="35" t="n">
        <v>0</v>
      </c>
      <c r="L549" s="40">
        <f>ROUND(PMT(H549/12,I549,-G549),0)</f>
        <v/>
      </c>
      <c r="M549" s="41">
        <f>MAX(0,(YEAR(AsOfDate)-YEAR(F549))*12+MONTH(AsOfDate)-MONTH(F549))</f>
        <v/>
      </c>
      <c r="N549" s="41">
        <f>MAX(0,MIN(I549,M549)-INT(K549/30))</f>
        <v/>
      </c>
      <c r="O549" s="40">
        <f>IF(N549&gt;=I549,0,ROUND(PV(H549/12,I549-N549,-L549),0))</f>
        <v/>
      </c>
      <c r="P549" s="40">
        <f>MIN(I549,M549)*L549-N549*L549</f>
        <v/>
      </c>
      <c r="Q549" s="41">
        <f>INDEX(DPD_Bucket,MATCH(K549,DPD_From,1))</f>
        <v/>
      </c>
      <c r="R549" s="41">
        <f>INDEX(DPD_Class,MATCH(K549,DPD_From,1))</f>
        <v/>
      </c>
      <c r="S549" s="41">
        <f>INDEX(DPD_NPA,MATCH(K549,DPD_From,1))</f>
        <v/>
      </c>
      <c r="T549" s="42">
        <f>INDEX(DPD_Prov,MATCH(K549,DPD_From,1))</f>
        <v/>
      </c>
      <c r="U549" s="40">
        <f>ROUND(O549*T549,0)</f>
        <v/>
      </c>
      <c r="V549" s="41">
        <f>INDEX(CIBIL_Grade,MATCH(J549,CIBIL_From,1))</f>
        <v/>
      </c>
      <c r="W549" s="41">
        <f>YEAR(F549)&amp;"-Q"&amp;ROUNDUP(MONTH(F549)/3,0)</f>
        <v/>
      </c>
      <c r="X549" s="41">
        <f>IF(AND(OR(Dashboard!$C$4="All",D549=Dashboard!$C$4),OR(Dashboard!$C$5="All",E549=Dashboard!$C$5)),1,0)</f>
        <v/>
      </c>
      <c r="Y549" s="43">
        <f>IF(AND(X549=1,S549="Yes"),O549+ROW()/1000000,0)</f>
        <v/>
      </c>
    </row>
    <row r="550">
      <c r="A550" s="35" t="inlineStr">
        <is>
          <t>LN100549</t>
        </is>
      </c>
      <c r="B550" s="35" t="inlineStr">
        <is>
          <t>Arjun Das</t>
        </is>
      </c>
      <c r="C550" s="35" t="inlineStr">
        <is>
          <t>LKO-01</t>
        </is>
      </c>
      <c r="D550" s="36">
        <f>INDEX(Branches!$C$2:$C$15,MATCH(C550,Branches!$A$2:$A$15,0))</f>
        <v/>
      </c>
      <c r="E550" s="35" t="inlineStr">
        <is>
          <t>Auto Loan</t>
        </is>
      </c>
      <c r="F550" s="37" t="n">
        <v>45613</v>
      </c>
      <c r="G550" s="38" t="n">
        <v>961000</v>
      </c>
      <c r="H550" s="39" t="n">
        <v>0.0989</v>
      </c>
      <c r="I550" s="35" t="n">
        <v>48</v>
      </c>
      <c r="J550" s="35" t="n">
        <v>839</v>
      </c>
      <c r="K550" s="35" t="n">
        <v>0</v>
      </c>
      <c r="L550" s="40">
        <f>ROUND(PMT(H550/12,I550,-G550),0)</f>
        <v/>
      </c>
      <c r="M550" s="41">
        <f>MAX(0,(YEAR(AsOfDate)-YEAR(F550))*12+MONTH(AsOfDate)-MONTH(F550))</f>
        <v/>
      </c>
      <c r="N550" s="41">
        <f>MAX(0,MIN(I550,M550)-INT(K550/30))</f>
        <v/>
      </c>
      <c r="O550" s="40">
        <f>IF(N550&gt;=I550,0,ROUND(PV(H550/12,I550-N550,-L550),0))</f>
        <v/>
      </c>
      <c r="P550" s="40">
        <f>MIN(I550,M550)*L550-N550*L550</f>
        <v/>
      </c>
      <c r="Q550" s="41">
        <f>INDEX(DPD_Bucket,MATCH(K550,DPD_From,1))</f>
        <v/>
      </c>
      <c r="R550" s="41">
        <f>INDEX(DPD_Class,MATCH(K550,DPD_From,1))</f>
        <v/>
      </c>
      <c r="S550" s="41">
        <f>INDEX(DPD_NPA,MATCH(K550,DPD_From,1))</f>
        <v/>
      </c>
      <c r="T550" s="42">
        <f>INDEX(DPD_Prov,MATCH(K550,DPD_From,1))</f>
        <v/>
      </c>
      <c r="U550" s="40">
        <f>ROUND(O550*T550,0)</f>
        <v/>
      </c>
      <c r="V550" s="41">
        <f>INDEX(CIBIL_Grade,MATCH(J550,CIBIL_From,1))</f>
        <v/>
      </c>
      <c r="W550" s="41">
        <f>YEAR(F550)&amp;"-Q"&amp;ROUNDUP(MONTH(F550)/3,0)</f>
        <v/>
      </c>
      <c r="X550" s="41">
        <f>IF(AND(OR(Dashboard!$C$4="All",D550=Dashboard!$C$4),OR(Dashboard!$C$5="All",E550=Dashboard!$C$5)),1,0)</f>
        <v/>
      </c>
      <c r="Y550" s="43">
        <f>IF(AND(X550=1,S550="Yes"),O550+ROW()/1000000,0)</f>
        <v/>
      </c>
    </row>
    <row r="551">
      <c r="A551" s="35" t="inlineStr">
        <is>
          <t>LN100550</t>
        </is>
      </c>
      <c r="B551" s="35" t="inlineStr">
        <is>
          <t>Reyansh Iyer</t>
        </is>
      </c>
      <c r="C551" s="35" t="inlineStr">
        <is>
          <t>MUM-01</t>
        </is>
      </c>
      <c r="D551" s="36">
        <f>INDEX(Branches!$C$2:$C$15,MATCH(C551,Branches!$A$2:$A$15,0))</f>
        <v/>
      </c>
      <c r="E551" s="35" t="inlineStr">
        <is>
          <t>Home Loan</t>
        </is>
      </c>
      <c r="F551" s="37" t="n">
        <v>45593</v>
      </c>
      <c r="G551" s="38" t="n">
        <v>9972000</v>
      </c>
      <c r="H551" s="39" t="n">
        <v>0.0887</v>
      </c>
      <c r="I551" s="35" t="n">
        <v>240</v>
      </c>
      <c r="J551" s="35" t="n">
        <v>826</v>
      </c>
      <c r="K551" s="35" t="n">
        <v>0</v>
      </c>
      <c r="L551" s="40">
        <f>ROUND(PMT(H551/12,I551,-G551),0)</f>
        <v/>
      </c>
      <c r="M551" s="41">
        <f>MAX(0,(YEAR(AsOfDate)-YEAR(F551))*12+MONTH(AsOfDate)-MONTH(F551))</f>
        <v/>
      </c>
      <c r="N551" s="41">
        <f>MAX(0,MIN(I551,M551)-INT(K551/30))</f>
        <v/>
      </c>
      <c r="O551" s="40">
        <f>IF(N551&gt;=I551,0,ROUND(PV(H551/12,I551-N551,-L551),0))</f>
        <v/>
      </c>
      <c r="P551" s="40">
        <f>MIN(I551,M551)*L551-N551*L551</f>
        <v/>
      </c>
      <c r="Q551" s="41">
        <f>INDEX(DPD_Bucket,MATCH(K551,DPD_From,1))</f>
        <v/>
      </c>
      <c r="R551" s="41">
        <f>INDEX(DPD_Class,MATCH(K551,DPD_From,1))</f>
        <v/>
      </c>
      <c r="S551" s="41">
        <f>INDEX(DPD_NPA,MATCH(K551,DPD_From,1))</f>
        <v/>
      </c>
      <c r="T551" s="42">
        <f>INDEX(DPD_Prov,MATCH(K551,DPD_From,1))</f>
        <v/>
      </c>
      <c r="U551" s="40">
        <f>ROUND(O551*T551,0)</f>
        <v/>
      </c>
      <c r="V551" s="41">
        <f>INDEX(CIBIL_Grade,MATCH(J551,CIBIL_From,1))</f>
        <v/>
      </c>
      <c r="W551" s="41">
        <f>YEAR(F551)&amp;"-Q"&amp;ROUNDUP(MONTH(F551)/3,0)</f>
        <v/>
      </c>
      <c r="X551" s="41">
        <f>IF(AND(OR(Dashboard!$C$4="All",D551=Dashboard!$C$4),OR(Dashboard!$C$5="All",E551=Dashboard!$C$5)),1,0)</f>
        <v/>
      </c>
      <c r="Y551" s="43">
        <f>IF(AND(X551=1,S551="Yes"),O551+ROW()/1000000,0)</f>
        <v/>
      </c>
    </row>
    <row r="552">
      <c r="A552" s="35" t="inlineStr">
        <is>
          <t>LN100551</t>
        </is>
      </c>
      <c r="B552" s="35" t="inlineStr">
        <is>
          <t>Lakshmi Joshi</t>
        </is>
      </c>
      <c r="C552" s="35" t="inlineStr">
        <is>
          <t>JAI-01</t>
        </is>
      </c>
      <c r="D552" s="36">
        <f>INDEX(Branches!$C$2:$C$15,MATCH(C552,Branches!$A$2:$A$15,0))</f>
        <v/>
      </c>
      <c r="E552" s="35" t="inlineStr">
        <is>
          <t>Personal Loan</t>
        </is>
      </c>
      <c r="F552" s="37" t="n">
        <v>46114</v>
      </c>
      <c r="G552" s="38" t="n">
        <v>598000</v>
      </c>
      <c r="H552" s="39" t="n">
        <v>0.1299</v>
      </c>
      <c r="I552" s="35" t="n">
        <v>24</v>
      </c>
      <c r="J552" s="35" t="n">
        <v>653</v>
      </c>
      <c r="K552" s="35" t="n">
        <v>45</v>
      </c>
      <c r="L552" s="40">
        <f>ROUND(PMT(H552/12,I552,-G552),0)</f>
        <v/>
      </c>
      <c r="M552" s="41">
        <f>MAX(0,(YEAR(AsOfDate)-YEAR(F552))*12+MONTH(AsOfDate)-MONTH(F552))</f>
        <v/>
      </c>
      <c r="N552" s="41">
        <f>MAX(0,MIN(I552,M552)-INT(K552/30))</f>
        <v/>
      </c>
      <c r="O552" s="40">
        <f>IF(N552&gt;=I552,0,ROUND(PV(H552/12,I552-N552,-L552),0))</f>
        <v/>
      </c>
      <c r="P552" s="40">
        <f>MIN(I552,M552)*L552-N552*L552</f>
        <v/>
      </c>
      <c r="Q552" s="41">
        <f>INDEX(DPD_Bucket,MATCH(K552,DPD_From,1))</f>
        <v/>
      </c>
      <c r="R552" s="41">
        <f>INDEX(DPD_Class,MATCH(K552,DPD_From,1))</f>
        <v/>
      </c>
      <c r="S552" s="41">
        <f>INDEX(DPD_NPA,MATCH(K552,DPD_From,1))</f>
        <v/>
      </c>
      <c r="T552" s="42">
        <f>INDEX(DPD_Prov,MATCH(K552,DPD_From,1))</f>
        <v/>
      </c>
      <c r="U552" s="40">
        <f>ROUND(O552*T552,0)</f>
        <v/>
      </c>
      <c r="V552" s="41">
        <f>INDEX(CIBIL_Grade,MATCH(J552,CIBIL_From,1))</f>
        <v/>
      </c>
      <c r="W552" s="41">
        <f>YEAR(F552)&amp;"-Q"&amp;ROUNDUP(MONTH(F552)/3,0)</f>
        <v/>
      </c>
      <c r="X552" s="41">
        <f>IF(AND(OR(Dashboard!$C$4="All",D552=Dashboard!$C$4),OR(Dashboard!$C$5="All",E552=Dashboard!$C$5)),1,0)</f>
        <v/>
      </c>
      <c r="Y552" s="43">
        <f>IF(AND(X552=1,S552="Yes"),O552+ROW()/1000000,0)</f>
        <v/>
      </c>
    </row>
    <row r="553">
      <c r="A553" s="35" t="inlineStr">
        <is>
          <t>LN100552</t>
        </is>
      </c>
      <c r="B553" s="35" t="inlineStr">
        <is>
          <t>Manish Joshi</t>
        </is>
      </c>
      <c r="C553" s="35" t="inlineStr">
        <is>
          <t>JAI-01</t>
        </is>
      </c>
      <c r="D553" s="36">
        <f>INDEX(Branches!$C$2:$C$15,MATCH(C553,Branches!$A$2:$A$15,0))</f>
        <v/>
      </c>
      <c r="E553" s="35" t="inlineStr">
        <is>
          <t>Home Loan</t>
        </is>
      </c>
      <c r="F553" s="37" t="n">
        <v>46013</v>
      </c>
      <c r="G553" s="38" t="n">
        <v>3713000</v>
      </c>
      <c r="H553" s="39" t="n">
        <v>0.0954</v>
      </c>
      <c r="I553" s="35" t="n">
        <v>240</v>
      </c>
      <c r="J553" s="35" t="n">
        <v>750</v>
      </c>
      <c r="K553" s="35" t="n">
        <v>0</v>
      </c>
      <c r="L553" s="40">
        <f>ROUND(PMT(H553/12,I553,-G553),0)</f>
        <v/>
      </c>
      <c r="M553" s="41">
        <f>MAX(0,(YEAR(AsOfDate)-YEAR(F553))*12+MONTH(AsOfDate)-MONTH(F553))</f>
        <v/>
      </c>
      <c r="N553" s="41">
        <f>MAX(0,MIN(I553,M553)-INT(K553/30))</f>
        <v/>
      </c>
      <c r="O553" s="40">
        <f>IF(N553&gt;=I553,0,ROUND(PV(H553/12,I553-N553,-L553),0))</f>
        <v/>
      </c>
      <c r="P553" s="40">
        <f>MIN(I553,M553)*L553-N553*L553</f>
        <v/>
      </c>
      <c r="Q553" s="41">
        <f>INDEX(DPD_Bucket,MATCH(K553,DPD_From,1))</f>
        <v/>
      </c>
      <c r="R553" s="41">
        <f>INDEX(DPD_Class,MATCH(K553,DPD_From,1))</f>
        <v/>
      </c>
      <c r="S553" s="41">
        <f>INDEX(DPD_NPA,MATCH(K553,DPD_From,1))</f>
        <v/>
      </c>
      <c r="T553" s="42">
        <f>INDEX(DPD_Prov,MATCH(K553,DPD_From,1))</f>
        <v/>
      </c>
      <c r="U553" s="40">
        <f>ROUND(O553*T553,0)</f>
        <v/>
      </c>
      <c r="V553" s="41">
        <f>INDEX(CIBIL_Grade,MATCH(J553,CIBIL_From,1))</f>
        <v/>
      </c>
      <c r="W553" s="41">
        <f>YEAR(F553)&amp;"-Q"&amp;ROUNDUP(MONTH(F553)/3,0)</f>
        <v/>
      </c>
      <c r="X553" s="41">
        <f>IF(AND(OR(Dashboard!$C$4="All",D553=Dashboard!$C$4),OR(Dashboard!$C$5="All",E553=Dashboard!$C$5)),1,0)</f>
        <v/>
      </c>
      <c r="Y553" s="43">
        <f>IF(AND(X553=1,S553="Yes"),O553+ROW()/1000000,0)</f>
        <v/>
      </c>
    </row>
    <row r="554">
      <c r="A554" s="35" t="inlineStr">
        <is>
          <t>LN100553</t>
        </is>
      </c>
      <c r="B554" s="35" t="inlineStr">
        <is>
          <t>Riya Pillai</t>
        </is>
      </c>
      <c r="C554" s="35" t="inlineStr">
        <is>
          <t>KOC-01</t>
        </is>
      </c>
      <c r="D554" s="36">
        <f>INDEX(Branches!$C$2:$C$15,MATCH(C554,Branches!$A$2:$A$15,0))</f>
        <v/>
      </c>
      <c r="E554" s="35" t="inlineStr">
        <is>
          <t>Gold Loan</t>
        </is>
      </c>
      <c r="F554" s="37" t="n">
        <v>45974</v>
      </c>
      <c r="G554" s="38" t="n">
        <v>476000</v>
      </c>
      <c r="H554" s="39" t="n">
        <v>0.09429999999999999</v>
      </c>
      <c r="I554" s="35" t="n">
        <v>12</v>
      </c>
      <c r="J554" s="35" t="n">
        <v>654</v>
      </c>
      <c r="K554" s="35" t="n">
        <v>0</v>
      </c>
      <c r="L554" s="40">
        <f>ROUND(PMT(H554/12,I554,-G554),0)</f>
        <v/>
      </c>
      <c r="M554" s="41">
        <f>MAX(0,(YEAR(AsOfDate)-YEAR(F554))*12+MONTH(AsOfDate)-MONTH(F554))</f>
        <v/>
      </c>
      <c r="N554" s="41">
        <f>MAX(0,MIN(I554,M554)-INT(K554/30))</f>
        <v/>
      </c>
      <c r="O554" s="40">
        <f>IF(N554&gt;=I554,0,ROUND(PV(H554/12,I554-N554,-L554),0))</f>
        <v/>
      </c>
      <c r="P554" s="40">
        <f>MIN(I554,M554)*L554-N554*L554</f>
        <v/>
      </c>
      <c r="Q554" s="41">
        <f>INDEX(DPD_Bucket,MATCH(K554,DPD_From,1))</f>
        <v/>
      </c>
      <c r="R554" s="41">
        <f>INDEX(DPD_Class,MATCH(K554,DPD_From,1))</f>
        <v/>
      </c>
      <c r="S554" s="41">
        <f>INDEX(DPD_NPA,MATCH(K554,DPD_From,1))</f>
        <v/>
      </c>
      <c r="T554" s="42">
        <f>INDEX(DPD_Prov,MATCH(K554,DPD_From,1))</f>
        <v/>
      </c>
      <c r="U554" s="40">
        <f>ROUND(O554*T554,0)</f>
        <v/>
      </c>
      <c r="V554" s="41">
        <f>INDEX(CIBIL_Grade,MATCH(J554,CIBIL_From,1))</f>
        <v/>
      </c>
      <c r="W554" s="41">
        <f>YEAR(F554)&amp;"-Q"&amp;ROUNDUP(MONTH(F554)/3,0)</f>
        <v/>
      </c>
      <c r="X554" s="41">
        <f>IF(AND(OR(Dashboard!$C$4="All",D554=Dashboard!$C$4),OR(Dashboard!$C$5="All",E554=Dashboard!$C$5)),1,0)</f>
        <v/>
      </c>
      <c r="Y554" s="43">
        <f>IF(AND(X554=1,S554="Yes"),O554+ROW()/1000000,0)</f>
        <v/>
      </c>
    </row>
    <row r="555">
      <c r="A555" s="35" t="inlineStr">
        <is>
          <t>LN100554</t>
        </is>
      </c>
      <c r="B555" s="35" t="inlineStr">
        <is>
          <t>Farhan Rao</t>
        </is>
      </c>
      <c r="C555" s="35" t="inlineStr">
        <is>
          <t>PAT-01</t>
        </is>
      </c>
      <c r="D555" s="36">
        <f>INDEX(Branches!$C$2:$C$15,MATCH(C555,Branches!$A$2:$A$15,0))</f>
        <v/>
      </c>
      <c r="E555" s="35" t="inlineStr">
        <is>
          <t>Gold Loan</t>
        </is>
      </c>
      <c r="F555" s="37" t="n">
        <v>45429</v>
      </c>
      <c r="G555" s="38" t="n">
        <v>437000</v>
      </c>
      <c r="H555" s="39" t="n">
        <v>0.0997</v>
      </c>
      <c r="I555" s="35" t="n">
        <v>12</v>
      </c>
      <c r="J555" s="35" t="n">
        <v>758</v>
      </c>
      <c r="K555" s="35" t="n">
        <v>0</v>
      </c>
      <c r="L555" s="40">
        <f>ROUND(PMT(H555/12,I555,-G555),0)</f>
        <v/>
      </c>
      <c r="M555" s="41">
        <f>MAX(0,(YEAR(AsOfDate)-YEAR(F555))*12+MONTH(AsOfDate)-MONTH(F555))</f>
        <v/>
      </c>
      <c r="N555" s="41">
        <f>MAX(0,MIN(I555,M555)-INT(K555/30))</f>
        <v/>
      </c>
      <c r="O555" s="40">
        <f>IF(N555&gt;=I555,0,ROUND(PV(H555/12,I555-N555,-L555),0))</f>
        <v/>
      </c>
      <c r="P555" s="40">
        <f>MIN(I555,M555)*L555-N555*L555</f>
        <v/>
      </c>
      <c r="Q555" s="41">
        <f>INDEX(DPD_Bucket,MATCH(K555,DPD_From,1))</f>
        <v/>
      </c>
      <c r="R555" s="41">
        <f>INDEX(DPD_Class,MATCH(K555,DPD_From,1))</f>
        <v/>
      </c>
      <c r="S555" s="41">
        <f>INDEX(DPD_NPA,MATCH(K555,DPD_From,1))</f>
        <v/>
      </c>
      <c r="T555" s="42">
        <f>INDEX(DPD_Prov,MATCH(K555,DPD_From,1))</f>
        <v/>
      </c>
      <c r="U555" s="40">
        <f>ROUND(O555*T555,0)</f>
        <v/>
      </c>
      <c r="V555" s="41">
        <f>INDEX(CIBIL_Grade,MATCH(J555,CIBIL_From,1))</f>
        <v/>
      </c>
      <c r="W555" s="41">
        <f>YEAR(F555)&amp;"-Q"&amp;ROUNDUP(MONTH(F555)/3,0)</f>
        <v/>
      </c>
      <c r="X555" s="41">
        <f>IF(AND(OR(Dashboard!$C$4="All",D555=Dashboard!$C$4),OR(Dashboard!$C$5="All",E555=Dashboard!$C$5)),1,0)</f>
        <v/>
      </c>
      <c r="Y555" s="43">
        <f>IF(AND(X555=1,S555="Yes"),O555+ROW()/1000000,0)</f>
        <v/>
      </c>
    </row>
    <row r="556">
      <c r="A556" s="35" t="inlineStr">
        <is>
          <t>LN100555</t>
        </is>
      </c>
      <c r="B556" s="35" t="inlineStr">
        <is>
          <t>Diya Menon</t>
        </is>
      </c>
      <c r="C556" s="35" t="inlineStr">
        <is>
          <t>JAI-01</t>
        </is>
      </c>
      <c r="D556" s="36">
        <f>INDEX(Branches!$C$2:$C$15,MATCH(C556,Branches!$A$2:$A$15,0))</f>
        <v/>
      </c>
      <c r="E556" s="35" t="inlineStr">
        <is>
          <t>Personal Loan</t>
        </is>
      </c>
      <c r="F556" s="37" t="n">
        <v>45200</v>
      </c>
      <c r="G556" s="38" t="n">
        <v>905000</v>
      </c>
      <c r="H556" s="39" t="n">
        <v>0.1431</v>
      </c>
      <c r="I556" s="35" t="n">
        <v>12</v>
      </c>
      <c r="J556" s="35" t="n">
        <v>782</v>
      </c>
      <c r="K556" s="35" t="n">
        <v>0</v>
      </c>
      <c r="L556" s="40">
        <f>ROUND(PMT(H556/12,I556,-G556),0)</f>
        <v/>
      </c>
      <c r="M556" s="41">
        <f>MAX(0,(YEAR(AsOfDate)-YEAR(F556))*12+MONTH(AsOfDate)-MONTH(F556))</f>
        <v/>
      </c>
      <c r="N556" s="41">
        <f>MAX(0,MIN(I556,M556)-INT(K556/30))</f>
        <v/>
      </c>
      <c r="O556" s="40">
        <f>IF(N556&gt;=I556,0,ROUND(PV(H556/12,I556-N556,-L556),0))</f>
        <v/>
      </c>
      <c r="P556" s="40">
        <f>MIN(I556,M556)*L556-N556*L556</f>
        <v/>
      </c>
      <c r="Q556" s="41">
        <f>INDEX(DPD_Bucket,MATCH(K556,DPD_From,1))</f>
        <v/>
      </c>
      <c r="R556" s="41">
        <f>INDEX(DPD_Class,MATCH(K556,DPD_From,1))</f>
        <v/>
      </c>
      <c r="S556" s="41">
        <f>INDEX(DPD_NPA,MATCH(K556,DPD_From,1))</f>
        <v/>
      </c>
      <c r="T556" s="42">
        <f>INDEX(DPD_Prov,MATCH(K556,DPD_From,1))</f>
        <v/>
      </c>
      <c r="U556" s="40">
        <f>ROUND(O556*T556,0)</f>
        <v/>
      </c>
      <c r="V556" s="41">
        <f>INDEX(CIBIL_Grade,MATCH(J556,CIBIL_From,1))</f>
        <v/>
      </c>
      <c r="W556" s="41">
        <f>YEAR(F556)&amp;"-Q"&amp;ROUNDUP(MONTH(F556)/3,0)</f>
        <v/>
      </c>
      <c r="X556" s="41">
        <f>IF(AND(OR(Dashboard!$C$4="All",D556=Dashboard!$C$4),OR(Dashboard!$C$5="All",E556=Dashboard!$C$5)),1,0)</f>
        <v/>
      </c>
      <c r="Y556" s="43">
        <f>IF(AND(X556=1,S556="Yes"),O556+ROW()/1000000,0)</f>
        <v/>
      </c>
    </row>
    <row r="557">
      <c r="A557" s="35" t="inlineStr">
        <is>
          <t>LN100556</t>
        </is>
      </c>
      <c r="B557" s="35" t="inlineStr">
        <is>
          <t>Aditya Singh</t>
        </is>
      </c>
      <c r="C557" s="35" t="inlineStr">
        <is>
          <t>LKO-01</t>
        </is>
      </c>
      <c r="D557" s="36">
        <f>INDEX(Branches!$C$2:$C$15,MATCH(C557,Branches!$A$2:$A$15,0))</f>
        <v/>
      </c>
      <c r="E557" s="35" t="inlineStr">
        <is>
          <t>Auto Loan</t>
        </is>
      </c>
      <c r="F557" s="37" t="n">
        <v>45506</v>
      </c>
      <c r="G557" s="38" t="n">
        <v>1138000</v>
      </c>
      <c r="H557" s="39" t="n">
        <v>0.1073</v>
      </c>
      <c r="I557" s="35" t="n">
        <v>36</v>
      </c>
      <c r="J557" s="35" t="n">
        <v>775</v>
      </c>
      <c r="K557" s="35" t="n">
        <v>0</v>
      </c>
      <c r="L557" s="40">
        <f>ROUND(PMT(H557/12,I557,-G557),0)</f>
        <v/>
      </c>
      <c r="M557" s="41">
        <f>MAX(0,(YEAR(AsOfDate)-YEAR(F557))*12+MONTH(AsOfDate)-MONTH(F557))</f>
        <v/>
      </c>
      <c r="N557" s="41">
        <f>MAX(0,MIN(I557,M557)-INT(K557/30))</f>
        <v/>
      </c>
      <c r="O557" s="40">
        <f>IF(N557&gt;=I557,0,ROUND(PV(H557/12,I557-N557,-L557),0))</f>
        <v/>
      </c>
      <c r="P557" s="40">
        <f>MIN(I557,M557)*L557-N557*L557</f>
        <v/>
      </c>
      <c r="Q557" s="41">
        <f>INDEX(DPD_Bucket,MATCH(K557,DPD_From,1))</f>
        <v/>
      </c>
      <c r="R557" s="41">
        <f>INDEX(DPD_Class,MATCH(K557,DPD_From,1))</f>
        <v/>
      </c>
      <c r="S557" s="41">
        <f>INDEX(DPD_NPA,MATCH(K557,DPD_From,1))</f>
        <v/>
      </c>
      <c r="T557" s="42">
        <f>INDEX(DPD_Prov,MATCH(K557,DPD_From,1))</f>
        <v/>
      </c>
      <c r="U557" s="40">
        <f>ROUND(O557*T557,0)</f>
        <v/>
      </c>
      <c r="V557" s="41">
        <f>INDEX(CIBIL_Grade,MATCH(J557,CIBIL_From,1))</f>
        <v/>
      </c>
      <c r="W557" s="41">
        <f>YEAR(F557)&amp;"-Q"&amp;ROUNDUP(MONTH(F557)/3,0)</f>
        <v/>
      </c>
      <c r="X557" s="41">
        <f>IF(AND(OR(Dashboard!$C$4="All",D557=Dashboard!$C$4),OR(Dashboard!$C$5="All",E557=Dashboard!$C$5)),1,0)</f>
        <v/>
      </c>
      <c r="Y557" s="43">
        <f>IF(AND(X557=1,S557="Yes"),O557+ROW()/1000000,0)</f>
        <v/>
      </c>
    </row>
    <row r="558">
      <c r="A558" s="35" t="inlineStr">
        <is>
          <t>LN100557</t>
        </is>
      </c>
      <c r="B558" s="35" t="inlineStr">
        <is>
          <t>Tanvi Mishra</t>
        </is>
      </c>
      <c r="C558" s="35" t="inlineStr">
        <is>
          <t>AMD-01</t>
        </is>
      </c>
      <c r="D558" s="36">
        <f>INDEX(Branches!$C$2:$C$15,MATCH(C558,Branches!$A$2:$A$15,0))</f>
        <v/>
      </c>
      <c r="E558" s="35" t="inlineStr">
        <is>
          <t>Auto Loan</t>
        </is>
      </c>
      <c r="F558" s="37" t="n">
        <v>45848</v>
      </c>
      <c r="G558" s="38" t="n">
        <v>1655000</v>
      </c>
      <c r="H558" s="39" t="n">
        <v>0.1025</v>
      </c>
      <c r="I558" s="35" t="n">
        <v>48</v>
      </c>
      <c r="J558" s="35" t="n">
        <v>788</v>
      </c>
      <c r="K558" s="35" t="n">
        <v>0</v>
      </c>
      <c r="L558" s="40">
        <f>ROUND(PMT(H558/12,I558,-G558),0)</f>
        <v/>
      </c>
      <c r="M558" s="41">
        <f>MAX(0,(YEAR(AsOfDate)-YEAR(F558))*12+MONTH(AsOfDate)-MONTH(F558))</f>
        <v/>
      </c>
      <c r="N558" s="41">
        <f>MAX(0,MIN(I558,M558)-INT(K558/30))</f>
        <v/>
      </c>
      <c r="O558" s="40">
        <f>IF(N558&gt;=I558,0,ROUND(PV(H558/12,I558-N558,-L558),0))</f>
        <v/>
      </c>
      <c r="P558" s="40">
        <f>MIN(I558,M558)*L558-N558*L558</f>
        <v/>
      </c>
      <c r="Q558" s="41">
        <f>INDEX(DPD_Bucket,MATCH(K558,DPD_From,1))</f>
        <v/>
      </c>
      <c r="R558" s="41">
        <f>INDEX(DPD_Class,MATCH(K558,DPD_From,1))</f>
        <v/>
      </c>
      <c r="S558" s="41">
        <f>INDEX(DPD_NPA,MATCH(K558,DPD_From,1))</f>
        <v/>
      </c>
      <c r="T558" s="42">
        <f>INDEX(DPD_Prov,MATCH(K558,DPD_From,1))</f>
        <v/>
      </c>
      <c r="U558" s="40">
        <f>ROUND(O558*T558,0)</f>
        <v/>
      </c>
      <c r="V558" s="41">
        <f>INDEX(CIBIL_Grade,MATCH(J558,CIBIL_From,1))</f>
        <v/>
      </c>
      <c r="W558" s="41">
        <f>YEAR(F558)&amp;"-Q"&amp;ROUNDUP(MONTH(F558)/3,0)</f>
        <v/>
      </c>
      <c r="X558" s="41">
        <f>IF(AND(OR(Dashboard!$C$4="All",D558=Dashboard!$C$4),OR(Dashboard!$C$5="All",E558=Dashboard!$C$5)),1,0)</f>
        <v/>
      </c>
      <c r="Y558" s="43">
        <f>IF(AND(X558=1,S558="Yes"),O558+ROW()/1000000,0)</f>
        <v/>
      </c>
    </row>
    <row r="559">
      <c r="A559" s="35" t="inlineStr">
        <is>
          <t>LN100558</t>
        </is>
      </c>
      <c r="B559" s="35" t="inlineStr">
        <is>
          <t>Aditya Mishra</t>
        </is>
      </c>
      <c r="C559" s="35" t="inlineStr">
        <is>
          <t>GUW-01</t>
        </is>
      </c>
      <c r="D559" s="36">
        <f>INDEX(Branches!$C$2:$C$15,MATCH(C559,Branches!$A$2:$A$15,0))</f>
        <v/>
      </c>
      <c r="E559" s="35" t="inlineStr">
        <is>
          <t>Business Loan</t>
        </is>
      </c>
      <c r="F559" s="37" t="n">
        <v>45819</v>
      </c>
      <c r="G559" s="38" t="n">
        <v>2690000</v>
      </c>
      <c r="H559" s="39" t="n">
        <v>0.1715</v>
      </c>
      <c r="I559" s="35" t="n">
        <v>24</v>
      </c>
      <c r="J559" s="35" t="n">
        <v>726</v>
      </c>
      <c r="K559" s="35" t="n">
        <v>0</v>
      </c>
      <c r="L559" s="40">
        <f>ROUND(PMT(H559/12,I559,-G559),0)</f>
        <v/>
      </c>
      <c r="M559" s="41">
        <f>MAX(0,(YEAR(AsOfDate)-YEAR(F559))*12+MONTH(AsOfDate)-MONTH(F559))</f>
        <v/>
      </c>
      <c r="N559" s="41">
        <f>MAX(0,MIN(I559,M559)-INT(K559/30))</f>
        <v/>
      </c>
      <c r="O559" s="40">
        <f>IF(N559&gt;=I559,0,ROUND(PV(H559/12,I559-N559,-L559),0))</f>
        <v/>
      </c>
      <c r="P559" s="40">
        <f>MIN(I559,M559)*L559-N559*L559</f>
        <v/>
      </c>
      <c r="Q559" s="41">
        <f>INDEX(DPD_Bucket,MATCH(K559,DPD_From,1))</f>
        <v/>
      </c>
      <c r="R559" s="41">
        <f>INDEX(DPD_Class,MATCH(K559,DPD_From,1))</f>
        <v/>
      </c>
      <c r="S559" s="41">
        <f>INDEX(DPD_NPA,MATCH(K559,DPD_From,1))</f>
        <v/>
      </c>
      <c r="T559" s="42">
        <f>INDEX(DPD_Prov,MATCH(K559,DPD_From,1))</f>
        <v/>
      </c>
      <c r="U559" s="40">
        <f>ROUND(O559*T559,0)</f>
        <v/>
      </c>
      <c r="V559" s="41">
        <f>INDEX(CIBIL_Grade,MATCH(J559,CIBIL_From,1))</f>
        <v/>
      </c>
      <c r="W559" s="41">
        <f>YEAR(F559)&amp;"-Q"&amp;ROUNDUP(MONTH(F559)/3,0)</f>
        <v/>
      </c>
      <c r="X559" s="41">
        <f>IF(AND(OR(Dashboard!$C$4="All",D559=Dashboard!$C$4),OR(Dashboard!$C$5="All",E559=Dashboard!$C$5)),1,0)</f>
        <v/>
      </c>
      <c r="Y559" s="43">
        <f>IF(AND(X559=1,S559="Yes"),O559+ROW()/1000000,0)</f>
        <v/>
      </c>
    </row>
    <row r="560">
      <c r="A560" s="35" t="inlineStr">
        <is>
          <t>LN100559</t>
        </is>
      </c>
      <c r="B560" s="35" t="inlineStr">
        <is>
          <t>Aditya Sahoo</t>
        </is>
      </c>
      <c r="C560" s="35" t="inlineStr">
        <is>
          <t>CHN-01</t>
        </is>
      </c>
      <c r="D560" s="36">
        <f>INDEX(Branches!$C$2:$C$15,MATCH(C560,Branches!$A$2:$A$15,0))</f>
        <v/>
      </c>
      <c r="E560" s="35" t="inlineStr">
        <is>
          <t>Personal Loan</t>
        </is>
      </c>
      <c r="F560" s="37" t="n">
        <v>45974</v>
      </c>
      <c r="G560" s="38" t="n">
        <v>1060000</v>
      </c>
      <c r="H560" s="39" t="n">
        <v>0.1497</v>
      </c>
      <c r="I560" s="35" t="n">
        <v>60</v>
      </c>
      <c r="J560" s="35" t="n">
        <v>749</v>
      </c>
      <c r="K560" s="35" t="n">
        <v>0</v>
      </c>
      <c r="L560" s="40">
        <f>ROUND(PMT(H560/12,I560,-G560),0)</f>
        <v/>
      </c>
      <c r="M560" s="41">
        <f>MAX(0,(YEAR(AsOfDate)-YEAR(F560))*12+MONTH(AsOfDate)-MONTH(F560))</f>
        <v/>
      </c>
      <c r="N560" s="41">
        <f>MAX(0,MIN(I560,M560)-INT(K560/30))</f>
        <v/>
      </c>
      <c r="O560" s="40">
        <f>IF(N560&gt;=I560,0,ROUND(PV(H560/12,I560-N560,-L560),0))</f>
        <v/>
      </c>
      <c r="P560" s="40">
        <f>MIN(I560,M560)*L560-N560*L560</f>
        <v/>
      </c>
      <c r="Q560" s="41">
        <f>INDEX(DPD_Bucket,MATCH(K560,DPD_From,1))</f>
        <v/>
      </c>
      <c r="R560" s="41">
        <f>INDEX(DPD_Class,MATCH(K560,DPD_From,1))</f>
        <v/>
      </c>
      <c r="S560" s="41">
        <f>INDEX(DPD_NPA,MATCH(K560,DPD_From,1))</f>
        <v/>
      </c>
      <c r="T560" s="42">
        <f>INDEX(DPD_Prov,MATCH(K560,DPD_From,1))</f>
        <v/>
      </c>
      <c r="U560" s="40">
        <f>ROUND(O560*T560,0)</f>
        <v/>
      </c>
      <c r="V560" s="41">
        <f>INDEX(CIBIL_Grade,MATCH(J560,CIBIL_From,1))</f>
        <v/>
      </c>
      <c r="W560" s="41">
        <f>YEAR(F560)&amp;"-Q"&amp;ROUNDUP(MONTH(F560)/3,0)</f>
        <v/>
      </c>
      <c r="X560" s="41">
        <f>IF(AND(OR(Dashboard!$C$4="All",D560=Dashboard!$C$4),OR(Dashboard!$C$5="All",E560=Dashboard!$C$5)),1,0)</f>
        <v/>
      </c>
      <c r="Y560" s="43">
        <f>IF(AND(X560=1,S560="Yes"),O560+ROW()/1000000,0)</f>
        <v/>
      </c>
    </row>
    <row r="561">
      <c r="A561" s="35" t="inlineStr">
        <is>
          <t>LN100560</t>
        </is>
      </c>
      <c r="B561" s="35" t="inlineStr">
        <is>
          <t>Vivaan Iyer</t>
        </is>
      </c>
      <c r="C561" s="35" t="inlineStr">
        <is>
          <t>KOC-01</t>
        </is>
      </c>
      <c r="D561" s="36">
        <f>INDEX(Branches!$C$2:$C$15,MATCH(C561,Branches!$A$2:$A$15,0))</f>
        <v/>
      </c>
      <c r="E561" s="35" t="inlineStr">
        <is>
          <t>Business Loan</t>
        </is>
      </c>
      <c r="F561" s="37" t="n">
        <v>45161</v>
      </c>
      <c r="G561" s="38" t="n">
        <v>4177000</v>
      </c>
      <c r="H561" s="39" t="n">
        <v>0.1921</v>
      </c>
      <c r="I561" s="35" t="n">
        <v>36</v>
      </c>
      <c r="J561" s="35" t="n">
        <v>704</v>
      </c>
      <c r="K561" s="35" t="n">
        <v>0</v>
      </c>
      <c r="L561" s="40">
        <f>ROUND(PMT(H561/12,I561,-G561),0)</f>
        <v/>
      </c>
      <c r="M561" s="41">
        <f>MAX(0,(YEAR(AsOfDate)-YEAR(F561))*12+MONTH(AsOfDate)-MONTH(F561))</f>
        <v/>
      </c>
      <c r="N561" s="41">
        <f>MAX(0,MIN(I561,M561)-INT(K561/30))</f>
        <v/>
      </c>
      <c r="O561" s="40">
        <f>IF(N561&gt;=I561,0,ROUND(PV(H561/12,I561-N561,-L561),0))</f>
        <v/>
      </c>
      <c r="P561" s="40">
        <f>MIN(I561,M561)*L561-N561*L561</f>
        <v/>
      </c>
      <c r="Q561" s="41">
        <f>INDEX(DPD_Bucket,MATCH(K561,DPD_From,1))</f>
        <v/>
      </c>
      <c r="R561" s="41">
        <f>INDEX(DPD_Class,MATCH(K561,DPD_From,1))</f>
        <v/>
      </c>
      <c r="S561" s="41">
        <f>INDEX(DPD_NPA,MATCH(K561,DPD_From,1))</f>
        <v/>
      </c>
      <c r="T561" s="42">
        <f>INDEX(DPD_Prov,MATCH(K561,DPD_From,1))</f>
        <v/>
      </c>
      <c r="U561" s="40">
        <f>ROUND(O561*T561,0)</f>
        <v/>
      </c>
      <c r="V561" s="41">
        <f>INDEX(CIBIL_Grade,MATCH(J561,CIBIL_From,1))</f>
        <v/>
      </c>
      <c r="W561" s="41">
        <f>YEAR(F561)&amp;"-Q"&amp;ROUNDUP(MONTH(F561)/3,0)</f>
        <v/>
      </c>
      <c r="X561" s="41">
        <f>IF(AND(OR(Dashboard!$C$4="All",D561=Dashboard!$C$4),OR(Dashboard!$C$5="All",E561=Dashboard!$C$5)),1,0)</f>
        <v/>
      </c>
      <c r="Y561" s="43">
        <f>IF(AND(X561=1,S561="Yes"),O561+ROW()/1000000,0)</f>
        <v/>
      </c>
    </row>
    <row r="562">
      <c r="A562" s="35" t="inlineStr">
        <is>
          <t>LN100561</t>
        </is>
      </c>
      <c r="B562" s="35" t="inlineStr">
        <is>
          <t>Suresh Mishra</t>
        </is>
      </c>
      <c r="C562" s="35" t="inlineStr">
        <is>
          <t>DEL-01</t>
        </is>
      </c>
      <c r="D562" s="36">
        <f>INDEX(Branches!$C$2:$C$15,MATCH(C562,Branches!$A$2:$A$15,0))</f>
        <v/>
      </c>
      <c r="E562" s="35" t="inlineStr">
        <is>
          <t>Gold Loan</t>
        </is>
      </c>
      <c r="F562" s="37" t="n">
        <v>45873</v>
      </c>
      <c r="G562" s="38" t="n">
        <v>138000</v>
      </c>
      <c r="H562" s="39" t="n">
        <v>0.1104</v>
      </c>
      <c r="I562" s="35" t="n">
        <v>6</v>
      </c>
      <c r="J562" s="35" t="n">
        <v>702</v>
      </c>
      <c r="K562" s="35" t="n">
        <v>0</v>
      </c>
      <c r="L562" s="40">
        <f>ROUND(PMT(H562/12,I562,-G562),0)</f>
        <v/>
      </c>
      <c r="M562" s="41">
        <f>MAX(0,(YEAR(AsOfDate)-YEAR(F562))*12+MONTH(AsOfDate)-MONTH(F562))</f>
        <v/>
      </c>
      <c r="N562" s="41">
        <f>MAX(0,MIN(I562,M562)-INT(K562/30))</f>
        <v/>
      </c>
      <c r="O562" s="40">
        <f>IF(N562&gt;=I562,0,ROUND(PV(H562/12,I562-N562,-L562),0))</f>
        <v/>
      </c>
      <c r="P562" s="40">
        <f>MIN(I562,M562)*L562-N562*L562</f>
        <v/>
      </c>
      <c r="Q562" s="41">
        <f>INDEX(DPD_Bucket,MATCH(K562,DPD_From,1))</f>
        <v/>
      </c>
      <c r="R562" s="41">
        <f>INDEX(DPD_Class,MATCH(K562,DPD_From,1))</f>
        <v/>
      </c>
      <c r="S562" s="41">
        <f>INDEX(DPD_NPA,MATCH(K562,DPD_From,1))</f>
        <v/>
      </c>
      <c r="T562" s="42">
        <f>INDEX(DPD_Prov,MATCH(K562,DPD_From,1))</f>
        <v/>
      </c>
      <c r="U562" s="40">
        <f>ROUND(O562*T562,0)</f>
        <v/>
      </c>
      <c r="V562" s="41">
        <f>INDEX(CIBIL_Grade,MATCH(J562,CIBIL_From,1))</f>
        <v/>
      </c>
      <c r="W562" s="41">
        <f>YEAR(F562)&amp;"-Q"&amp;ROUNDUP(MONTH(F562)/3,0)</f>
        <v/>
      </c>
      <c r="X562" s="41">
        <f>IF(AND(OR(Dashboard!$C$4="All",D562=Dashboard!$C$4),OR(Dashboard!$C$5="All",E562=Dashboard!$C$5)),1,0)</f>
        <v/>
      </c>
      <c r="Y562" s="43">
        <f>IF(AND(X562=1,S562="Yes"),O562+ROW()/1000000,0)</f>
        <v/>
      </c>
    </row>
    <row r="563">
      <c r="A563" s="35" t="inlineStr">
        <is>
          <t>LN100562</t>
        </is>
      </c>
      <c r="B563" s="35" t="inlineStr">
        <is>
          <t>Harsh Menon</t>
        </is>
      </c>
      <c r="C563" s="35" t="inlineStr">
        <is>
          <t>CHN-01</t>
        </is>
      </c>
      <c r="D563" s="36">
        <f>INDEX(Branches!$C$2:$C$15,MATCH(C563,Branches!$A$2:$A$15,0))</f>
        <v/>
      </c>
      <c r="E563" s="35" t="inlineStr">
        <is>
          <t>Auto Loan</t>
        </is>
      </c>
      <c r="F563" s="37" t="n">
        <v>45283</v>
      </c>
      <c r="G563" s="38" t="n">
        <v>1332000</v>
      </c>
      <c r="H563" s="39" t="n">
        <v>0.108</v>
      </c>
      <c r="I563" s="35" t="n">
        <v>60</v>
      </c>
      <c r="J563" s="35" t="n">
        <v>683</v>
      </c>
      <c r="K563" s="35" t="n">
        <v>0</v>
      </c>
      <c r="L563" s="40">
        <f>ROUND(PMT(H563/12,I563,-G563),0)</f>
        <v/>
      </c>
      <c r="M563" s="41">
        <f>MAX(0,(YEAR(AsOfDate)-YEAR(F563))*12+MONTH(AsOfDate)-MONTH(F563))</f>
        <v/>
      </c>
      <c r="N563" s="41">
        <f>MAX(0,MIN(I563,M563)-INT(K563/30))</f>
        <v/>
      </c>
      <c r="O563" s="40">
        <f>IF(N563&gt;=I563,0,ROUND(PV(H563/12,I563-N563,-L563),0))</f>
        <v/>
      </c>
      <c r="P563" s="40">
        <f>MIN(I563,M563)*L563-N563*L563</f>
        <v/>
      </c>
      <c r="Q563" s="41">
        <f>INDEX(DPD_Bucket,MATCH(K563,DPD_From,1))</f>
        <v/>
      </c>
      <c r="R563" s="41">
        <f>INDEX(DPD_Class,MATCH(K563,DPD_From,1))</f>
        <v/>
      </c>
      <c r="S563" s="41">
        <f>INDEX(DPD_NPA,MATCH(K563,DPD_From,1))</f>
        <v/>
      </c>
      <c r="T563" s="42">
        <f>INDEX(DPD_Prov,MATCH(K563,DPD_From,1))</f>
        <v/>
      </c>
      <c r="U563" s="40">
        <f>ROUND(O563*T563,0)</f>
        <v/>
      </c>
      <c r="V563" s="41">
        <f>INDEX(CIBIL_Grade,MATCH(J563,CIBIL_From,1))</f>
        <v/>
      </c>
      <c r="W563" s="41">
        <f>YEAR(F563)&amp;"-Q"&amp;ROUNDUP(MONTH(F563)/3,0)</f>
        <v/>
      </c>
      <c r="X563" s="41">
        <f>IF(AND(OR(Dashboard!$C$4="All",D563=Dashboard!$C$4),OR(Dashboard!$C$5="All",E563=Dashboard!$C$5)),1,0)</f>
        <v/>
      </c>
      <c r="Y563" s="43">
        <f>IF(AND(X563=1,S563="Yes"),O563+ROW()/1000000,0)</f>
        <v/>
      </c>
    </row>
    <row r="564">
      <c r="A564" s="35" t="inlineStr">
        <is>
          <t>LN100563</t>
        </is>
      </c>
      <c r="B564" s="35" t="inlineStr">
        <is>
          <t>Aarav Kulkarni</t>
        </is>
      </c>
      <c r="C564" s="35" t="inlineStr">
        <is>
          <t>GUW-01</t>
        </is>
      </c>
      <c r="D564" s="36">
        <f>INDEX(Branches!$C$2:$C$15,MATCH(C564,Branches!$A$2:$A$15,0))</f>
        <v/>
      </c>
      <c r="E564" s="35" t="inlineStr">
        <is>
          <t>Personal Loan</t>
        </is>
      </c>
      <c r="F564" s="37" t="n">
        <v>45571</v>
      </c>
      <c r="G564" s="38" t="n">
        <v>1470000</v>
      </c>
      <c r="H564" s="39" t="n">
        <v>0.1132</v>
      </c>
      <c r="I564" s="35" t="n">
        <v>24</v>
      </c>
      <c r="J564" s="35" t="n">
        <v>844</v>
      </c>
      <c r="K564" s="35" t="n">
        <v>0</v>
      </c>
      <c r="L564" s="40">
        <f>ROUND(PMT(H564/12,I564,-G564),0)</f>
        <v/>
      </c>
      <c r="M564" s="41">
        <f>MAX(0,(YEAR(AsOfDate)-YEAR(F564))*12+MONTH(AsOfDate)-MONTH(F564))</f>
        <v/>
      </c>
      <c r="N564" s="41">
        <f>MAX(0,MIN(I564,M564)-INT(K564/30))</f>
        <v/>
      </c>
      <c r="O564" s="40">
        <f>IF(N564&gt;=I564,0,ROUND(PV(H564/12,I564-N564,-L564),0))</f>
        <v/>
      </c>
      <c r="P564" s="40">
        <f>MIN(I564,M564)*L564-N564*L564</f>
        <v/>
      </c>
      <c r="Q564" s="41">
        <f>INDEX(DPD_Bucket,MATCH(K564,DPD_From,1))</f>
        <v/>
      </c>
      <c r="R564" s="41">
        <f>INDEX(DPD_Class,MATCH(K564,DPD_From,1))</f>
        <v/>
      </c>
      <c r="S564" s="41">
        <f>INDEX(DPD_NPA,MATCH(K564,DPD_From,1))</f>
        <v/>
      </c>
      <c r="T564" s="42">
        <f>INDEX(DPD_Prov,MATCH(K564,DPD_From,1))</f>
        <v/>
      </c>
      <c r="U564" s="40">
        <f>ROUND(O564*T564,0)</f>
        <v/>
      </c>
      <c r="V564" s="41">
        <f>INDEX(CIBIL_Grade,MATCH(J564,CIBIL_From,1))</f>
        <v/>
      </c>
      <c r="W564" s="41">
        <f>YEAR(F564)&amp;"-Q"&amp;ROUNDUP(MONTH(F564)/3,0)</f>
        <v/>
      </c>
      <c r="X564" s="41">
        <f>IF(AND(OR(Dashboard!$C$4="All",D564=Dashboard!$C$4),OR(Dashboard!$C$5="All",E564=Dashboard!$C$5)),1,0)</f>
        <v/>
      </c>
      <c r="Y564" s="43">
        <f>IF(AND(X564=1,S564="Yes"),O564+ROW()/1000000,0)</f>
        <v/>
      </c>
    </row>
    <row r="565">
      <c r="A565" s="35" t="inlineStr">
        <is>
          <t>LN100564</t>
        </is>
      </c>
      <c r="B565" s="35" t="inlineStr">
        <is>
          <t>Karthik Banerjee</t>
        </is>
      </c>
      <c r="C565" s="35" t="inlineStr">
        <is>
          <t>KOL-01</t>
        </is>
      </c>
      <c r="D565" s="36">
        <f>INDEX(Branches!$C$2:$C$15,MATCH(C565,Branches!$A$2:$A$15,0))</f>
        <v/>
      </c>
      <c r="E565" s="35" t="inlineStr">
        <is>
          <t>Auto Loan</t>
        </is>
      </c>
      <c r="F565" s="37" t="n">
        <v>45692</v>
      </c>
      <c r="G565" s="38" t="n">
        <v>909000</v>
      </c>
      <c r="H565" s="39" t="n">
        <v>0.1009</v>
      </c>
      <c r="I565" s="35" t="n">
        <v>36</v>
      </c>
      <c r="J565" s="35" t="n">
        <v>780</v>
      </c>
      <c r="K565" s="35" t="n">
        <v>0</v>
      </c>
      <c r="L565" s="40">
        <f>ROUND(PMT(H565/12,I565,-G565),0)</f>
        <v/>
      </c>
      <c r="M565" s="41">
        <f>MAX(0,(YEAR(AsOfDate)-YEAR(F565))*12+MONTH(AsOfDate)-MONTH(F565))</f>
        <v/>
      </c>
      <c r="N565" s="41">
        <f>MAX(0,MIN(I565,M565)-INT(K565/30))</f>
        <v/>
      </c>
      <c r="O565" s="40">
        <f>IF(N565&gt;=I565,0,ROUND(PV(H565/12,I565-N565,-L565),0))</f>
        <v/>
      </c>
      <c r="P565" s="40">
        <f>MIN(I565,M565)*L565-N565*L565</f>
        <v/>
      </c>
      <c r="Q565" s="41">
        <f>INDEX(DPD_Bucket,MATCH(K565,DPD_From,1))</f>
        <v/>
      </c>
      <c r="R565" s="41">
        <f>INDEX(DPD_Class,MATCH(K565,DPD_From,1))</f>
        <v/>
      </c>
      <c r="S565" s="41">
        <f>INDEX(DPD_NPA,MATCH(K565,DPD_From,1))</f>
        <v/>
      </c>
      <c r="T565" s="42">
        <f>INDEX(DPD_Prov,MATCH(K565,DPD_From,1))</f>
        <v/>
      </c>
      <c r="U565" s="40">
        <f>ROUND(O565*T565,0)</f>
        <v/>
      </c>
      <c r="V565" s="41">
        <f>INDEX(CIBIL_Grade,MATCH(J565,CIBIL_From,1))</f>
        <v/>
      </c>
      <c r="W565" s="41">
        <f>YEAR(F565)&amp;"-Q"&amp;ROUNDUP(MONTH(F565)/3,0)</f>
        <v/>
      </c>
      <c r="X565" s="41">
        <f>IF(AND(OR(Dashboard!$C$4="All",D565=Dashboard!$C$4),OR(Dashboard!$C$5="All",E565=Dashboard!$C$5)),1,0)</f>
        <v/>
      </c>
      <c r="Y565" s="43">
        <f>IF(AND(X565=1,S565="Yes"),O565+ROW()/1000000,0)</f>
        <v/>
      </c>
    </row>
    <row r="566">
      <c r="A566" s="35" t="inlineStr">
        <is>
          <t>LN100565</t>
        </is>
      </c>
      <c r="B566" s="35" t="inlineStr">
        <is>
          <t>Harsh Menon</t>
        </is>
      </c>
      <c r="C566" s="35" t="inlineStr">
        <is>
          <t>GUW-01</t>
        </is>
      </c>
      <c r="D566" s="36">
        <f>INDEX(Branches!$C$2:$C$15,MATCH(C566,Branches!$A$2:$A$15,0))</f>
        <v/>
      </c>
      <c r="E566" s="35" t="inlineStr">
        <is>
          <t>Auto Loan</t>
        </is>
      </c>
      <c r="F566" s="37" t="n">
        <v>45818</v>
      </c>
      <c r="G566" s="38" t="n">
        <v>1068000</v>
      </c>
      <c r="H566" s="39" t="n">
        <v>0.0979</v>
      </c>
      <c r="I566" s="35" t="n">
        <v>48</v>
      </c>
      <c r="J566" s="35" t="n">
        <v>699</v>
      </c>
      <c r="K566" s="35" t="n">
        <v>0</v>
      </c>
      <c r="L566" s="40">
        <f>ROUND(PMT(H566/12,I566,-G566),0)</f>
        <v/>
      </c>
      <c r="M566" s="41">
        <f>MAX(0,(YEAR(AsOfDate)-YEAR(F566))*12+MONTH(AsOfDate)-MONTH(F566))</f>
        <v/>
      </c>
      <c r="N566" s="41">
        <f>MAX(0,MIN(I566,M566)-INT(K566/30))</f>
        <v/>
      </c>
      <c r="O566" s="40">
        <f>IF(N566&gt;=I566,0,ROUND(PV(H566/12,I566-N566,-L566),0))</f>
        <v/>
      </c>
      <c r="P566" s="40">
        <f>MIN(I566,M566)*L566-N566*L566</f>
        <v/>
      </c>
      <c r="Q566" s="41">
        <f>INDEX(DPD_Bucket,MATCH(K566,DPD_From,1))</f>
        <v/>
      </c>
      <c r="R566" s="41">
        <f>INDEX(DPD_Class,MATCH(K566,DPD_From,1))</f>
        <v/>
      </c>
      <c r="S566" s="41">
        <f>INDEX(DPD_NPA,MATCH(K566,DPD_From,1))</f>
        <v/>
      </c>
      <c r="T566" s="42">
        <f>INDEX(DPD_Prov,MATCH(K566,DPD_From,1))</f>
        <v/>
      </c>
      <c r="U566" s="40">
        <f>ROUND(O566*T566,0)</f>
        <v/>
      </c>
      <c r="V566" s="41">
        <f>INDEX(CIBIL_Grade,MATCH(J566,CIBIL_From,1))</f>
        <v/>
      </c>
      <c r="W566" s="41">
        <f>YEAR(F566)&amp;"-Q"&amp;ROUNDUP(MONTH(F566)/3,0)</f>
        <v/>
      </c>
      <c r="X566" s="41">
        <f>IF(AND(OR(Dashboard!$C$4="All",D566=Dashboard!$C$4),OR(Dashboard!$C$5="All",E566=Dashboard!$C$5)),1,0)</f>
        <v/>
      </c>
      <c r="Y566" s="43">
        <f>IF(AND(X566=1,S566="Yes"),O566+ROW()/1000000,0)</f>
        <v/>
      </c>
    </row>
    <row r="567">
      <c r="A567" s="35" t="inlineStr">
        <is>
          <t>LN100566</t>
        </is>
      </c>
      <c r="B567" s="35" t="inlineStr">
        <is>
          <t>Lakshmi Khan</t>
        </is>
      </c>
      <c r="C567" s="35" t="inlineStr">
        <is>
          <t>GUW-01</t>
        </is>
      </c>
      <c r="D567" s="36">
        <f>INDEX(Branches!$C$2:$C$15,MATCH(C567,Branches!$A$2:$A$15,0))</f>
        <v/>
      </c>
      <c r="E567" s="35" t="inlineStr">
        <is>
          <t>Business Loan</t>
        </is>
      </c>
      <c r="F567" s="37" t="n">
        <v>45898</v>
      </c>
      <c r="G567" s="38" t="n">
        <v>2552000</v>
      </c>
      <c r="H567" s="39" t="n">
        <v>0.1852</v>
      </c>
      <c r="I567" s="35" t="n">
        <v>24</v>
      </c>
      <c r="J567" s="35" t="n">
        <v>740</v>
      </c>
      <c r="K567" s="35" t="n">
        <v>31</v>
      </c>
      <c r="L567" s="40">
        <f>ROUND(PMT(H567/12,I567,-G567),0)</f>
        <v/>
      </c>
      <c r="M567" s="41">
        <f>MAX(0,(YEAR(AsOfDate)-YEAR(F567))*12+MONTH(AsOfDate)-MONTH(F567))</f>
        <v/>
      </c>
      <c r="N567" s="41">
        <f>MAX(0,MIN(I567,M567)-INT(K567/30))</f>
        <v/>
      </c>
      <c r="O567" s="40">
        <f>IF(N567&gt;=I567,0,ROUND(PV(H567/12,I567-N567,-L567),0))</f>
        <v/>
      </c>
      <c r="P567" s="40">
        <f>MIN(I567,M567)*L567-N567*L567</f>
        <v/>
      </c>
      <c r="Q567" s="41">
        <f>INDEX(DPD_Bucket,MATCH(K567,DPD_From,1))</f>
        <v/>
      </c>
      <c r="R567" s="41">
        <f>INDEX(DPD_Class,MATCH(K567,DPD_From,1))</f>
        <v/>
      </c>
      <c r="S567" s="41">
        <f>INDEX(DPD_NPA,MATCH(K567,DPD_From,1))</f>
        <v/>
      </c>
      <c r="T567" s="42">
        <f>INDEX(DPD_Prov,MATCH(K567,DPD_From,1))</f>
        <v/>
      </c>
      <c r="U567" s="40">
        <f>ROUND(O567*T567,0)</f>
        <v/>
      </c>
      <c r="V567" s="41">
        <f>INDEX(CIBIL_Grade,MATCH(J567,CIBIL_From,1))</f>
        <v/>
      </c>
      <c r="W567" s="41">
        <f>YEAR(F567)&amp;"-Q"&amp;ROUNDUP(MONTH(F567)/3,0)</f>
        <v/>
      </c>
      <c r="X567" s="41">
        <f>IF(AND(OR(Dashboard!$C$4="All",D567=Dashboard!$C$4),OR(Dashboard!$C$5="All",E567=Dashboard!$C$5)),1,0)</f>
        <v/>
      </c>
      <c r="Y567" s="43">
        <f>IF(AND(X567=1,S567="Yes"),O567+ROW()/1000000,0)</f>
        <v/>
      </c>
    </row>
    <row r="568">
      <c r="A568" s="35" t="inlineStr">
        <is>
          <t>LN100567</t>
        </is>
      </c>
      <c r="B568" s="35" t="inlineStr">
        <is>
          <t>Kavya Menon</t>
        </is>
      </c>
      <c r="C568" s="35" t="inlineStr">
        <is>
          <t>KOC-01</t>
        </is>
      </c>
      <c r="D568" s="36">
        <f>INDEX(Branches!$C$2:$C$15,MATCH(C568,Branches!$A$2:$A$15,0))</f>
        <v/>
      </c>
      <c r="E568" s="35" t="inlineStr">
        <is>
          <t>Personal Loan</t>
        </is>
      </c>
      <c r="F568" s="37" t="n">
        <v>45805</v>
      </c>
      <c r="G568" s="38" t="n">
        <v>360000</v>
      </c>
      <c r="H568" s="39" t="n">
        <v>0.1503</v>
      </c>
      <c r="I568" s="35" t="n">
        <v>48</v>
      </c>
      <c r="J568" s="35" t="n">
        <v>679</v>
      </c>
      <c r="K568" s="35" t="n">
        <v>0</v>
      </c>
      <c r="L568" s="40">
        <f>ROUND(PMT(H568/12,I568,-G568),0)</f>
        <v/>
      </c>
      <c r="M568" s="41">
        <f>MAX(0,(YEAR(AsOfDate)-YEAR(F568))*12+MONTH(AsOfDate)-MONTH(F568))</f>
        <v/>
      </c>
      <c r="N568" s="41">
        <f>MAX(0,MIN(I568,M568)-INT(K568/30))</f>
        <v/>
      </c>
      <c r="O568" s="40">
        <f>IF(N568&gt;=I568,0,ROUND(PV(H568/12,I568-N568,-L568),0))</f>
        <v/>
      </c>
      <c r="P568" s="40">
        <f>MIN(I568,M568)*L568-N568*L568</f>
        <v/>
      </c>
      <c r="Q568" s="41">
        <f>INDEX(DPD_Bucket,MATCH(K568,DPD_From,1))</f>
        <v/>
      </c>
      <c r="R568" s="41">
        <f>INDEX(DPD_Class,MATCH(K568,DPD_From,1))</f>
        <v/>
      </c>
      <c r="S568" s="41">
        <f>INDEX(DPD_NPA,MATCH(K568,DPD_From,1))</f>
        <v/>
      </c>
      <c r="T568" s="42">
        <f>INDEX(DPD_Prov,MATCH(K568,DPD_From,1))</f>
        <v/>
      </c>
      <c r="U568" s="40">
        <f>ROUND(O568*T568,0)</f>
        <v/>
      </c>
      <c r="V568" s="41">
        <f>INDEX(CIBIL_Grade,MATCH(J568,CIBIL_From,1))</f>
        <v/>
      </c>
      <c r="W568" s="41">
        <f>YEAR(F568)&amp;"-Q"&amp;ROUNDUP(MONTH(F568)/3,0)</f>
        <v/>
      </c>
      <c r="X568" s="41">
        <f>IF(AND(OR(Dashboard!$C$4="All",D568=Dashboard!$C$4),OR(Dashboard!$C$5="All",E568=Dashboard!$C$5)),1,0)</f>
        <v/>
      </c>
      <c r="Y568" s="43">
        <f>IF(AND(X568=1,S568="Yes"),O568+ROW()/1000000,0)</f>
        <v/>
      </c>
    </row>
    <row r="569">
      <c r="A569" s="35" t="inlineStr">
        <is>
          <t>LN100568</t>
        </is>
      </c>
      <c r="B569" s="35" t="inlineStr">
        <is>
          <t>Harsh Kulkarni</t>
        </is>
      </c>
      <c r="C569" s="35" t="inlineStr">
        <is>
          <t>JAI-01</t>
        </is>
      </c>
      <c r="D569" s="36">
        <f>INDEX(Branches!$C$2:$C$15,MATCH(C569,Branches!$A$2:$A$15,0))</f>
        <v/>
      </c>
      <c r="E569" s="35" t="inlineStr">
        <is>
          <t>Personal Loan</t>
        </is>
      </c>
      <c r="F569" s="37" t="n">
        <v>45146</v>
      </c>
      <c r="G569" s="38" t="n">
        <v>614000</v>
      </c>
      <c r="H569" s="39" t="n">
        <v>0.1784</v>
      </c>
      <c r="I569" s="35" t="n">
        <v>24</v>
      </c>
      <c r="J569" s="35" t="n">
        <v>751</v>
      </c>
      <c r="K569" s="35" t="n">
        <v>0</v>
      </c>
      <c r="L569" s="40">
        <f>ROUND(PMT(H569/12,I569,-G569),0)</f>
        <v/>
      </c>
      <c r="M569" s="41">
        <f>MAX(0,(YEAR(AsOfDate)-YEAR(F569))*12+MONTH(AsOfDate)-MONTH(F569))</f>
        <v/>
      </c>
      <c r="N569" s="41">
        <f>MAX(0,MIN(I569,M569)-INT(K569/30))</f>
        <v/>
      </c>
      <c r="O569" s="40">
        <f>IF(N569&gt;=I569,0,ROUND(PV(H569/12,I569-N569,-L569),0))</f>
        <v/>
      </c>
      <c r="P569" s="40">
        <f>MIN(I569,M569)*L569-N569*L569</f>
        <v/>
      </c>
      <c r="Q569" s="41">
        <f>INDEX(DPD_Bucket,MATCH(K569,DPD_From,1))</f>
        <v/>
      </c>
      <c r="R569" s="41">
        <f>INDEX(DPD_Class,MATCH(K569,DPD_From,1))</f>
        <v/>
      </c>
      <c r="S569" s="41">
        <f>INDEX(DPD_NPA,MATCH(K569,DPD_From,1))</f>
        <v/>
      </c>
      <c r="T569" s="42">
        <f>INDEX(DPD_Prov,MATCH(K569,DPD_From,1))</f>
        <v/>
      </c>
      <c r="U569" s="40">
        <f>ROUND(O569*T569,0)</f>
        <v/>
      </c>
      <c r="V569" s="41">
        <f>INDEX(CIBIL_Grade,MATCH(J569,CIBIL_From,1))</f>
        <v/>
      </c>
      <c r="W569" s="41">
        <f>YEAR(F569)&amp;"-Q"&amp;ROUNDUP(MONTH(F569)/3,0)</f>
        <v/>
      </c>
      <c r="X569" s="41">
        <f>IF(AND(OR(Dashboard!$C$4="All",D569=Dashboard!$C$4),OR(Dashboard!$C$5="All",E569=Dashboard!$C$5)),1,0)</f>
        <v/>
      </c>
      <c r="Y569" s="43">
        <f>IF(AND(X569=1,S569="Yes"),O569+ROW()/1000000,0)</f>
        <v/>
      </c>
    </row>
    <row r="570">
      <c r="A570" s="35" t="inlineStr">
        <is>
          <t>LN100569</t>
        </is>
      </c>
      <c r="B570" s="35" t="inlineStr">
        <is>
          <t>Swati Sahoo</t>
        </is>
      </c>
      <c r="C570" s="35" t="inlineStr">
        <is>
          <t>CHN-01</t>
        </is>
      </c>
      <c r="D570" s="36">
        <f>INDEX(Branches!$C$2:$C$15,MATCH(C570,Branches!$A$2:$A$15,0))</f>
        <v/>
      </c>
      <c r="E570" s="35" t="inlineStr">
        <is>
          <t>Personal Loan</t>
        </is>
      </c>
      <c r="F570" s="37" t="n">
        <v>45942</v>
      </c>
      <c r="G570" s="38" t="n">
        <v>443000</v>
      </c>
      <c r="H570" s="39" t="n">
        <v>0.1523</v>
      </c>
      <c r="I570" s="35" t="n">
        <v>36</v>
      </c>
      <c r="J570" s="35" t="n">
        <v>611</v>
      </c>
      <c r="K570" s="35" t="n">
        <v>225</v>
      </c>
      <c r="L570" s="40">
        <f>ROUND(PMT(H570/12,I570,-G570),0)</f>
        <v/>
      </c>
      <c r="M570" s="41">
        <f>MAX(0,(YEAR(AsOfDate)-YEAR(F570))*12+MONTH(AsOfDate)-MONTH(F570))</f>
        <v/>
      </c>
      <c r="N570" s="41">
        <f>MAX(0,MIN(I570,M570)-INT(K570/30))</f>
        <v/>
      </c>
      <c r="O570" s="40">
        <f>IF(N570&gt;=I570,0,ROUND(PV(H570/12,I570-N570,-L570),0))</f>
        <v/>
      </c>
      <c r="P570" s="40">
        <f>MIN(I570,M570)*L570-N570*L570</f>
        <v/>
      </c>
      <c r="Q570" s="41">
        <f>INDEX(DPD_Bucket,MATCH(K570,DPD_From,1))</f>
        <v/>
      </c>
      <c r="R570" s="41">
        <f>INDEX(DPD_Class,MATCH(K570,DPD_From,1))</f>
        <v/>
      </c>
      <c r="S570" s="41">
        <f>INDEX(DPD_NPA,MATCH(K570,DPD_From,1))</f>
        <v/>
      </c>
      <c r="T570" s="42">
        <f>INDEX(DPD_Prov,MATCH(K570,DPD_From,1))</f>
        <v/>
      </c>
      <c r="U570" s="40">
        <f>ROUND(O570*T570,0)</f>
        <v/>
      </c>
      <c r="V570" s="41">
        <f>INDEX(CIBIL_Grade,MATCH(J570,CIBIL_From,1))</f>
        <v/>
      </c>
      <c r="W570" s="41">
        <f>YEAR(F570)&amp;"-Q"&amp;ROUNDUP(MONTH(F570)/3,0)</f>
        <v/>
      </c>
      <c r="X570" s="41">
        <f>IF(AND(OR(Dashboard!$C$4="All",D570=Dashboard!$C$4),OR(Dashboard!$C$5="All",E570=Dashboard!$C$5)),1,0)</f>
        <v/>
      </c>
      <c r="Y570" s="43">
        <f>IF(AND(X570=1,S570="Yes"),O570+ROW()/1000000,0)</f>
        <v/>
      </c>
    </row>
    <row r="571">
      <c r="A571" s="35" t="inlineStr">
        <is>
          <t>LN100570</t>
        </is>
      </c>
      <c r="B571" s="35" t="inlineStr">
        <is>
          <t>Swati Rao</t>
        </is>
      </c>
      <c r="C571" s="35" t="inlineStr">
        <is>
          <t>LKO-01</t>
        </is>
      </c>
      <c r="D571" s="36">
        <f>INDEX(Branches!$C$2:$C$15,MATCH(C571,Branches!$A$2:$A$15,0))</f>
        <v/>
      </c>
      <c r="E571" s="35" t="inlineStr">
        <is>
          <t>Personal Loan</t>
        </is>
      </c>
      <c r="F571" s="37" t="n">
        <v>45534</v>
      </c>
      <c r="G571" s="38" t="n">
        <v>1190000</v>
      </c>
      <c r="H571" s="39" t="n">
        <v>0.1402</v>
      </c>
      <c r="I571" s="35" t="n">
        <v>12</v>
      </c>
      <c r="J571" s="35" t="n">
        <v>667</v>
      </c>
      <c r="K571" s="35" t="n">
        <v>0</v>
      </c>
      <c r="L571" s="40">
        <f>ROUND(PMT(H571/12,I571,-G571),0)</f>
        <v/>
      </c>
      <c r="M571" s="41">
        <f>MAX(0,(YEAR(AsOfDate)-YEAR(F571))*12+MONTH(AsOfDate)-MONTH(F571))</f>
        <v/>
      </c>
      <c r="N571" s="41">
        <f>MAX(0,MIN(I571,M571)-INT(K571/30))</f>
        <v/>
      </c>
      <c r="O571" s="40">
        <f>IF(N571&gt;=I571,0,ROUND(PV(H571/12,I571-N571,-L571),0))</f>
        <v/>
      </c>
      <c r="P571" s="40">
        <f>MIN(I571,M571)*L571-N571*L571</f>
        <v/>
      </c>
      <c r="Q571" s="41">
        <f>INDEX(DPD_Bucket,MATCH(K571,DPD_From,1))</f>
        <v/>
      </c>
      <c r="R571" s="41">
        <f>INDEX(DPD_Class,MATCH(K571,DPD_From,1))</f>
        <v/>
      </c>
      <c r="S571" s="41">
        <f>INDEX(DPD_NPA,MATCH(K571,DPD_From,1))</f>
        <v/>
      </c>
      <c r="T571" s="42">
        <f>INDEX(DPD_Prov,MATCH(K571,DPD_From,1))</f>
        <v/>
      </c>
      <c r="U571" s="40">
        <f>ROUND(O571*T571,0)</f>
        <v/>
      </c>
      <c r="V571" s="41">
        <f>INDEX(CIBIL_Grade,MATCH(J571,CIBIL_From,1))</f>
        <v/>
      </c>
      <c r="W571" s="41">
        <f>YEAR(F571)&amp;"-Q"&amp;ROUNDUP(MONTH(F571)/3,0)</f>
        <v/>
      </c>
      <c r="X571" s="41">
        <f>IF(AND(OR(Dashboard!$C$4="All",D571=Dashboard!$C$4),OR(Dashboard!$C$5="All",E571=Dashboard!$C$5)),1,0)</f>
        <v/>
      </c>
      <c r="Y571" s="43">
        <f>IF(AND(X571=1,S571="Yes"),O571+ROW()/1000000,0)</f>
        <v/>
      </c>
    </row>
    <row r="572">
      <c r="A572" s="35" t="inlineStr">
        <is>
          <t>LN100571</t>
        </is>
      </c>
      <c r="B572" s="35" t="inlineStr">
        <is>
          <t>Diya Patel</t>
        </is>
      </c>
      <c r="C572" s="35" t="inlineStr">
        <is>
          <t>BLR-01</t>
        </is>
      </c>
      <c r="D572" s="36">
        <f>INDEX(Branches!$C$2:$C$15,MATCH(C572,Branches!$A$2:$A$15,0))</f>
        <v/>
      </c>
      <c r="E572" s="35" t="inlineStr">
        <is>
          <t>Personal Loan</t>
        </is>
      </c>
      <c r="F572" s="37" t="n">
        <v>45495</v>
      </c>
      <c r="G572" s="38" t="n">
        <v>1073000</v>
      </c>
      <c r="H572" s="39" t="n">
        <v>0.1498</v>
      </c>
      <c r="I572" s="35" t="n">
        <v>48</v>
      </c>
      <c r="J572" s="35" t="n">
        <v>612</v>
      </c>
      <c r="K572" s="35" t="n">
        <v>0</v>
      </c>
      <c r="L572" s="40">
        <f>ROUND(PMT(H572/12,I572,-G572),0)</f>
        <v/>
      </c>
      <c r="M572" s="41">
        <f>MAX(0,(YEAR(AsOfDate)-YEAR(F572))*12+MONTH(AsOfDate)-MONTH(F572))</f>
        <v/>
      </c>
      <c r="N572" s="41">
        <f>MAX(0,MIN(I572,M572)-INT(K572/30))</f>
        <v/>
      </c>
      <c r="O572" s="40">
        <f>IF(N572&gt;=I572,0,ROUND(PV(H572/12,I572-N572,-L572),0))</f>
        <v/>
      </c>
      <c r="P572" s="40">
        <f>MIN(I572,M572)*L572-N572*L572</f>
        <v/>
      </c>
      <c r="Q572" s="41">
        <f>INDEX(DPD_Bucket,MATCH(K572,DPD_From,1))</f>
        <v/>
      </c>
      <c r="R572" s="41">
        <f>INDEX(DPD_Class,MATCH(K572,DPD_From,1))</f>
        <v/>
      </c>
      <c r="S572" s="41">
        <f>INDEX(DPD_NPA,MATCH(K572,DPD_From,1))</f>
        <v/>
      </c>
      <c r="T572" s="42">
        <f>INDEX(DPD_Prov,MATCH(K572,DPD_From,1))</f>
        <v/>
      </c>
      <c r="U572" s="40">
        <f>ROUND(O572*T572,0)</f>
        <v/>
      </c>
      <c r="V572" s="41">
        <f>INDEX(CIBIL_Grade,MATCH(J572,CIBIL_From,1))</f>
        <v/>
      </c>
      <c r="W572" s="41">
        <f>YEAR(F572)&amp;"-Q"&amp;ROUNDUP(MONTH(F572)/3,0)</f>
        <v/>
      </c>
      <c r="X572" s="41">
        <f>IF(AND(OR(Dashboard!$C$4="All",D572=Dashboard!$C$4),OR(Dashboard!$C$5="All",E572=Dashboard!$C$5)),1,0)</f>
        <v/>
      </c>
      <c r="Y572" s="43">
        <f>IF(AND(X572=1,S572="Yes"),O572+ROW()/1000000,0)</f>
        <v/>
      </c>
    </row>
    <row r="573">
      <c r="A573" s="35" t="inlineStr">
        <is>
          <t>LN100572</t>
        </is>
      </c>
      <c r="B573" s="35" t="inlineStr">
        <is>
          <t>Karthik Patel</t>
        </is>
      </c>
      <c r="C573" s="35" t="inlineStr">
        <is>
          <t>JAI-01</t>
        </is>
      </c>
      <c r="D573" s="36">
        <f>INDEX(Branches!$C$2:$C$15,MATCH(C573,Branches!$A$2:$A$15,0))</f>
        <v/>
      </c>
      <c r="E573" s="35" t="inlineStr">
        <is>
          <t>Auto Loan</t>
        </is>
      </c>
      <c r="F573" s="37" t="n">
        <v>46048</v>
      </c>
      <c r="G573" s="38" t="n">
        <v>483000</v>
      </c>
      <c r="H573" s="39" t="n">
        <v>0.1197</v>
      </c>
      <c r="I573" s="35" t="n">
        <v>60</v>
      </c>
      <c r="J573" s="35" t="n">
        <v>801</v>
      </c>
      <c r="K573" s="35" t="n">
        <v>0</v>
      </c>
      <c r="L573" s="40">
        <f>ROUND(PMT(H573/12,I573,-G573),0)</f>
        <v/>
      </c>
      <c r="M573" s="41">
        <f>MAX(0,(YEAR(AsOfDate)-YEAR(F573))*12+MONTH(AsOfDate)-MONTH(F573))</f>
        <v/>
      </c>
      <c r="N573" s="41">
        <f>MAX(0,MIN(I573,M573)-INT(K573/30))</f>
        <v/>
      </c>
      <c r="O573" s="40">
        <f>IF(N573&gt;=I573,0,ROUND(PV(H573/12,I573-N573,-L573),0))</f>
        <v/>
      </c>
      <c r="P573" s="40">
        <f>MIN(I573,M573)*L573-N573*L573</f>
        <v/>
      </c>
      <c r="Q573" s="41">
        <f>INDEX(DPD_Bucket,MATCH(K573,DPD_From,1))</f>
        <v/>
      </c>
      <c r="R573" s="41">
        <f>INDEX(DPD_Class,MATCH(K573,DPD_From,1))</f>
        <v/>
      </c>
      <c r="S573" s="41">
        <f>INDEX(DPD_NPA,MATCH(K573,DPD_From,1))</f>
        <v/>
      </c>
      <c r="T573" s="42">
        <f>INDEX(DPD_Prov,MATCH(K573,DPD_From,1))</f>
        <v/>
      </c>
      <c r="U573" s="40">
        <f>ROUND(O573*T573,0)</f>
        <v/>
      </c>
      <c r="V573" s="41">
        <f>INDEX(CIBIL_Grade,MATCH(J573,CIBIL_From,1))</f>
        <v/>
      </c>
      <c r="W573" s="41">
        <f>YEAR(F573)&amp;"-Q"&amp;ROUNDUP(MONTH(F573)/3,0)</f>
        <v/>
      </c>
      <c r="X573" s="41">
        <f>IF(AND(OR(Dashboard!$C$4="All",D573=Dashboard!$C$4),OR(Dashboard!$C$5="All",E573=Dashboard!$C$5)),1,0)</f>
        <v/>
      </c>
      <c r="Y573" s="43">
        <f>IF(AND(X573=1,S573="Yes"),O573+ROW()/1000000,0)</f>
        <v/>
      </c>
    </row>
    <row r="574">
      <c r="A574" s="35" t="inlineStr">
        <is>
          <t>LN100573</t>
        </is>
      </c>
      <c r="B574" s="35" t="inlineStr">
        <is>
          <t>Zoya Nair</t>
        </is>
      </c>
      <c r="C574" s="35" t="inlineStr">
        <is>
          <t>JAI-01</t>
        </is>
      </c>
      <c r="D574" s="36">
        <f>INDEX(Branches!$C$2:$C$15,MATCH(C574,Branches!$A$2:$A$15,0))</f>
        <v/>
      </c>
      <c r="E574" s="35" t="inlineStr">
        <is>
          <t>Business Loan</t>
        </is>
      </c>
      <c r="F574" s="37" t="n">
        <v>45586</v>
      </c>
      <c r="G574" s="38" t="n">
        <v>1286000</v>
      </c>
      <c r="H574" s="39" t="n">
        <v>0.1714</v>
      </c>
      <c r="I574" s="35" t="n">
        <v>12</v>
      </c>
      <c r="J574" s="35" t="n">
        <v>706</v>
      </c>
      <c r="K574" s="35" t="n">
        <v>0</v>
      </c>
      <c r="L574" s="40">
        <f>ROUND(PMT(H574/12,I574,-G574),0)</f>
        <v/>
      </c>
      <c r="M574" s="41">
        <f>MAX(0,(YEAR(AsOfDate)-YEAR(F574))*12+MONTH(AsOfDate)-MONTH(F574))</f>
        <v/>
      </c>
      <c r="N574" s="41">
        <f>MAX(0,MIN(I574,M574)-INT(K574/30))</f>
        <v/>
      </c>
      <c r="O574" s="40">
        <f>IF(N574&gt;=I574,0,ROUND(PV(H574/12,I574-N574,-L574),0))</f>
        <v/>
      </c>
      <c r="P574" s="40">
        <f>MIN(I574,M574)*L574-N574*L574</f>
        <v/>
      </c>
      <c r="Q574" s="41">
        <f>INDEX(DPD_Bucket,MATCH(K574,DPD_From,1))</f>
        <v/>
      </c>
      <c r="R574" s="41">
        <f>INDEX(DPD_Class,MATCH(K574,DPD_From,1))</f>
        <v/>
      </c>
      <c r="S574" s="41">
        <f>INDEX(DPD_NPA,MATCH(K574,DPD_From,1))</f>
        <v/>
      </c>
      <c r="T574" s="42">
        <f>INDEX(DPD_Prov,MATCH(K574,DPD_From,1))</f>
        <v/>
      </c>
      <c r="U574" s="40">
        <f>ROUND(O574*T574,0)</f>
        <v/>
      </c>
      <c r="V574" s="41">
        <f>INDEX(CIBIL_Grade,MATCH(J574,CIBIL_From,1))</f>
        <v/>
      </c>
      <c r="W574" s="41">
        <f>YEAR(F574)&amp;"-Q"&amp;ROUNDUP(MONTH(F574)/3,0)</f>
        <v/>
      </c>
      <c r="X574" s="41">
        <f>IF(AND(OR(Dashboard!$C$4="All",D574=Dashboard!$C$4),OR(Dashboard!$C$5="All",E574=Dashboard!$C$5)),1,0)</f>
        <v/>
      </c>
      <c r="Y574" s="43">
        <f>IF(AND(X574=1,S574="Yes"),O574+ROW()/1000000,0)</f>
        <v/>
      </c>
    </row>
    <row r="575">
      <c r="A575" s="35" t="inlineStr">
        <is>
          <t>LN100574</t>
        </is>
      </c>
      <c r="B575" s="35" t="inlineStr">
        <is>
          <t>Ananya Mohanty</t>
        </is>
      </c>
      <c r="C575" s="35" t="inlineStr">
        <is>
          <t>DEL-01</t>
        </is>
      </c>
      <c r="D575" s="36">
        <f>INDEX(Branches!$C$2:$C$15,MATCH(C575,Branches!$A$2:$A$15,0))</f>
        <v/>
      </c>
      <c r="E575" s="35" t="inlineStr">
        <is>
          <t>Home Loan</t>
        </is>
      </c>
      <c r="F575" s="37" t="n">
        <v>45416</v>
      </c>
      <c r="G575" s="38" t="n">
        <v>4351000</v>
      </c>
      <c r="H575" s="39" t="n">
        <v>0.0914</v>
      </c>
      <c r="I575" s="35" t="n">
        <v>180</v>
      </c>
      <c r="J575" s="35" t="n">
        <v>737</v>
      </c>
      <c r="K575" s="35" t="n">
        <v>0</v>
      </c>
      <c r="L575" s="40">
        <f>ROUND(PMT(H575/12,I575,-G575),0)</f>
        <v/>
      </c>
      <c r="M575" s="41">
        <f>MAX(0,(YEAR(AsOfDate)-YEAR(F575))*12+MONTH(AsOfDate)-MONTH(F575))</f>
        <v/>
      </c>
      <c r="N575" s="41">
        <f>MAX(0,MIN(I575,M575)-INT(K575/30))</f>
        <v/>
      </c>
      <c r="O575" s="40">
        <f>IF(N575&gt;=I575,0,ROUND(PV(H575/12,I575-N575,-L575),0))</f>
        <v/>
      </c>
      <c r="P575" s="40">
        <f>MIN(I575,M575)*L575-N575*L575</f>
        <v/>
      </c>
      <c r="Q575" s="41">
        <f>INDEX(DPD_Bucket,MATCH(K575,DPD_From,1))</f>
        <v/>
      </c>
      <c r="R575" s="41">
        <f>INDEX(DPD_Class,MATCH(K575,DPD_From,1))</f>
        <v/>
      </c>
      <c r="S575" s="41">
        <f>INDEX(DPD_NPA,MATCH(K575,DPD_From,1))</f>
        <v/>
      </c>
      <c r="T575" s="42">
        <f>INDEX(DPD_Prov,MATCH(K575,DPD_From,1))</f>
        <v/>
      </c>
      <c r="U575" s="40">
        <f>ROUND(O575*T575,0)</f>
        <v/>
      </c>
      <c r="V575" s="41">
        <f>INDEX(CIBIL_Grade,MATCH(J575,CIBIL_From,1))</f>
        <v/>
      </c>
      <c r="W575" s="41">
        <f>YEAR(F575)&amp;"-Q"&amp;ROUNDUP(MONTH(F575)/3,0)</f>
        <v/>
      </c>
      <c r="X575" s="41">
        <f>IF(AND(OR(Dashboard!$C$4="All",D575=Dashboard!$C$4),OR(Dashboard!$C$5="All",E575=Dashboard!$C$5)),1,0)</f>
        <v/>
      </c>
      <c r="Y575" s="43">
        <f>IF(AND(X575=1,S575="Yes"),O575+ROW()/1000000,0)</f>
        <v/>
      </c>
    </row>
    <row r="576">
      <c r="A576" s="35" t="inlineStr">
        <is>
          <t>LN100575</t>
        </is>
      </c>
      <c r="B576" s="35" t="inlineStr">
        <is>
          <t>Manish Khan</t>
        </is>
      </c>
      <c r="C576" s="35" t="inlineStr">
        <is>
          <t>PAT-01</t>
        </is>
      </c>
      <c r="D576" s="36">
        <f>INDEX(Branches!$C$2:$C$15,MATCH(C576,Branches!$A$2:$A$15,0))</f>
        <v/>
      </c>
      <c r="E576" s="35" t="inlineStr">
        <is>
          <t>Home Loan</t>
        </is>
      </c>
      <c r="F576" s="37" t="n">
        <v>45876</v>
      </c>
      <c r="G576" s="38" t="n">
        <v>6981000</v>
      </c>
      <c r="H576" s="39" t="n">
        <v>0.09320000000000001</v>
      </c>
      <c r="I576" s="35" t="n">
        <v>120</v>
      </c>
      <c r="J576" s="35" t="n">
        <v>650</v>
      </c>
      <c r="K576" s="35" t="n">
        <v>0</v>
      </c>
      <c r="L576" s="40">
        <f>ROUND(PMT(H576/12,I576,-G576),0)</f>
        <v/>
      </c>
      <c r="M576" s="41">
        <f>MAX(0,(YEAR(AsOfDate)-YEAR(F576))*12+MONTH(AsOfDate)-MONTH(F576))</f>
        <v/>
      </c>
      <c r="N576" s="41">
        <f>MAX(0,MIN(I576,M576)-INT(K576/30))</f>
        <v/>
      </c>
      <c r="O576" s="40">
        <f>IF(N576&gt;=I576,0,ROUND(PV(H576/12,I576-N576,-L576),0))</f>
        <v/>
      </c>
      <c r="P576" s="40">
        <f>MIN(I576,M576)*L576-N576*L576</f>
        <v/>
      </c>
      <c r="Q576" s="41">
        <f>INDEX(DPD_Bucket,MATCH(K576,DPD_From,1))</f>
        <v/>
      </c>
      <c r="R576" s="41">
        <f>INDEX(DPD_Class,MATCH(K576,DPD_From,1))</f>
        <v/>
      </c>
      <c r="S576" s="41">
        <f>INDEX(DPD_NPA,MATCH(K576,DPD_From,1))</f>
        <v/>
      </c>
      <c r="T576" s="42">
        <f>INDEX(DPD_Prov,MATCH(K576,DPD_From,1))</f>
        <v/>
      </c>
      <c r="U576" s="40">
        <f>ROUND(O576*T576,0)</f>
        <v/>
      </c>
      <c r="V576" s="41">
        <f>INDEX(CIBIL_Grade,MATCH(J576,CIBIL_From,1))</f>
        <v/>
      </c>
      <c r="W576" s="41">
        <f>YEAR(F576)&amp;"-Q"&amp;ROUNDUP(MONTH(F576)/3,0)</f>
        <v/>
      </c>
      <c r="X576" s="41">
        <f>IF(AND(OR(Dashboard!$C$4="All",D576=Dashboard!$C$4),OR(Dashboard!$C$5="All",E576=Dashboard!$C$5)),1,0)</f>
        <v/>
      </c>
      <c r="Y576" s="43">
        <f>IF(AND(X576=1,S576="Yes"),O576+ROW()/1000000,0)</f>
        <v/>
      </c>
    </row>
    <row r="577">
      <c r="A577" s="35" t="inlineStr">
        <is>
          <t>LN100576</t>
        </is>
      </c>
      <c r="B577" s="35" t="inlineStr">
        <is>
          <t>Tanvi Menon</t>
        </is>
      </c>
      <c r="C577" s="35" t="inlineStr">
        <is>
          <t>BLR-01</t>
        </is>
      </c>
      <c r="D577" s="36">
        <f>INDEX(Branches!$C$2:$C$15,MATCH(C577,Branches!$A$2:$A$15,0))</f>
        <v/>
      </c>
      <c r="E577" s="35" t="inlineStr">
        <is>
          <t>Business Loan</t>
        </is>
      </c>
      <c r="F577" s="37" t="n">
        <v>45742</v>
      </c>
      <c r="G577" s="38" t="n">
        <v>3390000</v>
      </c>
      <c r="H577" s="39" t="n">
        <v>0.1829</v>
      </c>
      <c r="I577" s="35" t="n">
        <v>24</v>
      </c>
      <c r="J577" s="35" t="n">
        <v>677</v>
      </c>
      <c r="K577" s="35" t="n">
        <v>0</v>
      </c>
      <c r="L577" s="40">
        <f>ROUND(PMT(H577/12,I577,-G577),0)</f>
        <v/>
      </c>
      <c r="M577" s="41">
        <f>MAX(0,(YEAR(AsOfDate)-YEAR(F577))*12+MONTH(AsOfDate)-MONTH(F577))</f>
        <v/>
      </c>
      <c r="N577" s="41">
        <f>MAX(0,MIN(I577,M577)-INT(K577/30))</f>
        <v/>
      </c>
      <c r="O577" s="40">
        <f>IF(N577&gt;=I577,0,ROUND(PV(H577/12,I577-N577,-L577),0))</f>
        <v/>
      </c>
      <c r="P577" s="40">
        <f>MIN(I577,M577)*L577-N577*L577</f>
        <v/>
      </c>
      <c r="Q577" s="41">
        <f>INDEX(DPD_Bucket,MATCH(K577,DPD_From,1))</f>
        <v/>
      </c>
      <c r="R577" s="41">
        <f>INDEX(DPD_Class,MATCH(K577,DPD_From,1))</f>
        <v/>
      </c>
      <c r="S577" s="41">
        <f>INDEX(DPD_NPA,MATCH(K577,DPD_From,1))</f>
        <v/>
      </c>
      <c r="T577" s="42">
        <f>INDEX(DPD_Prov,MATCH(K577,DPD_From,1))</f>
        <v/>
      </c>
      <c r="U577" s="40">
        <f>ROUND(O577*T577,0)</f>
        <v/>
      </c>
      <c r="V577" s="41">
        <f>INDEX(CIBIL_Grade,MATCH(J577,CIBIL_From,1))</f>
        <v/>
      </c>
      <c r="W577" s="41">
        <f>YEAR(F577)&amp;"-Q"&amp;ROUNDUP(MONTH(F577)/3,0)</f>
        <v/>
      </c>
      <c r="X577" s="41">
        <f>IF(AND(OR(Dashboard!$C$4="All",D577=Dashboard!$C$4),OR(Dashboard!$C$5="All",E577=Dashboard!$C$5)),1,0)</f>
        <v/>
      </c>
      <c r="Y577" s="43">
        <f>IF(AND(X577=1,S577="Yes"),O577+ROW()/1000000,0)</f>
        <v/>
      </c>
    </row>
    <row r="578">
      <c r="A578" s="35" t="inlineStr">
        <is>
          <t>LN100577</t>
        </is>
      </c>
      <c r="B578" s="35" t="inlineStr">
        <is>
          <t>Manish Kulkarni</t>
        </is>
      </c>
      <c r="C578" s="35" t="inlineStr">
        <is>
          <t>KOC-01</t>
        </is>
      </c>
      <c r="D578" s="36">
        <f>INDEX(Branches!$C$2:$C$15,MATCH(C578,Branches!$A$2:$A$15,0))</f>
        <v/>
      </c>
      <c r="E578" s="35" t="inlineStr">
        <is>
          <t>Home Loan</t>
        </is>
      </c>
      <c r="F578" s="37" t="n">
        <v>45223</v>
      </c>
      <c r="G578" s="38" t="n">
        <v>6937000</v>
      </c>
      <c r="H578" s="39" t="n">
        <v>0.0939</v>
      </c>
      <c r="I578" s="35" t="n">
        <v>120</v>
      </c>
      <c r="J578" s="35" t="n">
        <v>697</v>
      </c>
      <c r="K578" s="35" t="n">
        <v>0</v>
      </c>
      <c r="L578" s="40">
        <f>ROUND(PMT(H578/12,I578,-G578),0)</f>
        <v/>
      </c>
      <c r="M578" s="41">
        <f>MAX(0,(YEAR(AsOfDate)-YEAR(F578))*12+MONTH(AsOfDate)-MONTH(F578))</f>
        <v/>
      </c>
      <c r="N578" s="41">
        <f>MAX(0,MIN(I578,M578)-INT(K578/30))</f>
        <v/>
      </c>
      <c r="O578" s="40">
        <f>IF(N578&gt;=I578,0,ROUND(PV(H578/12,I578-N578,-L578),0))</f>
        <v/>
      </c>
      <c r="P578" s="40">
        <f>MIN(I578,M578)*L578-N578*L578</f>
        <v/>
      </c>
      <c r="Q578" s="41">
        <f>INDEX(DPD_Bucket,MATCH(K578,DPD_From,1))</f>
        <v/>
      </c>
      <c r="R578" s="41">
        <f>INDEX(DPD_Class,MATCH(K578,DPD_From,1))</f>
        <v/>
      </c>
      <c r="S578" s="41">
        <f>INDEX(DPD_NPA,MATCH(K578,DPD_From,1))</f>
        <v/>
      </c>
      <c r="T578" s="42">
        <f>INDEX(DPD_Prov,MATCH(K578,DPD_From,1))</f>
        <v/>
      </c>
      <c r="U578" s="40">
        <f>ROUND(O578*T578,0)</f>
        <v/>
      </c>
      <c r="V578" s="41">
        <f>INDEX(CIBIL_Grade,MATCH(J578,CIBIL_From,1))</f>
        <v/>
      </c>
      <c r="W578" s="41">
        <f>YEAR(F578)&amp;"-Q"&amp;ROUNDUP(MONTH(F578)/3,0)</f>
        <v/>
      </c>
      <c r="X578" s="41">
        <f>IF(AND(OR(Dashboard!$C$4="All",D578=Dashboard!$C$4),OR(Dashboard!$C$5="All",E578=Dashboard!$C$5)),1,0)</f>
        <v/>
      </c>
      <c r="Y578" s="43">
        <f>IF(AND(X578=1,S578="Yes"),O578+ROW()/1000000,0)</f>
        <v/>
      </c>
    </row>
    <row r="579">
      <c r="A579" s="35" t="inlineStr">
        <is>
          <t>LN100578</t>
        </is>
      </c>
      <c r="B579" s="35" t="inlineStr">
        <is>
          <t>Harsh Kulkarni</t>
        </is>
      </c>
      <c r="C579" s="35" t="inlineStr">
        <is>
          <t>KOL-01</t>
        </is>
      </c>
      <c r="D579" s="36">
        <f>INDEX(Branches!$C$2:$C$15,MATCH(C579,Branches!$A$2:$A$15,0))</f>
        <v/>
      </c>
      <c r="E579" s="35" t="inlineStr">
        <is>
          <t>Personal Loan</t>
        </is>
      </c>
      <c r="F579" s="37" t="n">
        <v>45283</v>
      </c>
      <c r="G579" s="38" t="n">
        <v>595000</v>
      </c>
      <c r="H579" s="39" t="n">
        <v>0.1683</v>
      </c>
      <c r="I579" s="35" t="n">
        <v>24</v>
      </c>
      <c r="J579" s="35" t="n">
        <v>762</v>
      </c>
      <c r="K579" s="35" t="n">
        <v>0</v>
      </c>
      <c r="L579" s="40">
        <f>ROUND(PMT(H579/12,I579,-G579),0)</f>
        <v/>
      </c>
      <c r="M579" s="41">
        <f>MAX(0,(YEAR(AsOfDate)-YEAR(F579))*12+MONTH(AsOfDate)-MONTH(F579))</f>
        <v/>
      </c>
      <c r="N579" s="41">
        <f>MAX(0,MIN(I579,M579)-INT(K579/30))</f>
        <v/>
      </c>
      <c r="O579" s="40">
        <f>IF(N579&gt;=I579,0,ROUND(PV(H579/12,I579-N579,-L579),0))</f>
        <v/>
      </c>
      <c r="P579" s="40">
        <f>MIN(I579,M579)*L579-N579*L579</f>
        <v/>
      </c>
      <c r="Q579" s="41">
        <f>INDEX(DPD_Bucket,MATCH(K579,DPD_From,1))</f>
        <v/>
      </c>
      <c r="R579" s="41">
        <f>INDEX(DPD_Class,MATCH(K579,DPD_From,1))</f>
        <v/>
      </c>
      <c r="S579" s="41">
        <f>INDEX(DPD_NPA,MATCH(K579,DPD_From,1))</f>
        <v/>
      </c>
      <c r="T579" s="42">
        <f>INDEX(DPD_Prov,MATCH(K579,DPD_From,1))</f>
        <v/>
      </c>
      <c r="U579" s="40">
        <f>ROUND(O579*T579,0)</f>
        <v/>
      </c>
      <c r="V579" s="41">
        <f>INDEX(CIBIL_Grade,MATCH(J579,CIBIL_From,1))</f>
        <v/>
      </c>
      <c r="W579" s="41">
        <f>YEAR(F579)&amp;"-Q"&amp;ROUNDUP(MONTH(F579)/3,0)</f>
        <v/>
      </c>
      <c r="X579" s="41">
        <f>IF(AND(OR(Dashboard!$C$4="All",D579=Dashboard!$C$4),OR(Dashboard!$C$5="All",E579=Dashboard!$C$5)),1,0)</f>
        <v/>
      </c>
      <c r="Y579" s="43">
        <f>IF(AND(X579=1,S579="Yes"),O579+ROW()/1000000,0)</f>
        <v/>
      </c>
    </row>
    <row r="580">
      <c r="A580" s="35" t="inlineStr">
        <is>
          <t>LN100579</t>
        </is>
      </c>
      <c r="B580" s="35" t="inlineStr">
        <is>
          <t>Karthik Banerjee</t>
        </is>
      </c>
      <c r="C580" s="35" t="inlineStr">
        <is>
          <t>DEL-01</t>
        </is>
      </c>
      <c r="D580" s="36">
        <f>INDEX(Branches!$C$2:$C$15,MATCH(C580,Branches!$A$2:$A$15,0))</f>
        <v/>
      </c>
      <c r="E580" s="35" t="inlineStr">
        <is>
          <t>Personal Loan</t>
        </is>
      </c>
      <c r="F580" s="37" t="n">
        <v>45487</v>
      </c>
      <c r="G580" s="38" t="n">
        <v>1182000</v>
      </c>
      <c r="H580" s="39" t="n">
        <v>0.1612</v>
      </c>
      <c r="I580" s="35" t="n">
        <v>36</v>
      </c>
      <c r="J580" s="35" t="n">
        <v>722</v>
      </c>
      <c r="K580" s="35" t="n">
        <v>0</v>
      </c>
      <c r="L580" s="40">
        <f>ROUND(PMT(H580/12,I580,-G580),0)</f>
        <v/>
      </c>
      <c r="M580" s="41">
        <f>MAX(0,(YEAR(AsOfDate)-YEAR(F580))*12+MONTH(AsOfDate)-MONTH(F580))</f>
        <v/>
      </c>
      <c r="N580" s="41">
        <f>MAX(0,MIN(I580,M580)-INT(K580/30))</f>
        <v/>
      </c>
      <c r="O580" s="40">
        <f>IF(N580&gt;=I580,0,ROUND(PV(H580/12,I580-N580,-L580),0))</f>
        <v/>
      </c>
      <c r="P580" s="40">
        <f>MIN(I580,M580)*L580-N580*L580</f>
        <v/>
      </c>
      <c r="Q580" s="41">
        <f>INDEX(DPD_Bucket,MATCH(K580,DPD_From,1))</f>
        <v/>
      </c>
      <c r="R580" s="41">
        <f>INDEX(DPD_Class,MATCH(K580,DPD_From,1))</f>
        <v/>
      </c>
      <c r="S580" s="41">
        <f>INDEX(DPD_NPA,MATCH(K580,DPD_From,1))</f>
        <v/>
      </c>
      <c r="T580" s="42">
        <f>INDEX(DPD_Prov,MATCH(K580,DPD_From,1))</f>
        <v/>
      </c>
      <c r="U580" s="40">
        <f>ROUND(O580*T580,0)</f>
        <v/>
      </c>
      <c r="V580" s="41">
        <f>INDEX(CIBIL_Grade,MATCH(J580,CIBIL_From,1))</f>
        <v/>
      </c>
      <c r="W580" s="41">
        <f>YEAR(F580)&amp;"-Q"&amp;ROUNDUP(MONTH(F580)/3,0)</f>
        <v/>
      </c>
      <c r="X580" s="41">
        <f>IF(AND(OR(Dashboard!$C$4="All",D580=Dashboard!$C$4),OR(Dashboard!$C$5="All",E580=Dashboard!$C$5)),1,0)</f>
        <v/>
      </c>
      <c r="Y580" s="43">
        <f>IF(AND(X580=1,S580="Yes"),O580+ROW()/1000000,0)</f>
        <v/>
      </c>
    </row>
    <row r="581">
      <c r="A581" s="35" t="inlineStr">
        <is>
          <t>LN100580</t>
        </is>
      </c>
      <c r="B581" s="35" t="inlineStr">
        <is>
          <t>Farhan Patel</t>
        </is>
      </c>
      <c r="C581" s="35" t="inlineStr">
        <is>
          <t>PUN-01</t>
        </is>
      </c>
      <c r="D581" s="36">
        <f>INDEX(Branches!$C$2:$C$15,MATCH(C581,Branches!$A$2:$A$15,0))</f>
        <v/>
      </c>
      <c r="E581" s="35" t="inlineStr">
        <is>
          <t>Business Loan</t>
        </is>
      </c>
      <c r="F581" s="37" t="n">
        <v>45109</v>
      </c>
      <c r="G581" s="38" t="n">
        <v>2964000</v>
      </c>
      <c r="H581" s="39" t="n">
        <v>0.1771</v>
      </c>
      <c r="I581" s="35" t="n">
        <v>24</v>
      </c>
      <c r="J581" s="35" t="n">
        <v>833</v>
      </c>
      <c r="K581" s="35" t="n">
        <v>0</v>
      </c>
      <c r="L581" s="40">
        <f>ROUND(PMT(H581/12,I581,-G581),0)</f>
        <v/>
      </c>
      <c r="M581" s="41">
        <f>MAX(0,(YEAR(AsOfDate)-YEAR(F581))*12+MONTH(AsOfDate)-MONTH(F581))</f>
        <v/>
      </c>
      <c r="N581" s="41">
        <f>MAX(0,MIN(I581,M581)-INT(K581/30))</f>
        <v/>
      </c>
      <c r="O581" s="40">
        <f>IF(N581&gt;=I581,0,ROUND(PV(H581/12,I581-N581,-L581),0))</f>
        <v/>
      </c>
      <c r="P581" s="40">
        <f>MIN(I581,M581)*L581-N581*L581</f>
        <v/>
      </c>
      <c r="Q581" s="41">
        <f>INDEX(DPD_Bucket,MATCH(K581,DPD_From,1))</f>
        <v/>
      </c>
      <c r="R581" s="41">
        <f>INDEX(DPD_Class,MATCH(K581,DPD_From,1))</f>
        <v/>
      </c>
      <c r="S581" s="41">
        <f>INDEX(DPD_NPA,MATCH(K581,DPD_From,1))</f>
        <v/>
      </c>
      <c r="T581" s="42">
        <f>INDEX(DPD_Prov,MATCH(K581,DPD_From,1))</f>
        <v/>
      </c>
      <c r="U581" s="40">
        <f>ROUND(O581*T581,0)</f>
        <v/>
      </c>
      <c r="V581" s="41">
        <f>INDEX(CIBIL_Grade,MATCH(J581,CIBIL_From,1))</f>
        <v/>
      </c>
      <c r="W581" s="41">
        <f>YEAR(F581)&amp;"-Q"&amp;ROUNDUP(MONTH(F581)/3,0)</f>
        <v/>
      </c>
      <c r="X581" s="41">
        <f>IF(AND(OR(Dashboard!$C$4="All",D581=Dashboard!$C$4),OR(Dashboard!$C$5="All",E581=Dashboard!$C$5)),1,0)</f>
        <v/>
      </c>
      <c r="Y581" s="43">
        <f>IF(AND(X581=1,S581="Yes"),O581+ROW()/1000000,0)</f>
        <v/>
      </c>
    </row>
    <row r="582">
      <c r="A582" s="35" t="inlineStr">
        <is>
          <t>LN100581</t>
        </is>
      </c>
      <c r="B582" s="35" t="inlineStr">
        <is>
          <t>Kabir Singh</t>
        </is>
      </c>
      <c r="C582" s="35" t="inlineStr">
        <is>
          <t>MUM-01</t>
        </is>
      </c>
      <c r="D582" s="36">
        <f>INDEX(Branches!$C$2:$C$15,MATCH(C582,Branches!$A$2:$A$15,0))</f>
        <v/>
      </c>
      <c r="E582" s="35" t="inlineStr">
        <is>
          <t>Business Loan</t>
        </is>
      </c>
      <c r="F582" s="37" t="n">
        <v>45331</v>
      </c>
      <c r="G582" s="38" t="n">
        <v>1369000</v>
      </c>
      <c r="H582" s="39" t="n">
        <v>0.1317</v>
      </c>
      <c r="I582" s="35" t="n">
        <v>12</v>
      </c>
      <c r="J582" s="35" t="n">
        <v>756</v>
      </c>
      <c r="K582" s="35" t="n">
        <v>0</v>
      </c>
      <c r="L582" s="40">
        <f>ROUND(PMT(H582/12,I582,-G582),0)</f>
        <v/>
      </c>
      <c r="M582" s="41">
        <f>MAX(0,(YEAR(AsOfDate)-YEAR(F582))*12+MONTH(AsOfDate)-MONTH(F582))</f>
        <v/>
      </c>
      <c r="N582" s="41">
        <f>MAX(0,MIN(I582,M582)-INT(K582/30))</f>
        <v/>
      </c>
      <c r="O582" s="40">
        <f>IF(N582&gt;=I582,0,ROUND(PV(H582/12,I582-N582,-L582),0))</f>
        <v/>
      </c>
      <c r="P582" s="40">
        <f>MIN(I582,M582)*L582-N582*L582</f>
        <v/>
      </c>
      <c r="Q582" s="41">
        <f>INDEX(DPD_Bucket,MATCH(K582,DPD_From,1))</f>
        <v/>
      </c>
      <c r="R582" s="41">
        <f>INDEX(DPD_Class,MATCH(K582,DPD_From,1))</f>
        <v/>
      </c>
      <c r="S582" s="41">
        <f>INDEX(DPD_NPA,MATCH(K582,DPD_From,1))</f>
        <v/>
      </c>
      <c r="T582" s="42">
        <f>INDEX(DPD_Prov,MATCH(K582,DPD_From,1))</f>
        <v/>
      </c>
      <c r="U582" s="40">
        <f>ROUND(O582*T582,0)</f>
        <v/>
      </c>
      <c r="V582" s="41">
        <f>INDEX(CIBIL_Grade,MATCH(J582,CIBIL_From,1))</f>
        <v/>
      </c>
      <c r="W582" s="41">
        <f>YEAR(F582)&amp;"-Q"&amp;ROUNDUP(MONTH(F582)/3,0)</f>
        <v/>
      </c>
      <c r="X582" s="41">
        <f>IF(AND(OR(Dashboard!$C$4="All",D582=Dashboard!$C$4),OR(Dashboard!$C$5="All",E582=Dashboard!$C$5)),1,0)</f>
        <v/>
      </c>
      <c r="Y582" s="43">
        <f>IF(AND(X582=1,S582="Yes"),O582+ROW()/1000000,0)</f>
        <v/>
      </c>
    </row>
    <row r="583">
      <c r="A583" s="35" t="inlineStr">
        <is>
          <t>LN100582</t>
        </is>
      </c>
      <c r="B583" s="35" t="inlineStr">
        <is>
          <t>Lakshmi Nair</t>
        </is>
      </c>
      <c r="C583" s="35" t="inlineStr">
        <is>
          <t>BBS-01</t>
        </is>
      </c>
      <c r="D583" s="36">
        <f>INDEX(Branches!$C$2:$C$15,MATCH(C583,Branches!$A$2:$A$15,0))</f>
        <v/>
      </c>
      <c r="E583" s="35" t="inlineStr">
        <is>
          <t>Home Loan</t>
        </is>
      </c>
      <c r="F583" s="37" t="n">
        <v>45729</v>
      </c>
      <c r="G583" s="38" t="n">
        <v>14451000</v>
      </c>
      <c r="H583" s="39" t="n">
        <v>0.0852</v>
      </c>
      <c r="I583" s="35" t="n">
        <v>240</v>
      </c>
      <c r="J583" s="35" t="n">
        <v>749</v>
      </c>
      <c r="K583" s="35" t="n">
        <v>0</v>
      </c>
      <c r="L583" s="40">
        <f>ROUND(PMT(H583/12,I583,-G583),0)</f>
        <v/>
      </c>
      <c r="M583" s="41">
        <f>MAX(0,(YEAR(AsOfDate)-YEAR(F583))*12+MONTH(AsOfDate)-MONTH(F583))</f>
        <v/>
      </c>
      <c r="N583" s="41">
        <f>MAX(0,MIN(I583,M583)-INT(K583/30))</f>
        <v/>
      </c>
      <c r="O583" s="40">
        <f>IF(N583&gt;=I583,0,ROUND(PV(H583/12,I583-N583,-L583),0))</f>
        <v/>
      </c>
      <c r="P583" s="40">
        <f>MIN(I583,M583)*L583-N583*L583</f>
        <v/>
      </c>
      <c r="Q583" s="41">
        <f>INDEX(DPD_Bucket,MATCH(K583,DPD_From,1))</f>
        <v/>
      </c>
      <c r="R583" s="41">
        <f>INDEX(DPD_Class,MATCH(K583,DPD_From,1))</f>
        <v/>
      </c>
      <c r="S583" s="41">
        <f>INDEX(DPD_NPA,MATCH(K583,DPD_From,1))</f>
        <v/>
      </c>
      <c r="T583" s="42">
        <f>INDEX(DPD_Prov,MATCH(K583,DPD_From,1))</f>
        <v/>
      </c>
      <c r="U583" s="40">
        <f>ROUND(O583*T583,0)</f>
        <v/>
      </c>
      <c r="V583" s="41">
        <f>INDEX(CIBIL_Grade,MATCH(J583,CIBIL_From,1))</f>
        <v/>
      </c>
      <c r="W583" s="41">
        <f>YEAR(F583)&amp;"-Q"&amp;ROUNDUP(MONTH(F583)/3,0)</f>
        <v/>
      </c>
      <c r="X583" s="41">
        <f>IF(AND(OR(Dashboard!$C$4="All",D583=Dashboard!$C$4),OR(Dashboard!$C$5="All",E583=Dashboard!$C$5)),1,0)</f>
        <v/>
      </c>
      <c r="Y583" s="43">
        <f>IF(AND(X583=1,S583="Yes"),O583+ROW()/1000000,0)</f>
        <v/>
      </c>
    </row>
    <row r="584">
      <c r="A584" s="35" t="inlineStr">
        <is>
          <t>LN100583</t>
        </is>
      </c>
      <c r="B584" s="35" t="inlineStr">
        <is>
          <t>Riya Iyer</t>
        </is>
      </c>
      <c r="C584" s="35" t="inlineStr">
        <is>
          <t>KOL-01</t>
        </is>
      </c>
      <c r="D584" s="36">
        <f>INDEX(Branches!$C$2:$C$15,MATCH(C584,Branches!$A$2:$A$15,0))</f>
        <v/>
      </c>
      <c r="E584" s="35" t="inlineStr">
        <is>
          <t>Personal Loan</t>
        </is>
      </c>
      <c r="F584" s="37" t="n">
        <v>45795</v>
      </c>
      <c r="G584" s="38" t="n">
        <v>735000</v>
      </c>
      <c r="H584" s="39" t="n">
        <v>0.1796</v>
      </c>
      <c r="I584" s="35" t="n">
        <v>48</v>
      </c>
      <c r="J584" s="35" t="n">
        <v>802</v>
      </c>
      <c r="K584" s="35" t="n">
        <v>0</v>
      </c>
      <c r="L584" s="40">
        <f>ROUND(PMT(H584/12,I584,-G584),0)</f>
        <v/>
      </c>
      <c r="M584" s="41">
        <f>MAX(0,(YEAR(AsOfDate)-YEAR(F584))*12+MONTH(AsOfDate)-MONTH(F584))</f>
        <v/>
      </c>
      <c r="N584" s="41">
        <f>MAX(0,MIN(I584,M584)-INT(K584/30))</f>
        <v/>
      </c>
      <c r="O584" s="40">
        <f>IF(N584&gt;=I584,0,ROUND(PV(H584/12,I584-N584,-L584),0))</f>
        <v/>
      </c>
      <c r="P584" s="40">
        <f>MIN(I584,M584)*L584-N584*L584</f>
        <v/>
      </c>
      <c r="Q584" s="41">
        <f>INDEX(DPD_Bucket,MATCH(K584,DPD_From,1))</f>
        <v/>
      </c>
      <c r="R584" s="41">
        <f>INDEX(DPD_Class,MATCH(K584,DPD_From,1))</f>
        <v/>
      </c>
      <c r="S584" s="41">
        <f>INDEX(DPD_NPA,MATCH(K584,DPD_From,1))</f>
        <v/>
      </c>
      <c r="T584" s="42">
        <f>INDEX(DPD_Prov,MATCH(K584,DPD_From,1))</f>
        <v/>
      </c>
      <c r="U584" s="40">
        <f>ROUND(O584*T584,0)</f>
        <v/>
      </c>
      <c r="V584" s="41">
        <f>INDEX(CIBIL_Grade,MATCH(J584,CIBIL_From,1))</f>
        <v/>
      </c>
      <c r="W584" s="41">
        <f>YEAR(F584)&amp;"-Q"&amp;ROUNDUP(MONTH(F584)/3,0)</f>
        <v/>
      </c>
      <c r="X584" s="41">
        <f>IF(AND(OR(Dashboard!$C$4="All",D584=Dashboard!$C$4),OR(Dashboard!$C$5="All",E584=Dashboard!$C$5)),1,0)</f>
        <v/>
      </c>
      <c r="Y584" s="43">
        <f>IF(AND(X584=1,S584="Yes"),O584+ROW()/1000000,0)</f>
        <v/>
      </c>
    </row>
    <row r="585">
      <c r="A585" s="35" t="inlineStr">
        <is>
          <t>LN100584</t>
        </is>
      </c>
      <c r="B585" s="35" t="inlineStr">
        <is>
          <t>Ananya Gupta</t>
        </is>
      </c>
      <c r="C585" s="35" t="inlineStr">
        <is>
          <t>HYD-01</t>
        </is>
      </c>
      <c r="D585" s="36">
        <f>INDEX(Branches!$C$2:$C$15,MATCH(C585,Branches!$A$2:$A$15,0))</f>
        <v/>
      </c>
      <c r="E585" s="35" t="inlineStr">
        <is>
          <t>Business Loan</t>
        </is>
      </c>
      <c r="F585" s="37" t="n">
        <v>45646</v>
      </c>
      <c r="G585" s="38" t="n">
        <v>2483000</v>
      </c>
      <c r="H585" s="39" t="n">
        <v>0.1644</v>
      </c>
      <c r="I585" s="35" t="n">
        <v>36</v>
      </c>
      <c r="J585" s="35" t="n">
        <v>683</v>
      </c>
      <c r="K585" s="35" t="n">
        <v>3</v>
      </c>
      <c r="L585" s="40">
        <f>ROUND(PMT(H585/12,I585,-G585),0)</f>
        <v/>
      </c>
      <c r="M585" s="41">
        <f>MAX(0,(YEAR(AsOfDate)-YEAR(F585))*12+MONTH(AsOfDate)-MONTH(F585))</f>
        <v/>
      </c>
      <c r="N585" s="41">
        <f>MAX(0,MIN(I585,M585)-INT(K585/30))</f>
        <v/>
      </c>
      <c r="O585" s="40">
        <f>IF(N585&gt;=I585,0,ROUND(PV(H585/12,I585-N585,-L585),0))</f>
        <v/>
      </c>
      <c r="P585" s="40">
        <f>MIN(I585,M585)*L585-N585*L585</f>
        <v/>
      </c>
      <c r="Q585" s="41">
        <f>INDEX(DPD_Bucket,MATCH(K585,DPD_From,1))</f>
        <v/>
      </c>
      <c r="R585" s="41">
        <f>INDEX(DPD_Class,MATCH(K585,DPD_From,1))</f>
        <v/>
      </c>
      <c r="S585" s="41">
        <f>INDEX(DPD_NPA,MATCH(K585,DPD_From,1))</f>
        <v/>
      </c>
      <c r="T585" s="42">
        <f>INDEX(DPD_Prov,MATCH(K585,DPD_From,1))</f>
        <v/>
      </c>
      <c r="U585" s="40">
        <f>ROUND(O585*T585,0)</f>
        <v/>
      </c>
      <c r="V585" s="41">
        <f>INDEX(CIBIL_Grade,MATCH(J585,CIBIL_From,1))</f>
        <v/>
      </c>
      <c r="W585" s="41">
        <f>YEAR(F585)&amp;"-Q"&amp;ROUNDUP(MONTH(F585)/3,0)</f>
        <v/>
      </c>
      <c r="X585" s="41">
        <f>IF(AND(OR(Dashboard!$C$4="All",D585=Dashboard!$C$4),OR(Dashboard!$C$5="All",E585=Dashboard!$C$5)),1,0)</f>
        <v/>
      </c>
      <c r="Y585" s="43">
        <f>IF(AND(X585=1,S585="Yes"),O585+ROW()/1000000,0)</f>
        <v/>
      </c>
    </row>
    <row r="586">
      <c r="A586" s="35" t="inlineStr">
        <is>
          <t>LN100585</t>
        </is>
      </c>
      <c r="B586" s="35" t="inlineStr">
        <is>
          <t>Meera Das</t>
        </is>
      </c>
      <c r="C586" s="35" t="inlineStr">
        <is>
          <t>JAI-01</t>
        </is>
      </c>
      <c r="D586" s="36">
        <f>INDEX(Branches!$C$2:$C$15,MATCH(C586,Branches!$A$2:$A$15,0))</f>
        <v/>
      </c>
      <c r="E586" s="35" t="inlineStr">
        <is>
          <t>Gold Loan</t>
        </is>
      </c>
      <c r="F586" s="37" t="n">
        <v>45808</v>
      </c>
      <c r="G586" s="38" t="n">
        <v>340000</v>
      </c>
      <c r="H586" s="39" t="n">
        <v>0.1174</v>
      </c>
      <c r="I586" s="35" t="n">
        <v>12</v>
      </c>
      <c r="J586" s="35" t="n">
        <v>718</v>
      </c>
      <c r="K586" s="35" t="n">
        <v>0</v>
      </c>
      <c r="L586" s="40">
        <f>ROUND(PMT(H586/12,I586,-G586),0)</f>
        <v/>
      </c>
      <c r="M586" s="41">
        <f>MAX(0,(YEAR(AsOfDate)-YEAR(F586))*12+MONTH(AsOfDate)-MONTH(F586))</f>
        <v/>
      </c>
      <c r="N586" s="41">
        <f>MAX(0,MIN(I586,M586)-INT(K586/30))</f>
        <v/>
      </c>
      <c r="O586" s="40">
        <f>IF(N586&gt;=I586,0,ROUND(PV(H586/12,I586-N586,-L586),0))</f>
        <v/>
      </c>
      <c r="P586" s="40">
        <f>MIN(I586,M586)*L586-N586*L586</f>
        <v/>
      </c>
      <c r="Q586" s="41">
        <f>INDEX(DPD_Bucket,MATCH(K586,DPD_From,1))</f>
        <v/>
      </c>
      <c r="R586" s="41">
        <f>INDEX(DPD_Class,MATCH(K586,DPD_From,1))</f>
        <v/>
      </c>
      <c r="S586" s="41">
        <f>INDEX(DPD_NPA,MATCH(K586,DPD_From,1))</f>
        <v/>
      </c>
      <c r="T586" s="42">
        <f>INDEX(DPD_Prov,MATCH(K586,DPD_From,1))</f>
        <v/>
      </c>
      <c r="U586" s="40">
        <f>ROUND(O586*T586,0)</f>
        <v/>
      </c>
      <c r="V586" s="41">
        <f>INDEX(CIBIL_Grade,MATCH(J586,CIBIL_From,1))</f>
        <v/>
      </c>
      <c r="W586" s="41">
        <f>YEAR(F586)&amp;"-Q"&amp;ROUNDUP(MONTH(F586)/3,0)</f>
        <v/>
      </c>
      <c r="X586" s="41">
        <f>IF(AND(OR(Dashboard!$C$4="All",D586=Dashboard!$C$4),OR(Dashboard!$C$5="All",E586=Dashboard!$C$5)),1,0)</f>
        <v/>
      </c>
      <c r="Y586" s="43">
        <f>IF(AND(X586=1,S586="Yes"),O586+ROW()/1000000,0)</f>
        <v/>
      </c>
    </row>
    <row r="587">
      <c r="A587" s="35" t="inlineStr">
        <is>
          <t>LN100586</t>
        </is>
      </c>
      <c r="B587" s="35" t="inlineStr">
        <is>
          <t>Lakshmi Sharma</t>
        </is>
      </c>
      <c r="C587" s="35" t="inlineStr">
        <is>
          <t>BLR-01</t>
        </is>
      </c>
      <c r="D587" s="36">
        <f>INDEX(Branches!$C$2:$C$15,MATCH(C587,Branches!$A$2:$A$15,0))</f>
        <v/>
      </c>
      <c r="E587" s="35" t="inlineStr">
        <is>
          <t>Business Loan</t>
        </is>
      </c>
      <c r="F587" s="37" t="n">
        <v>46102</v>
      </c>
      <c r="G587" s="38" t="n">
        <v>3491000</v>
      </c>
      <c r="H587" s="39" t="n">
        <v>0.1487</v>
      </c>
      <c r="I587" s="35" t="n">
        <v>12</v>
      </c>
      <c r="J587" s="35" t="n">
        <v>714</v>
      </c>
      <c r="K587" s="35" t="n">
        <v>75</v>
      </c>
      <c r="L587" s="40">
        <f>ROUND(PMT(H587/12,I587,-G587),0)</f>
        <v/>
      </c>
      <c r="M587" s="41">
        <f>MAX(0,(YEAR(AsOfDate)-YEAR(F587))*12+MONTH(AsOfDate)-MONTH(F587))</f>
        <v/>
      </c>
      <c r="N587" s="41">
        <f>MAX(0,MIN(I587,M587)-INT(K587/30))</f>
        <v/>
      </c>
      <c r="O587" s="40">
        <f>IF(N587&gt;=I587,0,ROUND(PV(H587/12,I587-N587,-L587),0))</f>
        <v/>
      </c>
      <c r="P587" s="40">
        <f>MIN(I587,M587)*L587-N587*L587</f>
        <v/>
      </c>
      <c r="Q587" s="41">
        <f>INDEX(DPD_Bucket,MATCH(K587,DPD_From,1))</f>
        <v/>
      </c>
      <c r="R587" s="41">
        <f>INDEX(DPD_Class,MATCH(K587,DPD_From,1))</f>
        <v/>
      </c>
      <c r="S587" s="41">
        <f>INDEX(DPD_NPA,MATCH(K587,DPD_From,1))</f>
        <v/>
      </c>
      <c r="T587" s="42">
        <f>INDEX(DPD_Prov,MATCH(K587,DPD_From,1))</f>
        <v/>
      </c>
      <c r="U587" s="40">
        <f>ROUND(O587*T587,0)</f>
        <v/>
      </c>
      <c r="V587" s="41">
        <f>INDEX(CIBIL_Grade,MATCH(J587,CIBIL_From,1))</f>
        <v/>
      </c>
      <c r="W587" s="41">
        <f>YEAR(F587)&amp;"-Q"&amp;ROUNDUP(MONTH(F587)/3,0)</f>
        <v/>
      </c>
      <c r="X587" s="41">
        <f>IF(AND(OR(Dashboard!$C$4="All",D587=Dashboard!$C$4),OR(Dashboard!$C$5="All",E587=Dashboard!$C$5)),1,0)</f>
        <v/>
      </c>
      <c r="Y587" s="43">
        <f>IF(AND(X587=1,S587="Yes"),O587+ROW()/1000000,0)</f>
        <v/>
      </c>
    </row>
    <row r="588">
      <c r="A588" s="35" t="inlineStr">
        <is>
          <t>LN100587</t>
        </is>
      </c>
      <c r="B588" s="35" t="inlineStr">
        <is>
          <t>Meera Banerjee</t>
        </is>
      </c>
      <c r="C588" s="35" t="inlineStr">
        <is>
          <t>GUW-01</t>
        </is>
      </c>
      <c r="D588" s="36">
        <f>INDEX(Branches!$C$2:$C$15,MATCH(C588,Branches!$A$2:$A$15,0))</f>
        <v/>
      </c>
      <c r="E588" s="35" t="inlineStr">
        <is>
          <t>Business Loan</t>
        </is>
      </c>
      <c r="F588" s="37" t="n">
        <v>46166</v>
      </c>
      <c r="G588" s="38" t="n">
        <v>3775000</v>
      </c>
      <c r="H588" s="39" t="n">
        <v>0.1869</v>
      </c>
      <c r="I588" s="35" t="n">
        <v>60</v>
      </c>
      <c r="J588" s="35" t="n">
        <v>605</v>
      </c>
      <c r="K588" s="35" t="n">
        <v>0</v>
      </c>
      <c r="L588" s="40">
        <f>ROUND(PMT(H588/12,I588,-G588),0)</f>
        <v/>
      </c>
      <c r="M588" s="41">
        <f>MAX(0,(YEAR(AsOfDate)-YEAR(F588))*12+MONTH(AsOfDate)-MONTH(F588))</f>
        <v/>
      </c>
      <c r="N588" s="41">
        <f>MAX(0,MIN(I588,M588)-INT(K588/30))</f>
        <v/>
      </c>
      <c r="O588" s="40">
        <f>IF(N588&gt;=I588,0,ROUND(PV(H588/12,I588-N588,-L588),0))</f>
        <v/>
      </c>
      <c r="P588" s="40">
        <f>MIN(I588,M588)*L588-N588*L588</f>
        <v/>
      </c>
      <c r="Q588" s="41">
        <f>INDEX(DPD_Bucket,MATCH(K588,DPD_From,1))</f>
        <v/>
      </c>
      <c r="R588" s="41">
        <f>INDEX(DPD_Class,MATCH(K588,DPD_From,1))</f>
        <v/>
      </c>
      <c r="S588" s="41">
        <f>INDEX(DPD_NPA,MATCH(K588,DPD_From,1))</f>
        <v/>
      </c>
      <c r="T588" s="42">
        <f>INDEX(DPD_Prov,MATCH(K588,DPD_From,1))</f>
        <v/>
      </c>
      <c r="U588" s="40">
        <f>ROUND(O588*T588,0)</f>
        <v/>
      </c>
      <c r="V588" s="41">
        <f>INDEX(CIBIL_Grade,MATCH(J588,CIBIL_From,1))</f>
        <v/>
      </c>
      <c r="W588" s="41">
        <f>YEAR(F588)&amp;"-Q"&amp;ROUNDUP(MONTH(F588)/3,0)</f>
        <v/>
      </c>
      <c r="X588" s="41">
        <f>IF(AND(OR(Dashboard!$C$4="All",D588=Dashboard!$C$4),OR(Dashboard!$C$5="All",E588=Dashboard!$C$5)),1,0)</f>
        <v/>
      </c>
      <c r="Y588" s="43">
        <f>IF(AND(X588=1,S588="Yes"),O588+ROW()/1000000,0)</f>
        <v/>
      </c>
    </row>
    <row r="589">
      <c r="A589" s="35" t="inlineStr">
        <is>
          <t>LN100588</t>
        </is>
      </c>
      <c r="B589" s="35" t="inlineStr">
        <is>
          <t>Farhan Pillai</t>
        </is>
      </c>
      <c r="C589" s="35" t="inlineStr">
        <is>
          <t>CHN-01</t>
        </is>
      </c>
      <c r="D589" s="36">
        <f>INDEX(Branches!$C$2:$C$15,MATCH(C589,Branches!$A$2:$A$15,0))</f>
        <v/>
      </c>
      <c r="E589" s="35" t="inlineStr">
        <is>
          <t>Home Loan</t>
        </is>
      </c>
      <c r="F589" s="37" t="n">
        <v>46167</v>
      </c>
      <c r="G589" s="38" t="n">
        <v>9374000</v>
      </c>
      <c r="H589" s="39" t="n">
        <v>0.09710000000000001</v>
      </c>
      <c r="I589" s="35" t="n">
        <v>120</v>
      </c>
      <c r="J589" s="35" t="n">
        <v>722</v>
      </c>
      <c r="K589" s="35" t="n">
        <v>0</v>
      </c>
      <c r="L589" s="40">
        <f>ROUND(PMT(H589/12,I589,-G589),0)</f>
        <v/>
      </c>
      <c r="M589" s="41">
        <f>MAX(0,(YEAR(AsOfDate)-YEAR(F589))*12+MONTH(AsOfDate)-MONTH(F589))</f>
        <v/>
      </c>
      <c r="N589" s="41">
        <f>MAX(0,MIN(I589,M589)-INT(K589/30))</f>
        <v/>
      </c>
      <c r="O589" s="40">
        <f>IF(N589&gt;=I589,0,ROUND(PV(H589/12,I589-N589,-L589),0))</f>
        <v/>
      </c>
      <c r="P589" s="40">
        <f>MIN(I589,M589)*L589-N589*L589</f>
        <v/>
      </c>
      <c r="Q589" s="41">
        <f>INDEX(DPD_Bucket,MATCH(K589,DPD_From,1))</f>
        <v/>
      </c>
      <c r="R589" s="41">
        <f>INDEX(DPD_Class,MATCH(K589,DPD_From,1))</f>
        <v/>
      </c>
      <c r="S589" s="41">
        <f>INDEX(DPD_NPA,MATCH(K589,DPD_From,1))</f>
        <v/>
      </c>
      <c r="T589" s="42">
        <f>INDEX(DPD_Prov,MATCH(K589,DPD_From,1))</f>
        <v/>
      </c>
      <c r="U589" s="40">
        <f>ROUND(O589*T589,0)</f>
        <v/>
      </c>
      <c r="V589" s="41">
        <f>INDEX(CIBIL_Grade,MATCH(J589,CIBIL_From,1))</f>
        <v/>
      </c>
      <c r="W589" s="41">
        <f>YEAR(F589)&amp;"-Q"&amp;ROUNDUP(MONTH(F589)/3,0)</f>
        <v/>
      </c>
      <c r="X589" s="41">
        <f>IF(AND(OR(Dashboard!$C$4="All",D589=Dashboard!$C$4),OR(Dashboard!$C$5="All",E589=Dashboard!$C$5)),1,0)</f>
        <v/>
      </c>
      <c r="Y589" s="43">
        <f>IF(AND(X589=1,S589="Yes"),O589+ROW()/1000000,0)</f>
        <v/>
      </c>
    </row>
    <row r="590">
      <c r="A590" s="35" t="inlineStr">
        <is>
          <t>LN100589</t>
        </is>
      </c>
      <c r="B590" s="35" t="inlineStr">
        <is>
          <t>Sneha Kulkarni</t>
        </is>
      </c>
      <c r="C590" s="35" t="inlineStr">
        <is>
          <t>GUW-01</t>
        </is>
      </c>
      <c r="D590" s="36">
        <f>INDEX(Branches!$C$2:$C$15,MATCH(C590,Branches!$A$2:$A$15,0))</f>
        <v/>
      </c>
      <c r="E590" s="35" t="inlineStr">
        <is>
          <t>Auto Loan</t>
        </is>
      </c>
      <c r="F590" s="37" t="n">
        <v>45353</v>
      </c>
      <c r="G590" s="38" t="n">
        <v>1937000</v>
      </c>
      <c r="H590" s="39" t="n">
        <v>0.0915</v>
      </c>
      <c r="I590" s="35" t="n">
        <v>60</v>
      </c>
      <c r="J590" s="35" t="n">
        <v>900</v>
      </c>
      <c r="K590" s="35" t="n">
        <v>0</v>
      </c>
      <c r="L590" s="40">
        <f>ROUND(PMT(H590/12,I590,-G590),0)</f>
        <v/>
      </c>
      <c r="M590" s="41">
        <f>MAX(0,(YEAR(AsOfDate)-YEAR(F590))*12+MONTH(AsOfDate)-MONTH(F590))</f>
        <v/>
      </c>
      <c r="N590" s="41">
        <f>MAX(0,MIN(I590,M590)-INT(K590/30))</f>
        <v/>
      </c>
      <c r="O590" s="40">
        <f>IF(N590&gt;=I590,0,ROUND(PV(H590/12,I590-N590,-L590),0))</f>
        <v/>
      </c>
      <c r="P590" s="40">
        <f>MIN(I590,M590)*L590-N590*L590</f>
        <v/>
      </c>
      <c r="Q590" s="41">
        <f>INDEX(DPD_Bucket,MATCH(K590,DPD_From,1))</f>
        <v/>
      </c>
      <c r="R590" s="41">
        <f>INDEX(DPD_Class,MATCH(K590,DPD_From,1))</f>
        <v/>
      </c>
      <c r="S590" s="41">
        <f>INDEX(DPD_NPA,MATCH(K590,DPD_From,1))</f>
        <v/>
      </c>
      <c r="T590" s="42">
        <f>INDEX(DPD_Prov,MATCH(K590,DPD_From,1))</f>
        <v/>
      </c>
      <c r="U590" s="40">
        <f>ROUND(O590*T590,0)</f>
        <v/>
      </c>
      <c r="V590" s="41">
        <f>INDEX(CIBIL_Grade,MATCH(J590,CIBIL_From,1))</f>
        <v/>
      </c>
      <c r="W590" s="41">
        <f>YEAR(F590)&amp;"-Q"&amp;ROUNDUP(MONTH(F590)/3,0)</f>
        <v/>
      </c>
      <c r="X590" s="41">
        <f>IF(AND(OR(Dashboard!$C$4="All",D590=Dashboard!$C$4),OR(Dashboard!$C$5="All",E590=Dashboard!$C$5)),1,0)</f>
        <v/>
      </c>
      <c r="Y590" s="43">
        <f>IF(AND(X590=1,S590="Yes"),O590+ROW()/1000000,0)</f>
        <v/>
      </c>
    </row>
    <row r="591">
      <c r="A591" s="35" t="inlineStr">
        <is>
          <t>LN100590</t>
        </is>
      </c>
      <c r="B591" s="35" t="inlineStr">
        <is>
          <t>Vivaan Banerjee</t>
        </is>
      </c>
      <c r="C591" s="35" t="inlineStr">
        <is>
          <t>KOL-01</t>
        </is>
      </c>
      <c r="D591" s="36">
        <f>INDEX(Branches!$C$2:$C$15,MATCH(C591,Branches!$A$2:$A$15,0))</f>
        <v/>
      </c>
      <c r="E591" s="35" t="inlineStr">
        <is>
          <t>Personal Loan</t>
        </is>
      </c>
      <c r="F591" s="37" t="n">
        <v>45758</v>
      </c>
      <c r="G591" s="38" t="n">
        <v>367000</v>
      </c>
      <c r="H591" s="39" t="n">
        <v>0.1572</v>
      </c>
      <c r="I591" s="35" t="n">
        <v>36</v>
      </c>
      <c r="J591" s="35" t="n">
        <v>798</v>
      </c>
      <c r="K591" s="35" t="n">
        <v>0</v>
      </c>
      <c r="L591" s="40">
        <f>ROUND(PMT(H591/12,I591,-G591),0)</f>
        <v/>
      </c>
      <c r="M591" s="41">
        <f>MAX(0,(YEAR(AsOfDate)-YEAR(F591))*12+MONTH(AsOfDate)-MONTH(F591))</f>
        <v/>
      </c>
      <c r="N591" s="41">
        <f>MAX(0,MIN(I591,M591)-INT(K591/30))</f>
        <v/>
      </c>
      <c r="O591" s="40">
        <f>IF(N591&gt;=I591,0,ROUND(PV(H591/12,I591-N591,-L591),0))</f>
        <v/>
      </c>
      <c r="P591" s="40">
        <f>MIN(I591,M591)*L591-N591*L591</f>
        <v/>
      </c>
      <c r="Q591" s="41">
        <f>INDEX(DPD_Bucket,MATCH(K591,DPD_From,1))</f>
        <v/>
      </c>
      <c r="R591" s="41">
        <f>INDEX(DPD_Class,MATCH(K591,DPD_From,1))</f>
        <v/>
      </c>
      <c r="S591" s="41">
        <f>INDEX(DPD_NPA,MATCH(K591,DPD_From,1))</f>
        <v/>
      </c>
      <c r="T591" s="42">
        <f>INDEX(DPD_Prov,MATCH(K591,DPD_From,1))</f>
        <v/>
      </c>
      <c r="U591" s="40">
        <f>ROUND(O591*T591,0)</f>
        <v/>
      </c>
      <c r="V591" s="41">
        <f>INDEX(CIBIL_Grade,MATCH(J591,CIBIL_From,1))</f>
        <v/>
      </c>
      <c r="W591" s="41">
        <f>YEAR(F591)&amp;"-Q"&amp;ROUNDUP(MONTH(F591)/3,0)</f>
        <v/>
      </c>
      <c r="X591" s="41">
        <f>IF(AND(OR(Dashboard!$C$4="All",D591=Dashboard!$C$4),OR(Dashboard!$C$5="All",E591=Dashboard!$C$5)),1,0)</f>
        <v/>
      </c>
      <c r="Y591" s="43">
        <f>IF(AND(X591=1,S591="Yes"),O591+ROW()/1000000,0)</f>
        <v/>
      </c>
    </row>
    <row r="592">
      <c r="A592" s="35" t="inlineStr">
        <is>
          <t>LN100591</t>
        </is>
      </c>
      <c r="B592" s="35" t="inlineStr">
        <is>
          <t>Sai Verma</t>
        </is>
      </c>
      <c r="C592" s="35" t="inlineStr">
        <is>
          <t>KOC-01</t>
        </is>
      </c>
      <c r="D592" s="36">
        <f>INDEX(Branches!$C$2:$C$15,MATCH(C592,Branches!$A$2:$A$15,0))</f>
        <v/>
      </c>
      <c r="E592" s="35" t="inlineStr">
        <is>
          <t>Gold Loan</t>
        </is>
      </c>
      <c r="F592" s="37" t="n">
        <v>45177</v>
      </c>
      <c r="G592" s="38" t="n">
        <v>61000</v>
      </c>
      <c r="H592" s="39" t="n">
        <v>0.1199</v>
      </c>
      <c r="I592" s="35" t="n">
        <v>12</v>
      </c>
      <c r="J592" s="35" t="n">
        <v>802</v>
      </c>
      <c r="K592" s="35" t="n">
        <v>0</v>
      </c>
      <c r="L592" s="40">
        <f>ROUND(PMT(H592/12,I592,-G592),0)</f>
        <v/>
      </c>
      <c r="M592" s="41">
        <f>MAX(0,(YEAR(AsOfDate)-YEAR(F592))*12+MONTH(AsOfDate)-MONTH(F592))</f>
        <v/>
      </c>
      <c r="N592" s="41">
        <f>MAX(0,MIN(I592,M592)-INT(K592/30))</f>
        <v/>
      </c>
      <c r="O592" s="40">
        <f>IF(N592&gt;=I592,0,ROUND(PV(H592/12,I592-N592,-L592),0))</f>
        <v/>
      </c>
      <c r="P592" s="40">
        <f>MIN(I592,M592)*L592-N592*L592</f>
        <v/>
      </c>
      <c r="Q592" s="41">
        <f>INDEX(DPD_Bucket,MATCH(K592,DPD_From,1))</f>
        <v/>
      </c>
      <c r="R592" s="41">
        <f>INDEX(DPD_Class,MATCH(K592,DPD_From,1))</f>
        <v/>
      </c>
      <c r="S592" s="41">
        <f>INDEX(DPD_NPA,MATCH(K592,DPD_From,1))</f>
        <v/>
      </c>
      <c r="T592" s="42">
        <f>INDEX(DPD_Prov,MATCH(K592,DPD_From,1))</f>
        <v/>
      </c>
      <c r="U592" s="40">
        <f>ROUND(O592*T592,0)</f>
        <v/>
      </c>
      <c r="V592" s="41">
        <f>INDEX(CIBIL_Grade,MATCH(J592,CIBIL_From,1))</f>
        <v/>
      </c>
      <c r="W592" s="41">
        <f>YEAR(F592)&amp;"-Q"&amp;ROUNDUP(MONTH(F592)/3,0)</f>
        <v/>
      </c>
      <c r="X592" s="41">
        <f>IF(AND(OR(Dashboard!$C$4="All",D592=Dashboard!$C$4),OR(Dashboard!$C$5="All",E592=Dashboard!$C$5)),1,0)</f>
        <v/>
      </c>
      <c r="Y592" s="43">
        <f>IF(AND(X592=1,S592="Yes"),O592+ROW()/1000000,0)</f>
        <v/>
      </c>
    </row>
    <row r="593">
      <c r="A593" s="35" t="inlineStr">
        <is>
          <t>LN100592</t>
        </is>
      </c>
      <c r="B593" s="35" t="inlineStr">
        <is>
          <t>Lakshmi Singh</t>
        </is>
      </c>
      <c r="C593" s="35" t="inlineStr">
        <is>
          <t>DEL-01</t>
        </is>
      </c>
      <c r="D593" s="36">
        <f>INDEX(Branches!$C$2:$C$15,MATCH(C593,Branches!$A$2:$A$15,0))</f>
        <v/>
      </c>
      <c r="E593" s="35" t="inlineStr">
        <is>
          <t>Auto Loan</t>
        </is>
      </c>
      <c r="F593" s="37" t="n">
        <v>46044</v>
      </c>
      <c r="G593" s="38" t="n">
        <v>1254000</v>
      </c>
      <c r="H593" s="39" t="n">
        <v>0.1149</v>
      </c>
      <c r="I593" s="35" t="n">
        <v>84</v>
      </c>
      <c r="J593" s="35" t="n">
        <v>774</v>
      </c>
      <c r="K593" s="35" t="n">
        <v>0</v>
      </c>
      <c r="L593" s="40">
        <f>ROUND(PMT(H593/12,I593,-G593),0)</f>
        <v/>
      </c>
      <c r="M593" s="41">
        <f>MAX(0,(YEAR(AsOfDate)-YEAR(F593))*12+MONTH(AsOfDate)-MONTH(F593))</f>
        <v/>
      </c>
      <c r="N593" s="41">
        <f>MAX(0,MIN(I593,M593)-INT(K593/30))</f>
        <v/>
      </c>
      <c r="O593" s="40">
        <f>IF(N593&gt;=I593,0,ROUND(PV(H593/12,I593-N593,-L593),0))</f>
        <v/>
      </c>
      <c r="P593" s="40">
        <f>MIN(I593,M593)*L593-N593*L593</f>
        <v/>
      </c>
      <c r="Q593" s="41">
        <f>INDEX(DPD_Bucket,MATCH(K593,DPD_From,1))</f>
        <v/>
      </c>
      <c r="R593" s="41">
        <f>INDEX(DPD_Class,MATCH(K593,DPD_From,1))</f>
        <v/>
      </c>
      <c r="S593" s="41">
        <f>INDEX(DPD_NPA,MATCH(K593,DPD_From,1))</f>
        <v/>
      </c>
      <c r="T593" s="42">
        <f>INDEX(DPD_Prov,MATCH(K593,DPD_From,1))</f>
        <v/>
      </c>
      <c r="U593" s="40">
        <f>ROUND(O593*T593,0)</f>
        <v/>
      </c>
      <c r="V593" s="41">
        <f>INDEX(CIBIL_Grade,MATCH(J593,CIBIL_From,1))</f>
        <v/>
      </c>
      <c r="W593" s="41">
        <f>YEAR(F593)&amp;"-Q"&amp;ROUNDUP(MONTH(F593)/3,0)</f>
        <v/>
      </c>
      <c r="X593" s="41">
        <f>IF(AND(OR(Dashboard!$C$4="All",D593=Dashboard!$C$4),OR(Dashboard!$C$5="All",E593=Dashboard!$C$5)),1,0)</f>
        <v/>
      </c>
      <c r="Y593" s="43">
        <f>IF(AND(X593=1,S593="Yes"),O593+ROW()/1000000,0)</f>
        <v/>
      </c>
    </row>
    <row r="594">
      <c r="A594" s="35" t="inlineStr">
        <is>
          <t>LN100593</t>
        </is>
      </c>
      <c r="B594" s="35" t="inlineStr">
        <is>
          <t>Kavya Nair</t>
        </is>
      </c>
      <c r="C594" s="35" t="inlineStr">
        <is>
          <t>KOC-01</t>
        </is>
      </c>
      <c r="D594" s="36">
        <f>INDEX(Branches!$C$2:$C$15,MATCH(C594,Branches!$A$2:$A$15,0))</f>
        <v/>
      </c>
      <c r="E594" s="35" t="inlineStr">
        <is>
          <t>Personal Loan</t>
        </is>
      </c>
      <c r="F594" s="37" t="n">
        <v>46098</v>
      </c>
      <c r="G594" s="38" t="n">
        <v>1230000</v>
      </c>
      <c r="H594" s="39" t="n">
        <v>0.155</v>
      </c>
      <c r="I594" s="35" t="n">
        <v>12</v>
      </c>
      <c r="J594" s="35" t="n">
        <v>708</v>
      </c>
      <c r="K594" s="35" t="n">
        <v>0</v>
      </c>
      <c r="L594" s="40">
        <f>ROUND(PMT(H594/12,I594,-G594),0)</f>
        <v/>
      </c>
      <c r="M594" s="41">
        <f>MAX(0,(YEAR(AsOfDate)-YEAR(F594))*12+MONTH(AsOfDate)-MONTH(F594))</f>
        <v/>
      </c>
      <c r="N594" s="41">
        <f>MAX(0,MIN(I594,M594)-INT(K594/30))</f>
        <v/>
      </c>
      <c r="O594" s="40">
        <f>IF(N594&gt;=I594,0,ROUND(PV(H594/12,I594-N594,-L594),0))</f>
        <v/>
      </c>
      <c r="P594" s="40">
        <f>MIN(I594,M594)*L594-N594*L594</f>
        <v/>
      </c>
      <c r="Q594" s="41">
        <f>INDEX(DPD_Bucket,MATCH(K594,DPD_From,1))</f>
        <v/>
      </c>
      <c r="R594" s="41">
        <f>INDEX(DPD_Class,MATCH(K594,DPD_From,1))</f>
        <v/>
      </c>
      <c r="S594" s="41">
        <f>INDEX(DPD_NPA,MATCH(K594,DPD_From,1))</f>
        <v/>
      </c>
      <c r="T594" s="42">
        <f>INDEX(DPD_Prov,MATCH(K594,DPD_From,1))</f>
        <v/>
      </c>
      <c r="U594" s="40">
        <f>ROUND(O594*T594,0)</f>
        <v/>
      </c>
      <c r="V594" s="41">
        <f>INDEX(CIBIL_Grade,MATCH(J594,CIBIL_From,1))</f>
        <v/>
      </c>
      <c r="W594" s="41">
        <f>YEAR(F594)&amp;"-Q"&amp;ROUNDUP(MONTH(F594)/3,0)</f>
        <v/>
      </c>
      <c r="X594" s="41">
        <f>IF(AND(OR(Dashboard!$C$4="All",D594=Dashboard!$C$4),OR(Dashboard!$C$5="All",E594=Dashboard!$C$5)),1,0)</f>
        <v/>
      </c>
      <c r="Y594" s="43">
        <f>IF(AND(X594=1,S594="Yes"),O594+ROW()/1000000,0)</f>
        <v/>
      </c>
    </row>
    <row r="595">
      <c r="A595" s="35" t="inlineStr">
        <is>
          <t>LN100594</t>
        </is>
      </c>
      <c r="B595" s="35" t="inlineStr">
        <is>
          <t>Kabir Iyer</t>
        </is>
      </c>
      <c r="C595" s="35" t="inlineStr">
        <is>
          <t>BLR-01</t>
        </is>
      </c>
      <c r="D595" s="36">
        <f>INDEX(Branches!$C$2:$C$15,MATCH(C595,Branches!$A$2:$A$15,0))</f>
        <v/>
      </c>
      <c r="E595" s="35" t="inlineStr">
        <is>
          <t>Personal Loan</t>
        </is>
      </c>
      <c r="F595" s="37" t="n">
        <v>45868</v>
      </c>
      <c r="G595" s="38" t="n">
        <v>1130000</v>
      </c>
      <c r="H595" s="39" t="n">
        <v>0.1417</v>
      </c>
      <c r="I595" s="35" t="n">
        <v>60</v>
      </c>
      <c r="J595" s="35" t="n">
        <v>777</v>
      </c>
      <c r="K595" s="35" t="n">
        <v>0</v>
      </c>
      <c r="L595" s="40">
        <f>ROUND(PMT(H595/12,I595,-G595),0)</f>
        <v/>
      </c>
      <c r="M595" s="41">
        <f>MAX(0,(YEAR(AsOfDate)-YEAR(F595))*12+MONTH(AsOfDate)-MONTH(F595))</f>
        <v/>
      </c>
      <c r="N595" s="41">
        <f>MAX(0,MIN(I595,M595)-INT(K595/30))</f>
        <v/>
      </c>
      <c r="O595" s="40">
        <f>IF(N595&gt;=I595,0,ROUND(PV(H595/12,I595-N595,-L595),0))</f>
        <v/>
      </c>
      <c r="P595" s="40">
        <f>MIN(I595,M595)*L595-N595*L595</f>
        <v/>
      </c>
      <c r="Q595" s="41">
        <f>INDEX(DPD_Bucket,MATCH(K595,DPD_From,1))</f>
        <v/>
      </c>
      <c r="R595" s="41">
        <f>INDEX(DPD_Class,MATCH(K595,DPD_From,1))</f>
        <v/>
      </c>
      <c r="S595" s="41">
        <f>INDEX(DPD_NPA,MATCH(K595,DPD_From,1))</f>
        <v/>
      </c>
      <c r="T595" s="42">
        <f>INDEX(DPD_Prov,MATCH(K595,DPD_From,1))</f>
        <v/>
      </c>
      <c r="U595" s="40">
        <f>ROUND(O595*T595,0)</f>
        <v/>
      </c>
      <c r="V595" s="41">
        <f>INDEX(CIBIL_Grade,MATCH(J595,CIBIL_From,1))</f>
        <v/>
      </c>
      <c r="W595" s="41">
        <f>YEAR(F595)&amp;"-Q"&amp;ROUNDUP(MONTH(F595)/3,0)</f>
        <v/>
      </c>
      <c r="X595" s="41">
        <f>IF(AND(OR(Dashboard!$C$4="All",D595=Dashboard!$C$4),OR(Dashboard!$C$5="All",E595=Dashboard!$C$5)),1,0)</f>
        <v/>
      </c>
      <c r="Y595" s="43">
        <f>IF(AND(X595=1,S595="Yes"),O595+ROW()/1000000,0)</f>
        <v/>
      </c>
    </row>
    <row r="596">
      <c r="A596" s="35" t="inlineStr">
        <is>
          <t>LN100595</t>
        </is>
      </c>
      <c r="B596" s="35" t="inlineStr">
        <is>
          <t>Tanvi Mishra</t>
        </is>
      </c>
      <c r="C596" s="35" t="inlineStr">
        <is>
          <t>CHN-01</t>
        </is>
      </c>
      <c r="D596" s="36">
        <f>INDEX(Branches!$C$2:$C$15,MATCH(C596,Branches!$A$2:$A$15,0))</f>
        <v/>
      </c>
      <c r="E596" s="35" t="inlineStr">
        <is>
          <t>Home Loan</t>
        </is>
      </c>
      <c r="F596" s="37" t="n">
        <v>46080</v>
      </c>
      <c r="G596" s="38" t="n">
        <v>12631000</v>
      </c>
      <c r="H596" s="39" t="n">
        <v>0.08550000000000001</v>
      </c>
      <c r="I596" s="35" t="n">
        <v>240</v>
      </c>
      <c r="J596" s="35" t="n">
        <v>738</v>
      </c>
      <c r="K596" s="35" t="n">
        <v>32</v>
      </c>
      <c r="L596" s="40">
        <f>ROUND(PMT(H596/12,I596,-G596),0)</f>
        <v/>
      </c>
      <c r="M596" s="41">
        <f>MAX(0,(YEAR(AsOfDate)-YEAR(F596))*12+MONTH(AsOfDate)-MONTH(F596))</f>
        <v/>
      </c>
      <c r="N596" s="41">
        <f>MAX(0,MIN(I596,M596)-INT(K596/30))</f>
        <v/>
      </c>
      <c r="O596" s="40">
        <f>IF(N596&gt;=I596,0,ROUND(PV(H596/12,I596-N596,-L596),0))</f>
        <v/>
      </c>
      <c r="P596" s="40">
        <f>MIN(I596,M596)*L596-N596*L596</f>
        <v/>
      </c>
      <c r="Q596" s="41">
        <f>INDEX(DPD_Bucket,MATCH(K596,DPD_From,1))</f>
        <v/>
      </c>
      <c r="R596" s="41">
        <f>INDEX(DPD_Class,MATCH(K596,DPD_From,1))</f>
        <v/>
      </c>
      <c r="S596" s="41">
        <f>INDEX(DPD_NPA,MATCH(K596,DPD_From,1))</f>
        <v/>
      </c>
      <c r="T596" s="42">
        <f>INDEX(DPD_Prov,MATCH(K596,DPD_From,1))</f>
        <v/>
      </c>
      <c r="U596" s="40">
        <f>ROUND(O596*T596,0)</f>
        <v/>
      </c>
      <c r="V596" s="41">
        <f>INDEX(CIBIL_Grade,MATCH(J596,CIBIL_From,1))</f>
        <v/>
      </c>
      <c r="W596" s="41">
        <f>YEAR(F596)&amp;"-Q"&amp;ROUNDUP(MONTH(F596)/3,0)</f>
        <v/>
      </c>
      <c r="X596" s="41">
        <f>IF(AND(OR(Dashboard!$C$4="All",D596=Dashboard!$C$4),OR(Dashboard!$C$5="All",E596=Dashboard!$C$5)),1,0)</f>
        <v/>
      </c>
      <c r="Y596" s="43">
        <f>IF(AND(X596=1,S596="Yes"),O596+ROW()/1000000,0)</f>
        <v/>
      </c>
    </row>
    <row r="597">
      <c r="A597" s="35" t="inlineStr">
        <is>
          <t>LN100596</t>
        </is>
      </c>
      <c r="B597" s="35" t="inlineStr">
        <is>
          <t>Sai Rao</t>
        </is>
      </c>
      <c r="C597" s="35" t="inlineStr">
        <is>
          <t>GUW-01</t>
        </is>
      </c>
      <c r="D597" s="36">
        <f>INDEX(Branches!$C$2:$C$15,MATCH(C597,Branches!$A$2:$A$15,0))</f>
        <v/>
      </c>
      <c r="E597" s="35" t="inlineStr">
        <is>
          <t>Personal Loan</t>
        </is>
      </c>
      <c r="F597" s="37" t="n">
        <v>45722</v>
      </c>
      <c r="G597" s="38" t="n">
        <v>1451000</v>
      </c>
      <c r="H597" s="39" t="n">
        <v>0.121</v>
      </c>
      <c r="I597" s="35" t="n">
        <v>60</v>
      </c>
      <c r="J597" s="35" t="n">
        <v>814</v>
      </c>
      <c r="K597" s="35" t="n">
        <v>257</v>
      </c>
      <c r="L597" s="40">
        <f>ROUND(PMT(H597/12,I597,-G597),0)</f>
        <v/>
      </c>
      <c r="M597" s="41">
        <f>MAX(0,(YEAR(AsOfDate)-YEAR(F597))*12+MONTH(AsOfDate)-MONTH(F597))</f>
        <v/>
      </c>
      <c r="N597" s="41">
        <f>MAX(0,MIN(I597,M597)-INT(K597/30))</f>
        <v/>
      </c>
      <c r="O597" s="40">
        <f>IF(N597&gt;=I597,0,ROUND(PV(H597/12,I597-N597,-L597),0))</f>
        <v/>
      </c>
      <c r="P597" s="40">
        <f>MIN(I597,M597)*L597-N597*L597</f>
        <v/>
      </c>
      <c r="Q597" s="41">
        <f>INDEX(DPD_Bucket,MATCH(K597,DPD_From,1))</f>
        <v/>
      </c>
      <c r="R597" s="41">
        <f>INDEX(DPD_Class,MATCH(K597,DPD_From,1))</f>
        <v/>
      </c>
      <c r="S597" s="41">
        <f>INDEX(DPD_NPA,MATCH(K597,DPD_From,1))</f>
        <v/>
      </c>
      <c r="T597" s="42">
        <f>INDEX(DPD_Prov,MATCH(K597,DPD_From,1))</f>
        <v/>
      </c>
      <c r="U597" s="40">
        <f>ROUND(O597*T597,0)</f>
        <v/>
      </c>
      <c r="V597" s="41">
        <f>INDEX(CIBIL_Grade,MATCH(J597,CIBIL_From,1))</f>
        <v/>
      </c>
      <c r="W597" s="41">
        <f>YEAR(F597)&amp;"-Q"&amp;ROUNDUP(MONTH(F597)/3,0)</f>
        <v/>
      </c>
      <c r="X597" s="41">
        <f>IF(AND(OR(Dashboard!$C$4="All",D597=Dashboard!$C$4),OR(Dashboard!$C$5="All",E597=Dashboard!$C$5)),1,0)</f>
        <v/>
      </c>
      <c r="Y597" s="43">
        <f>IF(AND(X597=1,S597="Yes"),O597+ROW()/1000000,0)</f>
        <v/>
      </c>
    </row>
    <row r="598">
      <c r="A598" s="35" t="inlineStr">
        <is>
          <t>LN100597</t>
        </is>
      </c>
      <c r="B598" s="35" t="inlineStr">
        <is>
          <t>Reyansh Menon</t>
        </is>
      </c>
      <c r="C598" s="35" t="inlineStr">
        <is>
          <t>LKO-01</t>
        </is>
      </c>
      <c r="D598" s="36">
        <f>INDEX(Branches!$C$2:$C$15,MATCH(C598,Branches!$A$2:$A$15,0))</f>
        <v/>
      </c>
      <c r="E598" s="35" t="inlineStr">
        <is>
          <t>Home Loan</t>
        </is>
      </c>
      <c r="F598" s="37" t="n">
        <v>45486</v>
      </c>
      <c r="G598" s="38" t="n">
        <v>4145000</v>
      </c>
      <c r="H598" s="39" t="n">
        <v>0.08740000000000001</v>
      </c>
      <c r="I598" s="35" t="n">
        <v>120</v>
      </c>
      <c r="J598" s="35" t="n">
        <v>775</v>
      </c>
      <c r="K598" s="35" t="n">
        <v>0</v>
      </c>
      <c r="L598" s="40">
        <f>ROUND(PMT(H598/12,I598,-G598),0)</f>
        <v/>
      </c>
      <c r="M598" s="41">
        <f>MAX(0,(YEAR(AsOfDate)-YEAR(F598))*12+MONTH(AsOfDate)-MONTH(F598))</f>
        <v/>
      </c>
      <c r="N598" s="41">
        <f>MAX(0,MIN(I598,M598)-INT(K598/30))</f>
        <v/>
      </c>
      <c r="O598" s="40">
        <f>IF(N598&gt;=I598,0,ROUND(PV(H598/12,I598-N598,-L598),0))</f>
        <v/>
      </c>
      <c r="P598" s="40">
        <f>MIN(I598,M598)*L598-N598*L598</f>
        <v/>
      </c>
      <c r="Q598" s="41">
        <f>INDEX(DPD_Bucket,MATCH(K598,DPD_From,1))</f>
        <v/>
      </c>
      <c r="R598" s="41">
        <f>INDEX(DPD_Class,MATCH(K598,DPD_From,1))</f>
        <v/>
      </c>
      <c r="S598" s="41">
        <f>INDEX(DPD_NPA,MATCH(K598,DPD_From,1))</f>
        <v/>
      </c>
      <c r="T598" s="42">
        <f>INDEX(DPD_Prov,MATCH(K598,DPD_From,1))</f>
        <v/>
      </c>
      <c r="U598" s="40">
        <f>ROUND(O598*T598,0)</f>
        <v/>
      </c>
      <c r="V598" s="41">
        <f>INDEX(CIBIL_Grade,MATCH(J598,CIBIL_From,1))</f>
        <v/>
      </c>
      <c r="W598" s="41">
        <f>YEAR(F598)&amp;"-Q"&amp;ROUNDUP(MONTH(F598)/3,0)</f>
        <v/>
      </c>
      <c r="X598" s="41">
        <f>IF(AND(OR(Dashboard!$C$4="All",D598=Dashboard!$C$4),OR(Dashboard!$C$5="All",E598=Dashboard!$C$5)),1,0)</f>
        <v/>
      </c>
      <c r="Y598" s="43">
        <f>IF(AND(X598=1,S598="Yes"),O598+ROW()/1000000,0)</f>
        <v/>
      </c>
    </row>
    <row r="599">
      <c r="A599" s="35" t="inlineStr">
        <is>
          <t>LN100598</t>
        </is>
      </c>
      <c r="B599" s="35" t="inlineStr">
        <is>
          <t>Lakshmi Sahoo</t>
        </is>
      </c>
      <c r="C599" s="35" t="inlineStr">
        <is>
          <t>AMD-01</t>
        </is>
      </c>
      <c r="D599" s="36">
        <f>INDEX(Branches!$C$2:$C$15,MATCH(C599,Branches!$A$2:$A$15,0))</f>
        <v/>
      </c>
      <c r="E599" s="35" t="inlineStr">
        <is>
          <t>Personal Loan</t>
        </is>
      </c>
      <c r="F599" s="37" t="n">
        <v>45969</v>
      </c>
      <c r="G599" s="38" t="n">
        <v>1189000</v>
      </c>
      <c r="H599" s="39" t="n">
        <v>0.1062</v>
      </c>
      <c r="I599" s="35" t="n">
        <v>24</v>
      </c>
      <c r="J599" s="35" t="n">
        <v>752</v>
      </c>
      <c r="K599" s="35" t="n">
        <v>0</v>
      </c>
      <c r="L599" s="40">
        <f>ROUND(PMT(H599/12,I599,-G599),0)</f>
        <v/>
      </c>
      <c r="M599" s="41">
        <f>MAX(0,(YEAR(AsOfDate)-YEAR(F599))*12+MONTH(AsOfDate)-MONTH(F599))</f>
        <v/>
      </c>
      <c r="N599" s="41">
        <f>MAX(0,MIN(I599,M599)-INT(K599/30))</f>
        <v/>
      </c>
      <c r="O599" s="40">
        <f>IF(N599&gt;=I599,0,ROUND(PV(H599/12,I599-N599,-L599),0))</f>
        <v/>
      </c>
      <c r="P599" s="40">
        <f>MIN(I599,M599)*L599-N599*L599</f>
        <v/>
      </c>
      <c r="Q599" s="41">
        <f>INDEX(DPD_Bucket,MATCH(K599,DPD_From,1))</f>
        <v/>
      </c>
      <c r="R599" s="41">
        <f>INDEX(DPD_Class,MATCH(K599,DPD_From,1))</f>
        <v/>
      </c>
      <c r="S599" s="41">
        <f>INDEX(DPD_NPA,MATCH(K599,DPD_From,1))</f>
        <v/>
      </c>
      <c r="T599" s="42">
        <f>INDEX(DPD_Prov,MATCH(K599,DPD_From,1))</f>
        <v/>
      </c>
      <c r="U599" s="40">
        <f>ROUND(O599*T599,0)</f>
        <v/>
      </c>
      <c r="V599" s="41">
        <f>INDEX(CIBIL_Grade,MATCH(J599,CIBIL_From,1))</f>
        <v/>
      </c>
      <c r="W599" s="41">
        <f>YEAR(F599)&amp;"-Q"&amp;ROUNDUP(MONTH(F599)/3,0)</f>
        <v/>
      </c>
      <c r="X599" s="41">
        <f>IF(AND(OR(Dashboard!$C$4="All",D599=Dashboard!$C$4),OR(Dashboard!$C$5="All",E599=Dashboard!$C$5)),1,0)</f>
        <v/>
      </c>
      <c r="Y599" s="43">
        <f>IF(AND(X599=1,S599="Yes"),O599+ROW()/1000000,0)</f>
        <v/>
      </c>
    </row>
    <row r="600">
      <c r="A600" s="35" t="inlineStr">
        <is>
          <t>LN100599</t>
        </is>
      </c>
      <c r="B600" s="35" t="inlineStr">
        <is>
          <t>Swati Singh</t>
        </is>
      </c>
      <c r="C600" s="35" t="inlineStr">
        <is>
          <t>AMD-01</t>
        </is>
      </c>
      <c r="D600" s="36">
        <f>INDEX(Branches!$C$2:$C$15,MATCH(C600,Branches!$A$2:$A$15,0))</f>
        <v/>
      </c>
      <c r="E600" s="35" t="inlineStr">
        <is>
          <t>Personal Loan</t>
        </is>
      </c>
      <c r="F600" s="37" t="n">
        <v>46159</v>
      </c>
      <c r="G600" s="38" t="n">
        <v>1071000</v>
      </c>
      <c r="H600" s="39" t="n">
        <v>0.1644</v>
      </c>
      <c r="I600" s="35" t="n">
        <v>12</v>
      </c>
      <c r="J600" s="35" t="n">
        <v>745</v>
      </c>
      <c r="K600" s="35" t="n">
        <v>0</v>
      </c>
      <c r="L600" s="40">
        <f>ROUND(PMT(H600/12,I600,-G600),0)</f>
        <v/>
      </c>
      <c r="M600" s="41">
        <f>MAX(0,(YEAR(AsOfDate)-YEAR(F600))*12+MONTH(AsOfDate)-MONTH(F600))</f>
        <v/>
      </c>
      <c r="N600" s="41">
        <f>MAX(0,MIN(I600,M600)-INT(K600/30))</f>
        <v/>
      </c>
      <c r="O600" s="40">
        <f>IF(N600&gt;=I600,0,ROUND(PV(H600/12,I600-N600,-L600),0))</f>
        <v/>
      </c>
      <c r="P600" s="40">
        <f>MIN(I600,M600)*L600-N600*L600</f>
        <v/>
      </c>
      <c r="Q600" s="41">
        <f>INDEX(DPD_Bucket,MATCH(K600,DPD_From,1))</f>
        <v/>
      </c>
      <c r="R600" s="41">
        <f>INDEX(DPD_Class,MATCH(K600,DPD_From,1))</f>
        <v/>
      </c>
      <c r="S600" s="41">
        <f>INDEX(DPD_NPA,MATCH(K600,DPD_From,1))</f>
        <v/>
      </c>
      <c r="T600" s="42">
        <f>INDEX(DPD_Prov,MATCH(K600,DPD_From,1))</f>
        <v/>
      </c>
      <c r="U600" s="40">
        <f>ROUND(O600*T600,0)</f>
        <v/>
      </c>
      <c r="V600" s="41">
        <f>INDEX(CIBIL_Grade,MATCH(J600,CIBIL_From,1))</f>
        <v/>
      </c>
      <c r="W600" s="41">
        <f>YEAR(F600)&amp;"-Q"&amp;ROUNDUP(MONTH(F600)/3,0)</f>
        <v/>
      </c>
      <c r="X600" s="41">
        <f>IF(AND(OR(Dashboard!$C$4="All",D600=Dashboard!$C$4),OR(Dashboard!$C$5="All",E600=Dashboard!$C$5)),1,0)</f>
        <v/>
      </c>
      <c r="Y600" s="43">
        <f>IF(AND(X600=1,S600="Yes"),O600+ROW()/1000000,0)</f>
        <v/>
      </c>
    </row>
    <row r="601">
      <c r="A601" s="35" t="inlineStr">
        <is>
          <t>LN100600</t>
        </is>
      </c>
      <c r="B601" s="35" t="inlineStr">
        <is>
          <t>Ananya Chatterjee</t>
        </is>
      </c>
      <c r="C601" s="35" t="inlineStr">
        <is>
          <t>DEL-01</t>
        </is>
      </c>
      <c r="D601" s="36">
        <f>INDEX(Branches!$C$2:$C$15,MATCH(C601,Branches!$A$2:$A$15,0))</f>
        <v/>
      </c>
      <c r="E601" s="35" t="inlineStr">
        <is>
          <t>Personal Loan</t>
        </is>
      </c>
      <c r="F601" s="37" t="n">
        <v>45751</v>
      </c>
      <c r="G601" s="38" t="n">
        <v>677000</v>
      </c>
      <c r="H601" s="39" t="n">
        <v>0.1754</v>
      </c>
      <c r="I601" s="35" t="n">
        <v>24</v>
      </c>
      <c r="J601" s="35" t="n">
        <v>756</v>
      </c>
      <c r="K601" s="35" t="n">
        <v>0</v>
      </c>
      <c r="L601" s="40">
        <f>ROUND(PMT(H601/12,I601,-G601),0)</f>
        <v/>
      </c>
      <c r="M601" s="41">
        <f>MAX(0,(YEAR(AsOfDate)-YEAR(F601))*12+MONTH(AsOfDate)-MONTH(F601))</f>
        <v/>
      </c>
      <c r="N601" s="41">
        <f>MAX(0,MIN(I601,M601)-INT(K601/30))</f>
        <v/>
      </c>
      <c r="O601" s="40">
        <f>IF(N601&gt;=I601,0,ROUND(PV(H601/12,I601-N601,-L601),0))</f>
        <v/>
      </c>
      <c r="P601" s="40">
        <f>MIN(I601,M601)*L601-N601*L601</f>
        <v/>
      </c>
      <c r="Q601" s="41">
        <f>INDEX(DPD_Bucket,MATCH(K601,DPD_From,1))</f>
        <v/>
      </c>
      <c r="R601" s="41">
        <f>INDEX(DPD_Class,MATCH(K601,DPD_From,1))</f>
        <v/>
      </c>
      <c r="S601" s="41">
        <f>INDEX(DPD_NPA,MATCH(K601,DPD_From,1))</f>
        <v/>
      </c>
      <c r="T601" s="42">
        <f>INDEX(DPD_Prov,MATCH(K601,DPD_From,1))</f>
        <v/>
      </c>
      <c r="U601" s="40">
        <f>ROUND(O601*T601,0)</f>
        <v/>
      </c>
      <c r="V601" s="41">
        <f>INDEX(CIBIL_Grade,MATCH(J601,CIBIL_From,1))</f>
        <v/>
      </c>
      <c r="W601" s="41">
        <f>YEAR(F601)&amp;"-Q"&amp;ROUNDUP(MONTH(F601)/3,0)</f>
        <v/>
      </c>
      <c r="X601" s="41">
        <f>IF(AND(OR(Dashboard!$C$4="All",D601=Dashboard!$C$4),OR(Dashboard!$C$5="All",E601=Dashboard!$C$5)),1,0)</f>
        <v/>
      </c>
      <c r="Y601" s="43">
        <f>IF(AND(X601=1,S601="Yes"),O601+ROW()/1000000,0)</f>
        <v/>
      </c>
    </row>
    <row r="602">
      <c r="A602" s="35" t="inlineStr">
        <is>
          <t>LN100601</t>
        </is>
      </c>
      <c r="B602" s="35" t="inlineStr">
        <is>
          <t>Ishaan Nair</t>
        </is>
      </c>
      <c r="C602" s="35" t="inlineStr">
        <is>
          <t>LKO-01</t>
        </is>
      </c>
      <c r="D602" s="36">
        <f>INDEX(Branches!$C$2:$C$15,MATCH(C602,Branches!$A$2:$A$15,0))</f>
        <v/>
      </c>
      <c r="E602" s="35" t="inlineStr">
        <is>
          <t>Personal Loan</t>
        </is>
      </c>
      <c r="F602" s="37" t="n">
        <v>45805</v>
      </c>
      <c r="G602" s="38" t="n">
        <v>1468000</v>
      </c>
      <c r="H602" s="39" t="n">
        <v>0.1514</v>
      </c>
      <c r="I602" s="35" t="n">
        <v>12</v>
      </c>
      <c r="J602" s="35" t="n">
        <v>719</v>
      </c>
      <c r="K602" s="35" t="n">
        <v>0</v>
      </c>
      <c r="L602" s="40">
        <f>ROUND(PMT(H602/12,I602,-G602),0)</f>
        <v/>
      </c>
      <c r="M602" s="41">
        <f>MAX(0,(YEAR(AsOfDate)-YEAR(F602))*12+MONTH(AsOfDate)-MONTH(F602))</f>
        <v/>
      </c>
      <c r="N602" s="41">
        <f>MAX(0,MIN(I602,M602)-INT(K602/30))</f>
        <v/>
      </c>
      <c r="O602" s="40">
        <f>IF(N602&gt;=I602,0,ROUND(PV(H602/12,I602-N602,-L602),0))</f>
        <v/>
      </c>
      <c r="P602" s="40">
        <f>MIN(I602,M602)*L602-N602*L602</f>
        <v/>
      </c>
      <c r="Q602" s="41">
        <f>INDEX(DPD_Bucket,MATCH(K602,DPD_From,1))</f>
        <v/>
      </c>
      <c r="R602" s="41">
        <f>INDEX(DPD_Class,MATCH(K602,DPD_From,1))</f>
        <v/>
      </c>
      <c r="S602" s="41">
        <f>INDEX(DPD_NPA,MATCH(K602,DPD_From,1))</f>
        <v/>
      </c>
      <c r="T602" s="42">
        <f>INDEX(DPD_Prov,MATCH(K602,DPD_From,1))</f>
        <v/>
      </c>
      <c r="U602" s="40">
        <f>ROUND(O602*T602,0)</f>
        <v/>
      </c>
      <c r="V602" s="41">
        <f>INDEX(CIBIL_Grade,MATCH(J602,CIBIL_From,1))</f>
        <v/>
      </c>
      <c r="W602" s="41">
        <f>YEAR(F602)&amp;"-Q"&amp;ROUNDUP(MONTH(F602)/3,0)</f>
        <v/>
      </c>
      <c r="X602" s="41">
        <f>IF(AND(OR(Dashboard!$C$4="All",D602=Dashboard!$C$4),OR(Dashboard!$C$5="All",E602=Dashboard!$C$5)),1,0)</f>
        <v/>
      </c>
      <c r="Y602" s="43">
        <f>IF(AND(X602=1,S602="Yes"),O602+ROW()/1000000,0)</f>
        <v/>
      </c>
    </row>
    <row r="603">
      <c r="A603" s="35" t="inlineStr">
        <is>
          <t>LN100602</t>
        </is>
      </c>
      <c r="B603" s="35" t="inlineStr">
        <is>
          <t>Deepa Das</t>
        </is>
      </c>
      <c r="C603" s="35" t="inlineStr">
        <is>
          <t>MUM-01</t>
        </is>
      </c>
      <c r="D603" s="36">
        <f>INDEX(Branches!$C$2:$C$15,MATCH(C603,Branches!$A$2:$A$15,0))</f>
        <v/>
      </c>
      <c r="E603" s="35" t="inlineStr">
        <is>
          <t>Business Loan</t>
        </is>
      </c>
      <c r="F603" s="37" t="n">
        <v>45223</v>
      </c>
      <c r="G603" s="38" t="n">
        <v>739000</v>
      </c>
      <c r="H603" s="39" t="n">
        <v>0.1379</v>
      </c>
      <c r="I603" s="35" t="n">
        <v>24</v>
      </c>
      <c r="J603" s="35" t="n">
        <v>660</v>
      </c>
      <c r="K603" s="35" t="n">
        <v>0</v>
      </c>
      <c r="L603" s="40">
        <f>ROUND(PMT(H603/12,I603,-G603),0)</f>
        <v/>
      </c>
      <c r="M603" s="41">
        <f>MAX(0,(YEAR(AsOfDate)-YEAR(F603))*12+MONTH(AsOfDate)-MONTH(F603))</f>
        <v/>
      </c>
      <c r="N603" s="41">
        <f>MAX(0,MIN(I603,M603)-INT(K603/30))</f>
        <v/>
      </c>
      <c r="O603" s="40">
        <f>IF(N603&gt;=I603,0,ROUND(PV(H603/12,I603-N603,-L603),0))</f>
        <v/>
      </c>
      <c r="P603" s="40">
        <f>MIN(I603,M603)*L603-N603*L603</f>
        <v/>
      </c>
      <c r="Q603" s="41">
        <f>INDEX(DPD_Bucket,MATCH(K603,DPD_From,1))</f>
        <v/>
      </c>
      <c r="R603" s="41">
        <f>INDEX(DPD_Class,MATCH(K603,DPD_From,1))</f>
        <v/>
      </c>
      <c r="S603" s="41">
        <f>INDEX(DPD_NPA,MATCH(K603,DPD_From,1))</f>
        <v/>
      </c>
      <c r="T603" s="42">
        <f>INDEX(DPD_Prov,MATCH(K603,DPD_From,1))</f>
        <v/>
      </c>
      <c r="U603" s="40">
        <f>ROUND(O603*T603,0)</f>
        <v/>
      </c>
      <c r="V603" s="41">
        <f>INDEX(CIBIL_Grade,MATCH(J603,CIBIL_From,1))</f>
        <v/>
      </c>
      <c r="W603" s="41">
        <f>YEAR(F603)&amp;"-Q"&amp;ROUNDUP(MONTH(F603)/3,0)</f>
        <v/>
      </c>
      <c r="X603" s="41">
        <f>IF(AND(OR(Dashboard!$C$4="All",D603=Dashboard!$C$4),OR(Dashboard!$C$5="All",E603=Dashboard!$C$5)),1,0)</f>
        <v/>
      </c>
      <c r="Y603" s="43">
        <f>IF(AND(X603=1,S603="Yes"),O603+ROW()/1000000,0)</f>
        <v/>
      </c>
    </row>
    <row r="604">
      <c r="A604" s="35" t="inlineStr">
        <is>
          <t>LN100603</t>
        </is>
      </c>
      <c r="B604" s="35" t="inlineStr">
        <is>
          <t>Lakshmi Menon</t>
        </is>
      </c>
      <c r="C604" s="35" t="inlineStr">
        <is>
          <t>MUM-01</t>
        </is>
      </c>
      <c r="D604" s="36">
        <f>INDEX(Branches!$C$2:$C$15,MATCH(C604,Branches!$A$2:$A$15,0))</f>
        <v/>
      </c>
      <c r="E604" s="35" t="inlineStr">
        <is>
          <t>Home Loan</t>
        </is>
      </c>
      <c r="F604" s="37" t="n">
        <v>45155</v>
      </c>
      <c r="G604" s="38" t="n">
        <v>4725000</v>
      </c>
      <c r="H604" s="39" t="n">
        <v>0.08749999999999999</v>
      </c>
      <c r="I604" s="35" t="n">
        <v>180</v>
      </c>
      <c r="J604" s="35" t="n">
        <v>771</v>
      </c>
      <c r="K604" s="35" t="n">
        <v>0</v>
      </c>
      <c r="L604" s="40">
        <f>ROUND(PMT(H604/12,I604,-G604),0)</f>
        <v/>
      </c>
      <c r="M604" s="41">
        <f>MAX(0,(YEAR(AsOfDate)-YEAR(F604))*12+MONTH(AsOfDate)-MONTH(F604))</f>
        <v/>
      </c>
      <c r="N604" s="41">
        <f>MAX(0,MIN(I604,M604)-INT(K604/30))</f>
        <v/>
      </c>
      <c r="O604" s="40">
        <f>IF(N604&gt;=I604,0,ROUND(PV(H604/12,I604-N604,-L604),0))</f>
        <v/>
      </c>
      <c r="P604" s="40">
        <f>MIN(I604,M604)*L604-N604*L604</f>
        <v/>
      </c>
      <c r="Q604" s="41">
        <f>INDEX(DPD_Bucket,MATCH(K604,DPD_From,1))</f>
        <v/>
      </c>
      <c r="R604" s="41">
        <f>INDEX(DPD_Class,MATCH(K604,DPD_From,1))</f>
        <v/>
      </c>
      <c r="S604" s="41">
        <f>INDEX(DPD_NPA,MATCH(K604,DPD_From,1))</f>
        <v/>
      </c>
      <c r="T604" s="42">
        <f>INDEX(DPD_Prov,MATCH(K604,DPD_From,1))</f>
        <v/>
      </c>
      <c r="U604" s="40">
        <f>ROUND(O604*T604,0)</f>
        <v/>
      </c>
      <c r="V604" s="41">
        <f>INDEX(CIBIL_Grade,MATCH(J604,CIBIL_From,1))</f>
        <v/>
      </c>
      <c r="W604" s="41">
        <f>YEAR(F604)&amp;"-Q"&amp;ROUNDUP(MONTH(F604)/3,0)</f>
        <v/>
      </c>
      <c r="X604" s="41">
        <f>IF(AND(OR(Dashboard!$C$4="All",D604=Dashboard!$C$4),OR(Dashboard!$C$5="All",E604=Dashboard!$C$5)),1,0)</f>
        <v/>
      </c>
      <c r="Y604" s="43">
        <f>IF(AND(X604=1,S604="Yes"),O604+ROW()/1000000,0)</f>
        <v/>
      </c>
    </row>
    <row r="605">
      <c r="A605" s="35" t="inlineStr">
        <is>
          <t>LN100604</t>
        </is>
      </c>
      <c r="B605" s="35" t="inlineStr">
        <is>
          <t>Arjun Iyer</t>
        </is>
      </c>
      <c r="C605" s="35" t="inlineStr">
        <is>
          <t>KOC-01</t>
        </is>
      </c>
      <c r="D605" s="36">
        <f>INDEX(Branches!$C$2:$C$15,MATCH(C605,Branches!$A$2:$A$15,0))</f>
        <v/>
      </c>
      <c r="E605" s="35" t="inlineStr">
        <is>
          <t>Personal Loan</t>
        </is>
      </c>
      <c r="F605" s="37" t="n">
        <v>46085</v>
      </c>
      <c r="G605" s="38" t="n">
        <v>1110000</v>
      </c>
      <c r="H605" s="39" t="n">
        <v>0.1495</v>
      </c>
      <c r="I605" s="35" t="n">
        <v>48</v>
      </c>
      <c r="J605" s="35" t="n">
        <v>808</v>
      </c>
      <c r="K605" s="35" t="n">
        <v>75</v>
      </c>
      <c r="L605" s="40">
        <f>ROUND(PMT(H605/12,I605,-G605),0)</f>
        <v/>
      </c>
      <c r="M605" s="41">
        <f>MAX(0,(YEAR(AsOfDate)-YEAR(F605))*12+MONTH(AsOfDate)-MONTH(F605))</f>
        <v/>
      </c>
      <c r="N605" s="41">
        <f>MAX(0,MIN(I605,M605)-INT(K605/30))</f>
        <v/>
      </c>
      <c r="O605" s="40">
        <f>IF(N605&gt;=I605,0,ROUND(PV(H605/12,I605-N605,-L605),0))</f>
        <v/>
      </c>
      <c r="P605" s="40">
        <f>MIN(I605,M605)*L605-N605*L605</f>
        <v/>
      </c>
      <c r="Q605" s="41">
        <f>INDEX(DPD_Bucket,MATCH(K605,DPD_From,1))</f>
        <v/>
      </c>
      <c r="R605" s="41">
        <f>INDEX(DPD_Class,MATCH(K605,DPD_From,1))</f>
        <v/>
      </c>
      <c r="S605" s="41">
        <f>INDEX(DPD_NPA,MATCH(K605,DPD_From,1))</f>
        <v/>
      </c>
      <c r="T605" s="42">
        <f>INDEX(DPD_Prov,MATCH(K605,DPD_From,1))</f>
        <v/>
      </c>
      <c r="U605" s="40">
        <f>ROUND(O605*T605,0)</f>
        <v/>
      </c>
      <c r="V605" s="41">
        <f>INDEX(CIBIL_Grade,MATCH(J605,CIBIL_From,1))</f>
        <v/>
      </c>
      <c r="W605" s="41">
        <f>YEAR(F605)&amp;"-Q"&amp;ROUNDUP(MONTH(F605)/3,0)</f>
        <v/>
      </c>
      <c r="X605" s="41">
        <f>IF(AND(OR(Dashboard!$C$4="All",D605=Dashboard!$C$4),OR(Dashboard!$C$5="All",E605=Dashboard!$C$5)),1,0)</f>
        <v/>
      </c>
      <c r="Y605" s="43">
        <f>IF(AND(X605=1,S605="Yes"),O605+ROW()/1000000,0)</f>
        <v/>
      </c>
    </row>
    <row r="606">
      <c r="A606" s="35" t="inlineStr">
        <is>
          <t>LN100605</t>
        </is>
      </c>
      <c r="B606" s="35" t="inlineStr">
        <is>
          <t>Kabir Khan</t>
        </is>
      </c>
      <c r="C606" s="35" t="inlineStr">
        <is>
          <t>GUW-01</t>
        </is>
      </c>
      <c r="D606" s="36">
        <f>INDEX(Branches!$C$2:$C$15,MATCH(C606,Branches!$A$2:$A$15,0))</f>
        <v/>
      </c>
      <c r="E606" s="35" t="inlineStr">
        <is>
          <t>Auto Loan</t>
        </is>
      </c>
      <c r="F606" s="37" t="n">
        <v>45506</v>
      </c>
      <c r="G606" s="38" t="n">
        <v>720000</v>
      </c>
      <c r="H606" s="39" t="n">
        <v>0.1166</v>
      </c>
      <c r="I606" s="35" t="n">
        <v>48</v>
      </c>
      <c r="J606" s="35" t="n">
        <v>738</v>
      </c>
      <c r="K606" s="35" t="n">
        <v>0</v>
      </c>
      <c r="L606" s="40">
        <f>ROUND(PMT(H606/12,I606,-G606),0)</f>
        <v/>
      </c>
      <c r="M606" s="41">
        <f>MAX(0,(YEAR(AsOfDate)-YEAR(F606))*12+MONTH(AsOfDate)-MONTH(F606))</f>
        <v/>
      </c>
      <c r="N606" s="41">
        <f>MAX(0,MIN(I606,M606)-INT(K606/30))</f>
        <v/>
      </c>
      <c r="O606" s="40">
        <f>IF(N606&gt;=I606,0,ROUND(PV(H606/12,I606-N606,-L606),0))</f>
        <v/>
      </c>
      <c r="P606" s="40">
        <f>MIN(I606,M606)*L606-N606*L606</f>
        <v/>
      </c>
      <c r="Q606" s="41">
        <f>INDEX(DPD_Bucket,MATCH(K606,DPD_From,1))</f>
        <v/>
      </c>
      <c r="R606" s="41">
        <f>INDEX(DPD_Class,MATCH(K606,DPD_From,1))</f>
        <v/>
      </c>
      <c r="S606" s="41">
        <f>INDEX(DPD_NPA,MATCH(K606,DPD_From,1))</f>
        <v/>
      </c>
      <c r="T606" s="42">
        <f>INDEX(DPD_Prov,MATCH(K606,DPD_From,1))</f>
        <v/>
      </c>
      <c r="U606" s="40">
        <f>ROUND(O606*T606,0)</f>
        <v/>
      </c>
      <c r="V606" s="41">
        <f>INDEX(CIBIL_Grade,MATCH(J606,CIBIL_From,1))</f>
        <v/>
      </c>
      <c r="W606" s="41">
        <f>YEAR(F606)&amp;"-Q"&amp;ROUNDUP(MONTH(F606)/3,0)</f>
        <v/>
      </c>
      <c r="X606" s="41">
        <f>IF(AND(OR(Dashboard!$C$4="All",D606=Dashboard!$C$4),OR(Dashboard!$C$5="All",E606=Dashboard!$C$5)),1,0)</f>
        <v/>
      </c>
      <c r="Y606" s="43">
        <f>IF(AND(X606=1,S606="Yes"),O606+ROW()/1000000,0)</f>
        <v/>
      </c>
    </row>
    <row r="607">
      <c r="A607" s="35" t="inlineStr">
        <is>
          <t>LN100606</t>
        </is>
      </c>
      <c r="B607" s="35" t="inlineStr">
        <is>
          <t>Meera Reddy</t>
        </is>
      </c>
      <c r="C607" s="35" t="inlineStr">
        <is>
          <t>KOC-01</t>
        </is>
      </c>
      <c r="D607" s="36">
        <f>INDEX(Branches!$C$2:$C$15,MATCH(C607,Branches!$A$2:$A$15,0))</f>
        <v/>
      </c>
      <c r="E607" s="35" t="inlineStr">
        <is>
          <t>Home Loan</t>
        </is>
      </c>
      <c r="F607" s="37" t="n">
        <v>45181</v>
      </c>
      <c r="G607" s="38" t="n">
        <v>14063000</v>
      </c>
      <c r="H607" s="39" t="n">
        <v>0.09039999999999999</v>
      </c>
      <c r="I607" s="35" t="n">
        <v>240</v>
      </c>
      <c r="J607" s="35" t="n">
        <v>761</v>
      </c>
      <c r="K607" s="35" t="n">
        <v>0</v>
      </c>
      <c r="L607" s="40">
        <f>ROUND(PMT(H607/12,I607,-G607),0)</f>
        <v/>
      </c>
      <c r="M607" s="41">
        <f>MAX(0,(YEAR(AsOfDate)-YEAR(F607))*12+MONTH(AsOfDate)-MONTH(F607))</f>
        <v/>
      </c>
      <c r="N607" s="41">
        <f>MAX(0,MIN(I607,M607)-INT(K607/30))</f>
        <v/>
      </c>
      <c r="O607" s="40">
        <f>IF(N607&gt;=I607,0,ROUND(PV(H607/12,I607-N607,-L607),0))</f>
        <v/>
      </c>
      <c r="P607" s="40">
        <f>MIN(I607,M607)*L607-N607*L607</f>
        <v/>
      </c>
      <c r="Q607" s="41">
        <f>INDEX(DPD_Bucket,MATCH(K607,DPD_From,1))</f>
        <v/>
      </c>
      <c r="R607" s="41">
        <f>INDEX(DPD_Class,MATCH(K607,DPD_From,1))</f>
        <v/>
      </c>
      <c r="S607" s="41">
        <f>INDEX(DPD_NPA,MATCH(K607,DPD_From,1))</f>
        <v/>
      </c>
      <c r="T607" s="42">
        <f>INDEX(DPD_Prov,MATCH(K607,DPD_From,1))</f>
        <v/>
      </c>
      <c r="U607" s="40">
        <f>ROUND(O607*T607,0)</f>
        <v/>
      </c>
      <c r="V607" s="41">
        <f>INDEX(CIBIL_Grade,MATCH(J607,CIBIL_From,1))</f>
        <v/>
      </c>
      <c r="W607" s="41">
        <f>YEAR(F607)&amp;"-Q"&amp;ROUNDUP(MONTH(F607)/3,0)</f>
        <v/>
      </c>
      <c r="X607" s="41">
        <f>IF(AND(OR(Dashboard!$C$4="All",D607=Dashboard!$C$4),OR(Dashboard!$C$5="All",E607=Dashboard!$C$5)),1,0)</f>
        <v/>
      </c>
      <c r="Y607" s="43">
        <f>IF(AND(X607=1,S607="Yes"),O607+ROW()/1000000,0)</f>
        <v/>
      </c>
    </row>
    <row r="608">
      <c r="A608" s="35" t="inlineStr">
        <is>
          <t>LN100607</t>
        </is>
      </c>
      <c r="B608" s="35" t="inlineStr">
        <is>
          <t>Ishaan Rao</t>
        </is>
      </c>
      <c r="C608" s="35" t="inlineStr">
        <is>
          <t>HYD-01</t>
        </is>
      </c>
      <c r="D608" s="36">
        <f>INDEX(Branches!$C$2:$C$15,MATCH(C608,Branches!$A$2:$A$15,0))</f>
        <v/>
      </c>
      <c r="E608" s="35" t="inlineStr">
        <is>
          <t>Auto Loan</t>
        </is>
      </c>
      <c r="F608" s="37" t="n">
        <v>45236</v>
      </c>
      <c r="G608" s="38" t="n">
        <v>451000</v>
      </c>
      <c r="H608" s="39" t="n">
        <v>0.1066</v>
      </c>
      <c r="I608" s="35" t="n">
        <v>48</v>
      </c>
      <c r="J608" s="35" t="n">
        <v>720</v>
      </c>
      <c r="K608" s="35" t="n">
        <v>0</v>
      </c>
      <c r="L608" s="40">
        <f>ROUND(PMT(H608/12,I608,-G608),0)</f>
        <v/>
      </c>
      <c r="M608" s="41">
        <f>MAX(0,(YEAR(AsOfDate)-YEAR(F608))*12+MONTH(AsOfDate)-MONTH(F608))</f>
        <v/>
      </c>
      <c r="N608" s="41">
        <f>MAX(0,MIN(I608,M608)-INT(K608/30))</f>
        <v/>
      </c>
      <c r="O608" s="40">
        <f>IF(N608&gt;=I608,0,ROUND(PV(H608/12,I608-N608,-L608),0))</f>
        <v/>
      </c>
      <c r="P608" s="40">
        <f>MIN(I608,M608)*L608-N608*L608</f>
        <v/>
      </c>
      <c r="Q608" s="41">
        <f>INDEX(DPD_Bucket,MATCH(K608,DPD_From,1))</f>
        <v/>
      </c>
      <c r="R608" s="41">
        <f>INDEX(DPD_Class,MATCH(K608,DPD_From,1))</f>
        <v/>
      </c>
      <c r="S608" s="41">
        <f>INDEX(DPD_NPA,MATCH(K608,DPD_From,1))</f>
        <v/>
      </c>
      <c r="T608" s="42">
        <f>INDEX(DPD_Prov,MATCH(K608,DPD_From,1))</f>
        <v/>
      </c>
      <c r="U608" s="40">
        <f>ROUND(O608*T608,0)</f>
        <v/>
      </c>
      <c r="V608" s="41">
        <f>INDEX(CIBIL_Grade,MATCH(J608,CIBIL_From,1))</f>
        <v/>
      </c>
      <c r="W608" s="41">
        <f>YEAR(F608)&amp;"-Q"&amp;ROUNDUP(MONTH(F608)/3,0)</f>
        <v/>
      </c>
      <c r="X608" s="41">
        <f>IF(AND(OR(Dashboard!$C$4="All",D608=Dashboard!$C$4),OR(Dashboard!$C$5="All",E608=Dashboard!$C$5)),1,0)</f>
        <v/>
      </c>
      <c r="Y608" s="43">
        <f>IF(AND(X608=1,S608="Yes"),O608+ROW()/1000000,0)</f>
        <v/>
      </c>
    </row>
    <row r="609">
      <c r="A609" s="35" t="inlineStr">
        <is>
          <t>LN100608</t>
        </is>
      </c>
      <c r="B609" s="35" t="inlineStr">
        <is>
          <t>Reyansh Rao</t>
        </is>
      </c>
      <c r="C609" s="35" t="inlineStr">
        <is>
          <t>KOC-01</t>
        </is>
      </c>
      <c r="D609" s="36">
        <f>INDEX(Branches!$C$2:$C$15,MATCH(C609,Branches!$A$2:$A$15,0))</f>
        <v/>
      </c>
      <c r="E609" s="35" t="inlineStr">
        <is>
          <t>Auto Loan</t>
        </is>
      </c>
      <c r="F609" s="37" t="n">
        <v>45220</v>
      </c>
      <c r="G609" s="38" t="n">
        <v>1818000</v>
      </c>
      <c r="H609" s="39" t="n">
        <v>0.1077</v>
      </c>
      <c r="I609" s="35" t="n">
        <v>36</v>
      </c>
      <c r="J609" s="35" t="n">
        <v>658</v>
      </c>
      <c r="K609" s="35" t="n">
        <v>0</v>
      </c>
      <c r="L609" s="40">
        <f>ROUND(PMT(H609/12,I609,-G609),0)</f>
        <v/>
      </c>
      <c r="M609" s="41">
        <f>MAX(0,(YEAR(AsOfDate)-YEAR(F609))*12+MONTH(AsOfDate)-MONTH(F609))</f>
        <v/>
      </c>
      <c r="N609" s="41">
        <f>MAX(0,MIN(I609,M609)-INT(K609/30))</f>
        <v/>
      </c>
      <c r="O609" s="40">
        <f>IF(N609&gt;=I609,0,ROUND(PV(H609/12,I609-N609,-L609),0))</f>
        <v/>
      </c>
      <c r="P609" s="40">
        <f>MIN(I609,M609)*L609-N609*L609</f>
        <v/>
      </c>
      <c r="Q609" s="41">
        <f>INDEX(DPD_Bucket,MATCH(K609,DPD_From,1))</f>
        <v/>
      </c>
      <c r="R609" s="41">
        <f>INDEX(DPD_Class,MATCH(K609,DPD_From,1))</f>
        <v/>
      </c>
      <c r="S609" s="41">
        <f>INDEX(DPD_NPA,MATCH(K609,DPD_From,1))</f>
        <v/>
      </c>
      <c r="T609" s="42">
        <f>INDEX(DPD_Prov,MATCH(K609,DPD_From,1))</f>
        <v/>
      </c>
      <c r="U609" s="40">
        <f>ROUND(O609*T609,0)</f>
        <v/>
      </c>
      <c r="V609" s="41">
        <f>INDEX(CIBIL_Grade,MATCH(J609,CIBIL_From,1))</f>
        <v/>
      </c>
      <c r="W609" s="41">
        <f>YEAR(F609)&amp;"-Q"&amp;ROUNDUP(MONTH(F609)/3,0)</f>
        <v/>
      </c>
      <c r="X609" s="41">
        <f>IF(AND(OR(Dashboard!$C$4="All",D609=Dashboard!$C$4),OR(Dashboard!$C$5="All",E609=Dashboard!$C$5)),1,0)</f>
        <v/>
      </c>
      <c r="Y609" s="43">
        <f>IF(AND(X609=1,S609="Yes"),O609+ROW()/1000000,0)</f>
        <v/>
      </c>
    </row>
    <row r="610">
      <c r="A610" s="35" t="inlineStr">
        <is>
          <t>LN100609</t>
        </is>
      </c>
      <c r="B610" s="35" t="inlineStr">
        <is>
          <t>Ishaan Mishra</t>
        </is>
      </c>
      <c r="C610" s="35" t="inlineStr">
        <is>
          <t>DEL-01</t>
        </is>
      </c>
      <c r="D610" s="36">
        <f>INDEX(Branches!$C$2:$C$15,MATCH(C610,Branches!$A$2:$A$15,0))</f>
        <v/>
      </c>
      <c r="E610" s="35" t="inlineStr">
        <is>
          <t>Business Loan</t>
        </is>
      </c>
      <c r="F610" s="37" t="n">
        <v>45703</v>
      </c>
      <c r="G610" s="38" t="n">
        <v>4266000</v>
      </c>
      <c r="H610" s="39" t="n">
        <v>0.1495</v>
      </c>
      <c r="I610" s="35" t="n">
        <v>24</v>
      </c>
      <c r="J610" s="35" t="n">
        <v>827</v>
      </c>
      <c r="K610" s="35" t="n">
        <v>0</v>
      </c>
      <c r="L610" s="40">
        <f>ROUND(PMT(H610/12,I610,-G610),0)</f>
        <v/>
      </c>
      <c r="M610" s="41">
        <f>MAX(0,(YEAR(AsOfDate)-YEAR(F610))*12+MONTH(AsOfDate)-MONTH(F610))</f>
        <v/>
      </c>
      <c r="N610" s="41">
        <f>MAX(0,MIN(I610,M610)-INT(K610/30))</f>
        <v/>
      </c>
      <c r="O610" s="40">
        <f>IF(N610&gt;=I610,0,ROUND(PV(H610/12,I610-N610,-L610),0))</f>
        <v/>
      </c>
      <c r="P610" s="40">
        <f>MIN(I610,M610)*L610-N610*L610</f>
        <v/>
      </c>
      <c r="Q610" s="41">
        <f>INDEX(DPD_Bucket,MATCH(K610,DPD_From,1))</f>
        <v/>
      </c>
      <c r="R610" s="41">
        <f>INDEX(DPD_Class,MATCH(K610,DPD_From,1))</f>
        <v/>
      </c>
      <c r="S610" s="41">
        <f>INDEX(DPD_NPA,MATCH(K610,DPD_From,1))</f>
        <v/>
      </c>
      <c r="T610" s="42">
        <f>INDEX(DPD_Prov,MATCH(K610,DPD_From,1))</f>
        <v/>
      </c>
      <c r="U610" s="40">
        <f>ROUND(O610*T610,0)</f>
        <v/>
      </c>
      <c r="V610" s="41">
        <f>INDEX(CIBIL_Grade,MATCH(J610,CIBIL_From,1))</f>
        <v/>
      </c>
      <c r="W610" s="41">
        <f>YEAR(F610)&amp;"-Q"&amp;ROUNDUP(MONTH(F610)/3,0)</f>
        <v/>
      </c>
      <c r="X610" s="41">
        <f>IF(AND(OR(Dashboard!$C$4="All",D610=Dashboard!$C$4),OR(Dashboard!$C$5="All",E610=Dashboard!$C$5)),1,0)</f>
        <v/>
      </c>
      <c r="Y610" s="43">
        <f>IF(AND(X610=1,S610="Yes"),O610+ROW()/1000000,0)</f>
        <v/>
      </c>
    </row>
    <row r="611">
      <c r="A611" s="35" t="inlineStr">
        <is>
          <t>LN100610</t>
        </is>
      </c>
      <c r="B611" s="35" t="inlineStr">
        <is>
          <t>Karthik Mohanty</t>
        </is>
      </c>
      <c r="C611" s="35" t="inlineStr">
        <is>
          <t>JAI-01</t>
        </is>
      </c>
      <c r="D611" s="36">
        <f>INDEX(Branches!$C$2:$C$15,MATCH(C611,Branches!$A$2:$A$15,0))</f>
        <v/>
      </c>
      <c r="E611" s="35" t="inlineStr">
        <is>
          <t>Business Loan</t>
        </is>
      </c>
      <c r="F611" s="37" t="n">
        <v>45666</v>
      </c>
      <c r="G611" s="38" t="n">
        <v>4758000</v>
      </c>
      <c r="H611" s="39" t="n">
        <v>0.194</v>
      </c>
      <c r="I611" s="35" t="n">
        <v>24</v>
      </c>
      <c r="J611" s="35" t="n">
        <v>791</v>
      </c>
      <c r="K611" s="35" t="n">
        <v>0</v>
      </c>
      <c r="L611" s="40">
        <f>ROUND(PMT(H611/12,I611,-G611),0)</f>
        <v/>
      </c>
      <c r="M611" s="41">
        <f>MAX(0,(YEAR(AsOfDate)-YEAR(F611))*12+MONTH(AsOfDate)-MONTH(F611))</f>
        <v/>
      </c>
      <c r="N611" s="41">
        <f>MAX(0,MIN(I611,M611)-INT(K611/30))</f>
        <v/>
      </c>
      <c r="O611" s="40">
        <f>IF(N611&gt;=I611,0,ROUND(PV(H611/12,I611-N611,-L611),0))</f>
        <v/>
      </c>
      <c r="P611" s="40">
        <f>MIN(I611,M611)*L611-N611*L611</f>
        <v/>
      </c>
      <c r="Q611" s="41">
        <f>INDEX(DPD_Bucket,MATCH(K611,DPD_From,1))</f>
        <v/>
      </c>
      <c r="R611" s="41">
        <f>INDEX(DPD_Class,MATCH(K611,DPD_From,1))</f>
        <v/>
      </c>
      <c r="S611" s="41">
        <f>INDEX(DPD_NPA,MATCH(K611,DPD_From,1))</f>
        <v/>
      </c>
      <c r="T611" s="42">
        <f>INDEX(DPD_Prov,MATCH(K611,DPD_From,1))</f>
        <v/>
      </c>
      <c r="U611" s="40">
        <f>ROUND(O611*T611,0)</f>
        <v/>
      </c>
      <c r="V611" s="41">
        <f>INDEX(CIBIL_Grade,MATCH(J611,CIBIL_From,1))</f>
        <v/>
      </c>
      <c r="W611" s="41">
        <f>YEAR(F611)&amp;"-Q"&amp;ROUNDUP(MONTH(F611)/3,0)</f>
        <v/>
      </c>
      <c r="X611" s="41">
        <f>IF(AND(OR(Dashboard!$C$4="All",D611=Dashboard!$C$4),OR(Dashboard!$C$5="All",E611=Dashboard!$C$5)),1,0)</f>
        <v/>
      </c>
      <c r="Y611" s="43">
        <f>IF(AND(X611=1,S611="Yes"),O611+ROW()/1000000,0)</f>
        <v/>
      </c>
    </row>
    <row r="612">
      <c r="A612" s="35" t="inlineStr">
        <is>
          <t>LN100611</t>
        </is>
      </c>
      <c r="B612" s="35" t="inlineStr">
        <is>
          <t>Vivaan Khan</t>
        </is>
      </c>
      <c r="C612" s="35" t="inlineStr">
        <is>
          <t>LKO-01</t>
        </is>
      </c>
      <c r="D612" s="36">
        <f>INDEX(Branches!$C$2:$C$15,MATCH(C612,Branches!$A$2:$A$15,0))</f>
        <v/>
      </c>
      <c r="E612" s="35" t="inlineStr">
        <is>
          <t>Gold Loan</t>
        </is>
      </c>
      <c r="F612" s="37" t="n">
        <v>46083</v>
      </c>
      <c r="G612" s="38" t="n">
        <v>227000</v>
      </c>
      <c r="H612" s="39" t="n">
        <v>0.1143</v>
      </c>
      <c r="I612" s="35" t="n">
        <v>12</v>
      </c>
      <c r="J612" s="35" t="n">
        <v>795</v>
      </c>
      <c r="K612" s="35" t="n">
        <v>0</v>
      </c>
      <c r="L612" s="40">
        <f>ROUND(PMT(H612/12,I612,-G612),0)</f>
        <v/>
      </c>
      <c r="M612" s="41">
        <f>MAX(0,(YEAR(AsOfDate)-YEAR(F612))*12+MONTH(AsOfDate)-MONTH(F612))</f>
        <v/>
      </c>
      <c r="N612" s="41">
        <f>MAX(0,MIN(I612,M612)-INT(K612/30))</f>
        <v/>
      </c>
      <c r="O612" s="40">
        <f>IF(N612&gt;=I612,0,ROUND(PV(H612/12,I612-N612,-L612),0))</f>
        <v/>
      </c>
      <c r="P612" s="40">
        <f>MIN(I612,M612)*L612-N612*L612</f>
        <v/>
      </c>
      <c r="Q612" s="41">
        <f>INDEX(DPD_Bucket,MATCH(K612,DPD_From,1))</f>
        <v/>
      </c>
      <c r="R612" s="41">
        <f>INDEX(DPD_Class,MATCH(K612,DPD_From,1))</f>
        <v/>
      </c>
      <c r="S612" s="41">
        <f>INDEX(DPD_NPA,MATCH(K612,DPD_From,1))</f>
        <v/>
      </c>
      <c r="T612" s="42">
        <f>INDEX(DPD_Prov,MATCH(K612,DPD_From,1))</f>
        <v/>
      </c>
      <c r="U612" s="40">
        <f>ROUND(O612*T612,0)</f>
        <v/>
      </c>
      <c r="V612" s="41">
        <f>INDEX(CIBIL_Grade,MATCH(J612,CIBIL_From,1))</f>
        <v/>
      </c>
      <c r="W612" s="41">
        <f>YEAR(F612)&amp;"-Q"&amp;ROUNDUP(MONTH(F612)/3,0)</f>
        <v/>
      </c>
      <c r="X612" s="41">
        <f>IF(AND(OR(Dashboard!$C$4="All",D612=Dashboard!$C$4),OR(Dashboard!$C$5="All",E612=Dashboard!$C$5)),1,0)</f>
        <v/>
      </c>
      <c r="Y612" s="43">
        <f>IF(AND(X612=1,S612="Yes"),O612+ROW()/1000000,0)</f>
        <v/>
      </c>
    </row>
    <row r="613">
      <c r="A613" s="35" t="inlineStr">
        <is>
          <t>LN100612</t>
        </is>
      </c>
      <c r="B613" s="35" t="inlineStr">
        <is>
          <t>Aditya Kulkarni</t>
        </is>
      </c>
      <c r="C613" s="35" t="inlineStr">
        <is>
          <t>PAT-01</t>
        </is>
      </c>
      <c r="D613" s="36">
        <f>INDEX(Branches!$C$2:$C$15,MATCH(C613,Branches!$A$2:$A$15,0))</f>
        <v/>
      </c>
      <c r="E613" s="35" t="inlineStr">
        <is>
          <t>Personal Loan</t>
        </is>
      </c>
      <c r="F613" s="37" t="n">
        <v>45247</v>
      </c>
      <c r="G613" s="38" t="n">
        <v>117000</v>
      </c>
      <c r="H613" s="39" t="n">
        <v>0.1599</v>
      </c>
      <c r="I613" s="35" t="n">
        <v>12</v>
      </c>
      <c r="J613" s="35" t="n">
        <v>750</v>
      </c>
      <c r="K613" s="35" t="n">
        <v>0</v>
      </c>
      <c r="L613" s="40">
        <f>ROUND(PMT(H613/12,I613,-G613),0)</f>
        <v/>
      </c>
      <c r="M613" s="41">
        <f>MAX(0,(YEAR(AsOfDate)-YEAR(F613))*12+MONTH(AsOfDate)-MONTH(F613))</f>
        <v/>
      </c>
      <c r="N613" s="41">
        <f>MAX(0,MIN(I613,M613)-INT(K613/30))</f>
        <v/>
      </c>
      <c r="O613" s="40">
        <f>IF(N613&gt;=I613,0,ROUND(PV(H613/12,I613-N613,-L613),0))</f>
        <v/>
      </c>
      <c r="P613" s="40">
        <f>MIN(I613,M613)*L613-N613*L613</f>
        <v/>
      </c>
      <c r="Q613" s="41">
        <f>INDEX(DPD_Bucket,MATCH(K613,DPD_From,1))</f>
        <v/>
      </c>
      <c r="R613" s="41">
        <f>INDEX(DPD_Class,MATCH(K613,DPD_From,1))</f>
        <v/>
      </c>
      <c r="S613" s="41">
        <f>INDEX(DPD_NPA,MATCH(K613,DPD_From,1))</f>
        <v/>
      </c>
      <c r="T613" s="42">
        <f>INDEX(DPD_Prov,MATCH(K613,DPD_From,1))</f>
        <v/>
      </c>
      <c r="U613" s="40">
        <f>ROUND(O613*T613,0)</f>
        <v/>
      </c>
      <c r="V613" s="41">
        <f>INDEX(CIBIL_Grade,MATCH(J613,CIBIL_From,1))</f>
        <v/>
      </c>
      <c r="W613" s="41">
        <f>YEAR(F613)&amp;"-Q"&amp;ROUNDUP(MONTH(F613)/3,0)</f>
        <v/>
      </c>
      <c r="X613" s="41">
        <f>IF(AND(OR(Dashboard!$C$4="All",D613=Dashboard!$C$4),OR(Dashboard!$C$5="All",E613=Dashboard!$C$5)),1,0)</f>
        <v/>
      </c>
      <c r="Y613" s="43">
        <f>IF(AND(X613=1,S613="Yes"),O613+ROW()/1000000,0)</f>
        <v/>
      </c>
    </row>
    <row r="614">
      <c r="A614" s="35" t="inlineStr">
        <is>
          <t>LN100613</t>
        </is>
      </c>
      <c r="B614" s="35" t="inlineStr">
        <is>
          <t>Pooja Singh</t>
        </is>
      </c>
      <c r="C614" s="35" t="inlineStr">
        <is>
          <t>HYD-01</t>
        </is>
      </c>
      <c r="D614" s="36">
        <f>INDEX(Branches!$C$2:$C$15,MATCH(C614,Branches!$A$2:$A$15,0))</f>
        <v/>
      </c>
      <c r="E614" s="35" t="inlineStr">
        <is>
          <t>Gold Loan</t>
        </is>
      </c>
      <c r="F614" s="37" t="n">
        <v>45439</v>
      </c>
      <c r="G614" s="38" t="n">
        <v>366000</v>
      </c>
      <c r="H614" s="39" t="n">
        <v>0.1157</v>
      </c>
      <c r="I614" s="35" t="n">
        <v>6</v>
      </c>
      <c r="J614" s="35" t="n">
        <v>712</v>
      </c>
      <c r="K614" s="35" t="n">
        <v>0</v>
      </c>
      <c r="L614" s="40">
        <f>ROUND(PMT(H614/12,I614,-G614),0)</f>
        <v/>
      </c>
      <c r="M614" s="41">
        <f>MAX(0,(YEAR(AsOfDate)-YEAR(F614))*12+MONTH(AsOfDate)-MONTH(F614))</f>
        <v/>
      </c>
      <c r="N614" s="41">
        <f>MAX(0,MIN(I614,M614)-INT(K614/30))</f>
        <v/>
      </c>
      <c r="O614" s="40">
        <f>IF(N614&gt;=I614,0,ROUND(PV(H614/12,I614-N614,-L614),0))</f>
        <v/>
      </c>
      <c r="P614" s="40">
        <f>MIN(I614,M614)*L614-N614*L614</f>
        <v/>
      </c>
      <c r="Q614" s="41">
        <f>INDEX(DPD_Bucket,MATCH(K614,DPD_From,1))</f>
        <v/>
      </c>
      <c r="R614" s="41">
        <f>INDEX(DPD_Class,MATCH(K614,DPD_From,1))</f>
        <v/>
      </c>
      <c r="S614" s="41">
        <f>INDEX(DPD_NPA,MATCH(K614,DPD_From,1))</f>
        <v/>
      </c>
      <c r="T614" s="42">
        <f>INDEX(DPD_Prov,MATCH(K614,DPD_From,1))</f>
        <v/>
      </c>
      <c r="U614" s="40">
        <f>ROUND(O614*T614,0)</f>
        <v/>
      </c>
      <c r="V614" s="41">
        <f>INDEX(CIBIL_Grade,MATCH(J614,CIBIL_From,1))</f>
        <v/>
      </c>
      <c r="W614" s="41">
        <f>YEAR(F614)&amp;"-Q"&amp;ROUNDUP(MONTH(F614)/3,0)</f>
        <v/>
      </c>
      <c r="X614" s="41">
        <f>IF(AND(OR(Dashboard!$C$4="All",D614=Dashboard!$C$4),OR(Dashboard!$C$5="All",E614=Dashboard!$C$5)),1,0)</f>
        <v/>
      </c>
      <c r="Y614" s="43">
        <f>IF(AND(X614=1,S614="Yes"),O614+ROW()/1000000,0)</f>
        <v/>
      </c>
    </row>
    <row r="615">
      <c r="A615" s="35" t="inlineStr">
        <is>
          <t>LN100614</t>
        </is>
      </c>
      <c r="B615" s="35" t="inlineStr">
        <is>
          <t>Sai Banerjee</t>
        </is>
      </c>
      <c r="C615" s="35" t="inlineStr">
        <is>
          <t>HYD-01</t>
        </is>
      </c>
      <c r="D615" s="36">
        <f>INDEX(Branches!$C$2:$C$15,MATCH(C615,Branches!$A$2:$A$15,0))</f>
        <v/>
      </c>
      <c r="E615" s="35" t="inlineStr">
        <is>
          <t>Business Loan</t>
        </is>
      </c>
      <c r="F615" s="37" t="n">
        <v>45242</v>
      </c>
      <c r="G615" s="38" t="n">
        <v>4054000</v>
      </c>
      <c r="H615" s="39" t="n">
        <v>0.1559</v>
      </c>
      <c r="I615" s="35" t="n">
        <v>12</v>
      </c>
      <c r="J615" s="35" t="n">
        <v>811</v>
      </c>
      <c r="K615" s="35" t="n">
        <v>0</v>
      </c>
      <c r="L615" s="40">
        <f>ROUND(PMT(H615/12,I615,-G615),0)</f>
        <v/>
      </c>
      <c r="M615" s="41">
        <f>MAX(0,(YEAR(AsOfDate)-YEAR(F615))*12+MONTH(AsOfDate)-MONTH(F615))</f>
        <v/>
      </c>
      <c r="N615" s="41">
        <f>MAX(0,MIN(I615,M615)-INT(K615/30))</f>
        <v/>
      </c>
      <c r="O615" s="40">
        <f>IF(N615&gt;=I615,0,ROUND(PV(H615/12,I615-N615,-L615),0))</f>
        <v/>
      </c>
      <c r="P615" s="40">
        <f>MIN(I615,M615)*L615-N615*L615</f>
        <v/>
      </c>
      <c r="Q615" s="41">
        <f>INDEX(DPD_Bucket,MATCH(K615,DPD_From,1))</f>
        <v/>
      </c>
      <c r="R615" s="41">
        <f>INDEX(DPD_Class,MATCH(K615,DPD_From,1))</f>
        <v/>
      </c>
      <c r="S615" s="41">
        <f>INDEX(DPD_NPA,MATCH(K615,DPD_From,1))</f>
        <v/>
      </c>
      <c r="T615" s="42">
        <f>INDEX(DPD_Prov,MATCH(K615,DPD_From,1))</f>
        <v/>
      </c>
      <c r="U615" s="40">
        <f>ROUND(O615*T615,0)</f>
        <v/>
      </c>
      <c r="V615" s="41">
        <f>INDEX(CIBIL_Grade,MATCH(J615,CIBIL_From,1))</f>
        <v/>
      </c>
      <c r="W615" s="41">
        <f>YEAR(F615)&amp;"-Q"&amp;ROUNDUP(MONTH(F615)/3,0)</f>
        <v/>
      </c>
      <c r="X615" s="41">
        <f>IF(AND(OR(Dashboard!$C$4="All",D615=Dashboard!$C$4),OR(Dashboard!$C$5="All",E615=Dashboard!$C$5)),1,0)</f>
        <v/>
      </c>
      <c r="Y615" s="43">
        <f>IF(AND(X615=1,S615="Yes"),O615+ROW()/1000000,0)</f>
        <v/>
      </c>
    </row>
    <row r="616">
      <c r="A616" s="35" t="inlineStr">
        <is>
          <t>LN100615</t>
        </is>
      </c>
      <c r="B616" s="35" t="inlineStr">
        <is>
          <t>Diya Khan</t>
        </is>
      </c>
      <c r="C616" s="35" t="inlineStr">
        <is>
          <t>PAT-01</t>
        </is>
      </c>
      <c r="D616" s="36">
        <f>INDEX(Branches!$C$2:$C$15,MATCH(C616,Branches!$A$2:$A$15,0))</f>
        <v/>
      </c>
      <c r="E616" s="35" t="inlineStr">
        <is>
          <t>Personal Loan</t>
        </is>
      </c>
      <c r="F616" s="37" t="n">
        <v>46029</v>
      </c>
      <c r="G616" s="38" t="n">
        <v>478000</v>
      </c>
      <c r="H616" s="39" t="n">
        <v>0.176</v>
      </c>
      <c r="I616" s="35" t="n">
        <v>12</v>
      </c>
      <c r="J616" s="35" t="n">
        <v>671</v>
      </c>
      <c r="K616" s="35" t="n">
        <v>0</v>
      </c>
      <c r="L616" s="40">
        <f>ROUND(PMT(H616/12,I616,-G616),0)</f>
        <v/>
      </c>
      <c r="M616" s="41">
        <f>MAX(0,(YEAR(AsOfDate)-YEAR(F616))*12+MONTH(AsOfDate)-MONTH(F616))</f>
        <v/>
      </c>
      <c r="N616" s="41">
        <f>MAX(0,MIN(I616,M616)-INT(K616/30))</f>
        <v/>
      </c>
      <c r="O616" s="40">
        <f>IF(N616&gt;=I616,0,ROUND(PV(H616/12,I616-N616,-L616),0))</f>
        <v/>
      </c>
      <c r="P616" s="40">
        <f>MIN(I616,M616)*L616-N616*L616</f>
        <v/>
      </c>
      <c r="Q616" s="41">
        <f>INDEX(DPD_Bucket,MATCH(K616,DPD_From,1))</f>
        <v/>
      </c>
      <c r="R616" s="41">
        <f>INDEX(DPD_Class,MATCH(K616,DPD_From,1))</f>
        <v/>
      </c>
      <c r="S616" s="41">
        <f>INDEX(DPD_NPA,MATCH(K616,DPD_From,1))</f>
        <v/>
      </c>
      <c r="T616" s="42">
        <f>INDEX(DPD_Prov,MATCH(K616,DPD_From,1))</f>
        <v/>
      </c>
      <c r="U616" s="40">
        <f>ROUND(O616*T616,0)</f>
        <v/>
      </c>
      <c r="V616" s="41">
        <f>INDEX(CIBIL_Grade,MATCH(J616,CIBIL_From,1))</f>
        <v/>
      </c>
      <c r="W616" s="41">
        <f>YEAR(F616)&amp;"-Q"&amp;ROUNDUP(MONTH(F616)/3,0)</f>
        <v/>
      </c>
      <c r="X616" s="41">
        <f>IF(AND(OR(Dashboard!$C$4="All",D616=Dashboard!$C$4),OR(Dashboard!$C$5="All",E616=Dashboard!$C$5)),1,0)</f>
        <v/>
      </c>
      <c r="Y616" s="43">
        <f>IF(AND(X616=1,S616="Yes"),O616+ROW()/1000000,0)</f>
        <v/>
      </c>
    </row>
    <row r="617">
      <c r="A617" s="35" t="inlineStr">
        <is>
          <t>LN100616</t>
        </is>
      </c>
      <c r="B617" s="35" t="inlineStr">
        <is>
          <t>Priya Verma</t>
        </is>
      </c>
      <c r="C617" s="35" t="inlineStr">
        <is>
          <t>LKO-01</t>
        </is>
      </c>
      <c r="D617" s="36">
        <f>INDEX(Branches!$C$2:$C$15,MATCH(C617,Branches!$A$2:$A$15,0))</f>
        <v/>
      </c>
      <c r="E617" s="35" t="inlineStr">
        <is>
          <t>Personal Loan</t>
        </is>
      </c>
      <c r="F617" s="37" t="n">
        <v>46008</v>
      </c>
      <c r="G617" s="38" t="n">
        <v>1423000</v>
      </c>
      <c r="H617" s="39" t="n">
        <v>0.1556</v>
      </c>
      <c r="I617" s="35" t="n">
        <v>24</v>
      </c>
      <c r="J617" s="35" t="n">
        <v>790</v>
      </c>
      <c r="K617" s="35" t="n">
        <v>0</v>
      </c>
      <c r="L617" s="40">
        <f>ROUND(PMT(H617/12,I617,-G617),0)</f>
        <v/>
      </c>
      <c r="M617" s="41">
        <f>MAX(0,(YEAR(AsOfDate)-YEAR(F617))*12+MONTH(AsOfDate)-MONTH(F617))</f>
        <v/>
      </c>
      <c r="N617" s="41">
        <f>MAX(0,MIN(I617,M617)-INT(K617/30))</f>
        <v/>
      </c>
      <c r="O617" s="40">
        <f>IF(N617&gt;=I617,0,ROUND(PV(H617/12,I617-N617,-L617),0))</f>
        <v/>
      </c>
      <c r="P617" s="40">
        <f>MIN(I617,M617)*L617-N617*L617</f>
        <v/>
      </c>
      <c r="Q617" s="41">
        <f>INDEX(DPD_Bucket,MATCH(K617,DPD_From,1))</f>
        <v/>
      </c>
      <c r="R617" s="41">
        <f>INDEX(DPD_Class,MATCH(K617,DPD_From,1))</f>
        <v/>
      </c>
      <c r="S617" s="41">
        <f>INDEX(DPD_NPA,MATCH(K617,DPD_From,1))</f>
        <v/>
      </c>
      <c r="T617" s="42">
        <f>INDEX(DPD_Prov,MATCH(K617,DPD_From,1))</f>
        <v/>
      </c>
      <c r="U617" s="40">
        <f>ROUND(O617*T617,0)</f>
        <v/>
      </c>
      <c r="V617" s="41">
        <f>INDEX(CIBIL_Grade,MATCH(J617,CIBIL_From,1))</f>
        <v/>
      </c>
      <c r="W617" s="41">
        <f>YEAR(F617)&amp;"-Q"&amp;ROUNDUP(MONTH(F617)/3,0)</f>
        <v/>
      </c>
      <c r="X617" s="41">
        <f>IF(AND(OR(Dashboard!$C$4="All",D617=Dashboard!$C$4),OR(Dashboard!$C$5="All",E617=Dashboard!$C$5)),1,0)</f>
        <v/>
      </c>
      <c r="Y617" s="43">
        <f>IF(AND(X617=1,S617="Yes"),O617+ROW()/1000000,0)</f>
        <v/>
      </c>
    </row>
    <row r="618">
      <c r="A618" s="35" t="inlineStr">
        <is>
          <t>LN100617</t>
        </is>
      </c>
      <c r="B618" s="35" t="inlineStr">
        <is>
          <t>Reyansh Kulkarni</t>
        </is>
      </c>
      <c r="C618" s="35" t="inlineStr">
        <is>
          <t>BBS-01</t>
        </is>
      </c>
      <c r="D618" s="36">
        <f>INDEX(Branches!$C$2:$C$15,MATCH(C618,Branches!$A$2:$A$15,0))</f>
        <v/>
      </c>
      <c r="E618" s="35" t="inlineStr">
        <is>
          <t>Gold Loan</t>
        </is>
      </c>
      <c r="F618" s="37" t="n">
        <v>45389</v>
      </c>
      <c r="G618" s="38" t="n">
        <v>80000</v>
      </c>
      <c r="H618" s="39" t="n">
        <v>0.1113</v>
      </c>
      <c r="I618" s="35" t="n">
        <v>6</v>
      </c>
      <c r="J618" s="35" t="n">
        <v>684</v>
      </c>
      <c r="K618" s="35" t="n">
        <v>0</v>
      </c>
      <c r="L618" s="40">
        <f>ROUND(PMT(H618/12,I618,-G618),0)</f>
        <v/>
      </c>
      <c r="M618" s="41">
        <f>MAX(0,(YEAR(AsOfDate)-YEAR(F618))*12+MONTH(AsOfDate)-MONTH(F618))</f>
        <v/>
      </c>
      <c r="N618" s="41">
        <f>MAX(0,MIN(I618,M618)-INT(K618/30))</f>
        <v/>
      </c>
      <c r="O618" s="40">
        <f>IF(N618&gt;=I618,0,ROUND(PV(H618/12,I618-N618,-L618),0))</f>
        <v/>
      </c>
      <c r="P618" s="40">
        <f>MIN(I618,M618)*L618-N618*L618</f>
        <v/>
      </c>
      <c r="Q618" s="41">
        <f>INDEX(DPD_Bucket,MATCH(K618,DPD_From,1))</f>
        <v/>
      </c>
      <c r="R618" s="41">
        <f>INDEX(DPD_Class,MATCH(K618,DPD_From,1))</f>
        <v/>
      </c>
      <c r="S618" s="41">
        <f>INDEX(DPD_NPA,MATCH(K618,DPD_From,1))</f>
        <v/>
      </c>
      <c r="T618" s="42">
        <f>INDEX(DPD_Prov,MATCH(K618,DPD_From,1))</f>
        <v/>
      </c>
      <c r="U618" s="40">
        <f>ROUND(O618*T618,0)</f>
        <v/>
      </c>
      <c r="V618" s="41">
        <f>INDEX(CIBIL_Grade,MATCH(J618,CIBIL_From,1))</f>
        <v/>
      </c>
      <c r="W618" s="41">
        <f>YEAR(F618)&amp;"-Q"&amp;ROUNDUP(MONTH(F618)/3,0)</f>
        <v/>
      </c>
      <c r="X618" s="41">
        <f>IF(AND(OR(Dashboard!$C$4="All",D618=Dashboard!$C$4),OR(Dashboard!$C$5="All",E618=Dashboard!$C$5)),1,0)</f>
        <v/>
      </c>
      <c r="Y618" s="43">
        <f>IF(AND(X618=1,S618="Yes"),O618+ROW()/1000000,0)</f>
        <v/>
      </c>
    </row>
    <row r="619">
      <c r="A619" s="35" t="inlineStr">
        <is>
          <t>LN100618</t>
        </is>
      </c>
      <c r="B619" s="35" t="inlineStr">
        <is>
          <t>Lakshmi Pillai</t>
        </is>
      </c>
      <c r="C619" s="35" t="inlineStr">
        <is>
          <t>BBS-01</t>
        </is>
      </c>
      <c r="D619" s="36">
        <f>INDEX(Branches!$C$2:$C$15,MATCH(C619,Branches!$A$2:$A$15,0))</f>
        <v/>
      </c>
      <c r="E619" s="35" t="inlineStr">
        <is>
          <t>Home Loan</t>
        </is>
      </c>
      <c r="F619" s="37" t="n">
        <v>45685</v>
      </c>
      <c r="G619" s="38" t="n">
        <v>14209000</v>
      </c>
      <c r="H619" s="39" t="n">
        <v>0.0921</v>
      </c>
      <c r="I619" s="35" t="n">
        <v>180</v>
      </c>
      <c r="J619" s="35" t="n">
        <v>792</v>
      </c>
      <c r="K619" s="35" t="n">
        <v>0</v>
      </c>
      <c r="L619" s="40">
        <f>ROUND(PMT(H619/12,I619,-G619),0)</f>
        <v/>
      </c>
      <c r="M619" s="41">
        <f>MAX(0,(YEAR(AsOfDate)-YEAR(F619))*12+MONTH(AsOfDate)-MONTH(F619))</f>
        <v/>
      </c>
      <c r="N619" s="41">
        <f>MAX(0,MIN(I619,M619)-INT(K619/30))</f>
        <v/>
      </c>
      <c r="O619" s="40">
        <f>IF(N619&gt;=I619,0,ROUND(PV(H619/12,I619-N619,-L619),0))</f>
        <v/>
      </c>
      <c r="P619" s="40">
        <f>MIN(I619,M619)*L619-N619*L619</f>
        <v/>
      </c>
      <c r="Q619" s="41">
        <f>INDEX(DPD_Bucket,MATCH(K619,DPD_From,1))</f>
        <v/>
      </c>
      <c r="R619" s="41">
        <f>INDEX(DPD_Class,MATCH(K619,DPD_From,1))</f>
        <v/>
      </c>
      <c r="S619" s="41">
        <f>INDEX(DPD_NPA,MATCH(K619,DPD_From,1))</f>
        <v/>
      </c>
      <c r="T619" s="42">
        <f>INDEX(DPD_Prov,MATCH(K619,DPD_From,1))</f>
        <v/>
      </c>
      <c r="U619" s="40">
        <f>ROUND(O619*T619,0)</f>
        <v/>
      </c>
      <c r="V619" s="41">
        <f>INDEX(CIBIL_Grade,MATCH(J619,CIBIL_From,1))</f>
        <v/>
      </c>
      <c r="W619" s="41">
        <f>YEAR(F619)&amp;"-Q"&amp;ROUNDUP(MONTH(F619)/3,0)</f>
        <v/>
      </c>
      <c r="X619" s="41">
        <f>IF(AND(OR(Dashboard!$C$4="All",D619=Dashboard!$C$4),OR(Dashboard!$C$5="All",E619=Dashboard!$C$5)),1,0)</f>
        <v/>
      </c>
      <c r="Y619" s="43">
        <f>IF(AND(X619=1,S619="Yes"),O619+ROW()/1000000,0)</f>
        <v/>
      </c>
    </row>
    <row r="620">
      <c r="A620" s="35" t="inlineStr">
        <is>
          <t>LN100619</t>
        </is>
      </c>
      <c r="B620" s="35" t="inlineStr">
        <is>
          <t>Meera Gupta</t>
        </is>
      </c>
      <c r="C620" s="35" t="inlineStr">
        <is>
          <t>BLR-01</t>
        </is>
      </c>
      <c r="D620" s="36">
        <f>INDEX(Branches!$C$2:$C$15,MATCH(C620,Branches!$A$2:$A$15,0))</f>
        <v/>
      </c>
      <c r="E620" s="35" t="inlineStr">
        <is>
          <t>Gold Loan</t>
        </is>
      </c>
      <c r="F620" s="37" t="n">
        <v>45712</v>
      </c>
      <c r="G620" s="38" t="n">
        <v>79000</v>
      </c>
      <c r="H620" s="39" t="n">
        <v>0.1004</v>
      </c>
      <c r="I620" s="35" t="n">
        <v>6</v>
      </c>
      <c r="J620" s="35" t="n">
        <v>684</v>
      </c>
      <c r="K620" s="35" t="n">
        <v>0</v>
      </c>
      <c r="L620" s="40">
        <f>ROUND(PMT(H620/12,I620,-G620),0)</f>
        <v/>
      </c>
      <c r="M620" s="41">
        <f>MAX(0,(YEAR(AsOfDate)-YEAR(F620))*12+MONTH(AsOfDate)-MONTH(F620))</f>
        <v/>
      </c>
      <c r="N620" s="41">
        <f>MAX(0,MIN(I620,M620)-INT(K620/30))</f>
        <v/>
      </c>
      <c r="O620" s="40">
        <f>IF(N620&gt;=I620,0,ROUND(PV(H620/12,I620-N620,-L620),0))</f>
        <v/>
      </c>
      <c r="P620" s="40">
        <f>MIN(I620,M620)*L620-N620*L620</f>
        <v/>
      </c>
      <c r="Q620" s="41">
        <f>INDEX(DPD_Bucket,MATCH(K620,DPD_From,1))</f>
        <v/>
      </c>
      <c r="R620" s="41">
        <f>INDEX(DPD_Class,MATCH(K620,DPD_From,1))</f>
        <v/>
      </c>
      <c r="S620" s="41">
        <f>INDEX(DPD_NPA,MATCH(K620,DPD_From,1))</f>
        <v/>
      </c>
      <c r="T620" s="42">
        <f>INDEX(DPD_Prov,MATCH(K620,DPD_From,1))</f>
        <v/>
      </c>
      <c r="U620" s="40">
        <f>ROUND(O620*T620,0)</f>
        <v/>
      </c>
      <c r="V620" s="41">
        <f>INDEX(CIBIL_Grade,MATCH(J620,CIBIL_From,1))</f>
        <v/>
      </c>
      <c r="W620" s="41">
        <f>YEAR(F620)&amp;"-Q"&amp;ROUNDUP(MONTH(F620)/3,0)</f>
        <v/>
      </c>
      <c r="X620" s="41">
        <f>IF(AND(OR(Dashboard!$C$4="All",D620=Dashboard!$C$4),OR(Dashboard!$C$5="All",E620=Dashboard!$C$5)),1,0)</f>
        <v/>
      </c>
      <c r="Y620" s="43">
        <f>IF(AND(X620=1,S620="Yes"),O620+ROW()/1000000,0)</f>
        <v/>
      </c>
    </row>
    <row r="621">
      <c r="A621" s="35" t="inlineStr">
        <is>
          <t>LN100620</t>
        </is>
      </c>
      <c r="B621" s="35" t="inlineStr">
        <is>
          <t>Rohan Kulkarni</t>
        </is>
      </c>
      <c r="C621" s="35" t="inlineStr">
        <is>
          <t>MUM-01</t>
        </is>
      </c>
      <c r="D621" s="36">
        <f>INDEX(Branches!$C$2:$C$15,MATCH(C621,Branches!$A$2:$A$15,0))</f>
        <v/>
      </c>
      <c r="E621" s="35" t="inlineStr">
        <is>
          <t>Personal Loan</t>
        </is>
      </c>
      <c r="F621" s="37" t="n">
        <v>45922</v>
      </c>
      <c r="G621" s="38" t="n">
        <v>733000</v>
      </c>
      <c r="H621" s="39" t="n">
        <v>0.1326</v>
      </c>
      <c r="I621" s="35" t="n">
        <v>60</v>
      </c>
      <c r="J621" s="35" t="n">
        <v>841</v>
      </c>
      <c r="K621" s="35" t="n">
        <v>0</v>
      </c>
      <c r="L621" s="40">
        <f>ROUND(PMT(H621/12,I621,-G621),0)</f>
        <v/>
      </c>
      <c r="M621" s="41">
        <f>MAX(0,(YEAR(AsOfDate)-YEAR(F621))*12+MONTH(AsOfDate)-MONTH(F621))</f>
        <v/>
      </c>
      <c r="N621" s="41">
        <f>MAX(0,MIN(I621,M621)-INT(K621/30))</f>
        <v/>
      </c>
      <c r="O621" s="40">
        <f>IF(N621&gt;=I621,0,ROUND(PV(H621/12,I621-N621,-L621),0))</f>
        <v/>
      </c>
      <c r="P621" s="40">
        <f>MIN(I621,M621)*L621-N621*L621</f>
        <v/>
      </c>
      <c r="Q621" s="41">
        <f>INDEX(DPD_Bucket,MATCH(K621,DPD_From,1))</f>
        <v/>
      </c>
      <c r="R621" s="41">
        <f>INDEX(DPD_Class,MATCH(K621,DPD_From,1))</f>
        <v/>
      </c>
      <c r="S621" s="41">
        <f>INDEX(DPD_NPA,MATCH(K621,DPD_From,1))</f>
        <v/>
      </c>
      <c r="T621" s="42">
        <f>INDEX(DPD_Prov,MATCH(K621,DPD_From,1))</f>
        <v/>
      </c>
      <c r="U621" s="40">
        <f>ROUND(O621*T621,0)</f>
        <v/>
      </c>
      <c r="V621" s="41">
        <f>INDEX(CIBIL_Grade,MATCH(J621,CIBIL_From,1))</f>
        <v/>
      </c>
      <c r="W621" s="41">
        <f>YEAR(F621)&amp;"-Q"&amp;ROUNDUP(MONTH(F621)/3,0)</f>
        <v/>
      </c>
      <c r="X621" s="41">
        <f>IF(AND(OR(Dashboard!$C$4="All",D621=Dashboard!$C$4),OR(Dashboard!$C$5="All",E621=Dashboard!$C$5)),1,0)</f>
        <v/>
      </c>
      <c r="Y621" s="43">
        <f>IF(AND(X621=1,S621="Yes"),O621+ROW()/1000000,0)</f>
        <v/>
      </c>
    </row>
    <row r="622">
      <c r="A622" s="35" t="inlineStr">
        <is>
          <t>LN100621</t>
        </is>
      </c>
      <c r="B622" s="35" t="inlineStr">
        <is>
          <t>Farhan Reddy</t>
        </is>
      </c>
      <c r="C622" s="35" t="inlineStr">
        <is>
          <t>DEL-01</t>
        </is>
      </c>
      <c r="D622" s="36">
        <f>INDEX(Branches!$C$2:$C$15,MATCH(C622,Branches!$A$2:$A$15,0))</f>
        <v/>
      </c>
      <c r="E622" s="35" t="inlineStr">
        <is>
          <t>Personal Loan</t>
        </is>
      </c>
      <c r="F622" s="37" t="n">
        <v>45788</v>
      </c>
      <c r="G622" s="38" t="n">
        <v>311000</v>
      </c>
      <c r="H622" s="39" t="n">
        <v>0.1203</v>
      </c>
      <c r="I622" s="35" t="n">
        <v>12</v>
      </c>
      <c r="J622" s="35" t="n">
        <v>782</v>
      </c>
      <c r="K622" s="35" t="n">
        <v>0</v>
      </c>
      <c r="L622" s="40">
        <f>ROUND(PMT(H622/12,I622,-G622),0)</f>
        <v/>
      </c>
      <c r="M622" s="41">
        <f>MAX(0,(YEAR(AsOfDate)-YEAR(F622))*12+MONTH(AsOfDate)-MONTH(F622))</f>
        <v/>
      </c>
      <c r="N622" s="41">
        <f>MAX(0,MIN(I622,M622)-INT(K622/30))</f>
        <v/>
      </c>
      <c r="O622" s="40">
        <f>IF(N622&gt;=I622,0,ROUND(PV(H622/12,I622-N622,-L622),0))</f>
        <v/>
      </c>
      <c r="P622" s="40">
        <f>MIN(I622,M622)*L622-N622*L622</f>
        <v/>
      </c>
      <c r="Q622" s="41">
        <f>INDEX(DPD_Bucket,MATCH(K622,DPD_From,1))</f>
        <v/>
      </c>
      <c r="R622" s="41">
        <f>INDEX(DPD_Class,MATCH(K622,DPD_From,1))</f>
        <v/>
      </c>
      <c r="S622" s="41">
        <f>INDEX(DPD_NPA,MATCH(K622,DPD_From,1))</f>
        <v/>
      </c>
      <c r="T622" s="42">
        <f>INDEX(DPD_Prov,MATCH(K622,DPD_From,1))</f>
        <v/>
      </c>
      <c r="U622" s="40">
        <f>ROUND(O622*T622,0)</f>
        <v/>
      </c>
      <c r="V622" s="41">
        <f>INDEX(CIBIL_Grade,MATCH(J622,CIBIL_From,1))</f>
        <v/>
      </c>
      <c r="W622" s="41">
        <f>YEAR(F622)&amp;"-Q"&amp;ROUNDUP(MONTH(F622)/3,0)</f>
        <v/>
      </c>
      <c r="X622" s="41">
        <f>IF(AND(OR(Dashboard!$C$4="All",D622=Dashboard!$C$4),OR(Dashboard!$C$5="All",E622=Dashboard!$C$5)),1,0)</f>
        <v/>
      </c>
      <c r="Y622" s="43">
        <f>IF(AND(X622=1,S622="Yes"),O622+ROW()/1000000,0)</f>
        <v/>
      </c>
    </row>
    <row r="623">
      <c r="A623" s="35" t="inlineStr">
        <is>
          <t>LN100622</t>
        </is>
      </c>
      <c r="B623" s="35" t="inlineStr">
        <is>
          <t>Deepa Kulkarni</t>
        </is>
      </c>
      <c r="C623" s="35" t="inlineStr">
        <is>
          <t>HYD-01</t>
        </is>
      </c>
      <c r="D623" s="36">
        <f>INDEX(Branches!$C$2:$C$15,MATCH(C623,Branches!$A$2:$A$15,0))</f>
        <v/>
      </c>
      <c r="E623" s="35" t="inlineStr">
        <is>
          <t>Gold Loan</t>
        </is>
      </c>
      <c r="F623" s="37" t="n">
        <v>45573</v>
      </c>
      <c r="G623" s="38" t="n">
        <v>263000</v>
      </c>
      <c r="H623" s="39" t="n">
        <v>0.1026</v>
      </c>
      <c r="I623" s="35" t="n">
        <v>6</v>
      </c>
      <c r="J623" s="35" t="n">
        <v>696</v>
      </c>
      <c r="K623" s="35" t="n">
        <v>0</v>
      </c>
      <c r="L623" s="40">
        <f>ROUND(PMT(H623/12,I623,-G623),0)</f>
        <v/>
      </c>
      <c r="M623" s="41">
        <f>MAX(0,(YEAR(AsOfDate)-YEAR(F623))*12+MONTH(AsOfDate)-MONTH(F623))</f>
        <v/>
      </c>
      <c r="N623" s="41">
        <f>MAX(0,MIN(I623,M623)-INT(K623/30))</f>
        <v/>
      </c>
      <c r="O623" s="40">
        <f>IF(N623&gt;=I623,0,ROUND(PV(H623/12,I623-N623,-L623),0))</f>
        <v/>
      </c>
      <c r="P623" s="40">
        <f>MIN(I623,M623)*L623-N623*L623</f>
        <v/>
      </c>
      <c r="Q623" s="41">
        <f>INDEX(DPD_Bucket,MATCH(K623,DPD_From,1))</f>
        <v/>
      </c>
      <c r="R623" s="41">
        <f>INDEX(DPD_Class,MATCH(K623,DPD_From,1))</f>
        <v/>
      </c>
      <c r="S623" s="41">
        <f>INDEX(DPD_NPA,MATCH(K623,DPD_From,1))</f>
        <v/>
      </c>
      <c r="T623" s="42">
        <f>INDEX(DPD_Prov,MATCH(K623,DPD_From,1))</f>
        <v/>
      </c>
      <c r="U623" s="40">
        <f>ROUND(O623*T623,0)</f>
        <v/>
      </c>
      <c r="V623" s="41">
        <f>INDEX(CIBIL_Grade,MATCH(J623,CIBIL_From,1))</f>
        <v/>
      </c>
      <c r="W623" s="41">
        <f>YEAR(F623)&amp;"-Q"&amp;ROUNDUP(MONTH(F623)/3,0)</f>
        <v/>
      </c>
      <c r="X623" s="41">
        <f>IF(AND(OR(Dashboard!$C$4="All",D623=Dashboard!$C$4),OR(Dashboard!$C$5="All",E623=Dashboard!$C$5)),1,0)</f>
        <v/>
      </c>
      <c r="Y623" s="43">
        <f>IF(AND(X623=1,S623="Yes"),O623+ROW()/1000000,0)</f>
        <v/>
      </c>
    </row>
    <row r="624">
      <c r="A624" s="35" t="inlineStr">
        <is>
          <t>LN100623</t>
        </is>
      </c>
      <c r="B624" s="35" t="inlineStr">
        <is>
          <t>Tanvi Chatterjee</t>
        </is>
      </c>
      <c r="C624" s="35" t="inlineStr">
        <is>
          <t>KOL-01</t>
        </is>
      </c>
      <c r="D624" s="36">
        <f>INDEX(Branches!$C$2:$C$15,MATCH(C624,Branches!$A$2:$A$15,0))</f>
        <v/>
      </c>
      <c r="E624" s="35" t="inlineStr">
        <is>
          <t>Business Loan</t>
        </is>
      </c>
      <c r="F624" s="37" t="n">
        <v>45576</v>
      </c>
      <c r="G624" s="38" t="n">
        <v>2011000</v>
      </c>
      <c r="H624" s="39" t="n">
        <v>0.1705</v>
      </c>
      <c r="I624" s="35" t="n">
        <v>12</v>
      </c>
      <c r="J624" s="35" t="n">
        <v>739</v>
      </c>
      <c r="K624" s="35" t="n">
        <v>0</v>
      </c>
      <c r="L624" s="40">
        <f>ROUND(PMT(H624/12,I624,-G624),0)</f>
        <v/>
      </c>
      <c r="M624" s="41">
        <f>MAX(0,(YEAR(AsOfDate)-YEAR(F624))*12+MONTH(AsOfDate)-MONTH(F624))</f>
        <v/>
      </c>
      <c r="N624" s="41">
        <f>MAX(0,MIN(I624,M624)-INT(K624/30))</f>
        <v/>
      </c>
      <c r="O624" s="40">
        <f>IF(N624&gt;=I624,0,ROUND(PV(H624/12,I624-N624,-L624),0))</f>
        <v/>
      </c>
      <c r="P624" s="40">
        <f>MIN(I624,M624)*L624-N624*L624</f>
        <v/>
      </c>
      <c r="Q624" s="41">
        <f>INDEX(DPD_Bucket,MATCH(K624,DPD_From,1))</f>
        <v/>
      </c>
      <c r="R624" s="41">
        <f>INDEX(DPD_Class,MATCH(K624,DPD_From,1))</f>
        <v/>
      </c>
      <c r="S624" s="41">
        <f>INDEX(DPD_NPA,MATCH(K624,DPD_From,1))</f>
        <v/>
      </c>
      <c r="T624" s="42">
        <f>INDEX(DPD_Prov,MATCH(K624,DPD_From,1))</f>
        <v/>
      </c>
      <c r="U624" s="40">
        <f>ROUND(O624*T624,0)</f>
        <v/>
      </c>
      <c r="V624" s="41">
        <f>INDEX(CIBIL_Grade,MATCH(J624,CIBIL_From,1))</f>
        <v/>
      </c>
      <c r="W624" s="41">
        <f>YEAR(F624)&amp;"-Q"&amp;ROUNDUP(MONTH(F624)/3,0)</f>
        <v/>
      </c>
      <c r="X624" s="41">
        <f>IF(AND(OR(Dashboard!$C$4="All",D624=Dashboard!$C$4),OR(Dashboard!$C$5="All",E624=Dashboard!$C$5)),1,0)</f>
        <v/>
      </c>
      <c r="Y624" s="43">
        <f>IF(AND(X624=1,S624="Yes"),O624+ROW()/1000000,0)</f>
        <v/>
      </c>
    </row>
    <row r="625">
      <c r="A625" s="35" t="inlineStr">
        <is>
          <t>LN100624</t>
        </is>
      </c>
      <c r="B625" s="35" t="inlineStr">
        <is>
          <t>Farhan Chatterjee</t>
        </is>
      </c>
      <c r="C625" s="35" t="inlineStr">
        <is>
          <t>GUW-01</t>
        </is>
      </c>
      <c r="D625" s="36">
        <f>INDEX(Branches!$C$2:$C$15,MATCH(C625,Branches!$A$2:$A$15,0))</f>
        <v/>
      </c>
      <c r="E625" s="35" t="inlineStr">
        <is>
          <t>Personal Loan</t>
        </is>
      </c>
      <c r="F625" s="37" t="n">
        <v>45178</v>
      </c>
      <c r="G625" s="38" t="n">
        <v>868000</v>
      </c>
      <c r="H625" s="39" t="n">
        <v>0.1394</v>
      </c>
      <c r="I625" s="35" t="n">
        <v>36</v>
      </c>
      <c r="J625" s="35" t="n">
        <v>745</v>
      </c>
      <c r="K625" s="35" t="n">
        <v>0</v>
      </c>
      <c r="L625" s="40">
        <f>ROUND(PMT(H625/12,I625,-G625),0)</f>
        <v/>
      </c>
      <c r="M625" s="41">
        <f>MAX(0,(YEAR(AsOfDate)-YEAR(F625))*12+MONTH(AsOfDate)-MONTH(F625))</f>
        <v/>
      </c>
      <c r="N625" s="41">
        <f>MAX(0,MIN(I625,M625)-INT(K625/30))</f>
        <v/>
      </c>
      <c r="O625" s="40">
        <f>IF(N625&gt;=I625,0,ROUND(PV(H625/12,I625-N625,-L625),0))</f>
        <v/>
      </c>
      <c r="P625" s="40">
        <f>MIN(I625,M625)*L625-N625*L625</f>
        <v/>
      </c>
      <c r="Q625" s="41">
        <f>INDEX(DPD_Bucket,MATCH(K625,DPD_From,1))</f>
        <v/>
      </c>
      <c r="R625" s="41">
        <f>INDEX(DPD_Class,MATCH(K625,DPD_From,1))</f>
        <v/>
      </c>
      <c r="S625" s="41">
        <f>INDEX(DPD_NPA,MATCH(K625,DPD_From,1))</f>
        <v/>
      </c>
      <c r="T625" s="42">
        <f>INDEX(DPD_Prov,MATCH(K625,DPD_From,1))</f>
        <v/>
      </c>
      <c r="U625" s="40">
        <f>ROUND(O625*T625,0)</f>
        <v/>
      </c>
      <c r="V625" s="41">
        <f>INDEX(CIBIL_Grade,MATCH(J625,CIBIL_From,1))</f>
        <v/>
      </c>
      <c r="W625" s="41">
        <f>YEAR(F625)&amp;"-Q"&amp;ROUNDUP(MONTH(F625)/3,0)</f>
        <v/>
      </c>
      <c r="X625" s="41">
        <f>IF(AND(OR(Dashboard!$C$4="All",D625=Dashboard!$C$4),OR(Dashboard!$C$5="All",E625=Dashboard!$C$5)),1,0)</f>
        <v/>
      </c>
      <c r="Y625" s="43">
        <f>IF(AND(X625=1,S625="Yes"),O625+ROW()/1000000,0)</f>
        <v/>
      </c>
    </row>
    <row r="626">
      <c r="A626" s="35" t="inlineStr">
        <is>
          <t>LN100625</t>
        </is>
      </c>
      <c r="B626" s="35" t="inlineStr">
        <is>
          <t>Diya Verma</t>
        </is>
      </c>
      <c r="C626" s="35" t="inlineStr">
        <is>
          <t>HYD-01</t>
        </is>
      </c>
      <c r="D626" s="36">
        <f>INDEX(Branches!$C$2:$C$15,MATCH(C626,Branches!$A$2:$A$15,0))</f>
        <v/>
      </c>
      <c r="E626" s="35" t="inlineStr">
        <is>
          <t>Personal Loan</t>
        </is>
      </c>
      <c r="F626" s="37" t="n">
        <v>45822</v>
      </c>
      <c r="G626" s="38" t="n">
        <v>594000</v>
      </c>
      <c r="H626" s="39" t="n">
        <v>0.1392</v>
      </c>
      <c r="I626" s="35" t="n">
        <v>36</v>
      </c>
      <c r="J626" s="35" t="n">
        <v>744</v>
      </c>
      <c r="K626" s="35" t="n">
        <v>0</v>
      </c>
      <c r="L626" s="40">
        <f>ROUND(PMT(H626/12,I626,-G626),0)</f>
        <v/>
      </c>
      <c r="M626" s="41">
        <f>MAX(0,(YEAR(AsOfDate)-YEAR(F626))*12+MONTH(AsOfDate)-MONTH(F626))</f>
        <v/>
      </c>
      <c r="N626" s="41">
        <f>MAX(0,MIN(I626,M626)-INT(K626/30))</f>
        <v/>
      </c>
      <c r="O626" s="40">
        <f>IF(N626&gt;=I626,0,ROUND(PV(H626/12,I626-N626,-L626),0))</f>
        <v/>
      </c>
      <c r="P626" s="40">
        <f>MIN(I626,M626)*L626-N626*L626</f>
        <v/>
      </c>
      <c r="Q626" s="41">
        <f>INDEX(DPD_Bucket,MATCH(K626,DPD_From,1))</f>
        <v/>
      </c>
      <c r="R626" s="41">
        <f>INDEX(DPD_Class,MATCH(K626,DPD_From,1))</f>
        <v/>
      </c>
      <c r="S626" s="41">
        <f>INDEX(DPD_NPA,MATCH(K626,DPD_From,1))</f>
        <v/>
      </c>
      <c r="T626" s="42">
        <f>INDEX(DPD_Prov,MATCH(K626,DPD_From,1))</f>
        <v/>
      </c>
      <c r="U626" s="40">
        <f>ROUND(O626*T626,0)</f>
        <v/>
      </c>
      <c r="V626" s="41">
        <f>INDEX(CIBIL_Grade,MATCH(J626,CIBIL_From,1))</f>
        <v/>
      </c>
      <c r="W626" s="41">
        <f>YEAR(F626)&amp;"-Q"&amp;ROUNDUP(MONTH(F626)/3,0)</f>
        <v/>
      </c>
      <c r="X626" s="41">
        <f>IF(AND(OR(Dashboard!$C$4="All",D626=Dashboard!$C$4),OR(Dashboard!$C$5="All",E626=Dashboard!$C$5)),1,0)</f>
        <v/>
      </c>
      <c r="Y626" s="43">
        <f>IF(AND(X626=1,S626="Yes"),O626+ROW()/1000000,0)</f>
        <v/>
      </c>
    </row>
    <row r="627">
      <c r="A627" s="35" t="inlineStr">
        <is>
          <t>LN100626</t>
        </is>
      </c>
      <c r="B627" s="35" t="inlineStr">
        <is>
          <t>Reyansh Reddy</t>
        </is>
      </c>
      <c r="C627" s="35" t="inlineStr">
        <is>
          <t>HYD-01</t>
        </is>
      </c>
      <c r="D627" s="36">
        <f>INDEX(Branches!$C$2:$C$15,MATCH(C627,Branches!$A$2:$A$15,0))</f>
        <v/>
      </c>
      <c r="E627" s="35" t="inlineStr">
        <is>
          <t>Home Loan</t>
        </is>
      </c>
      <c r="F627" s="37" t="n">
        <v>45589</v>
      </c>
      <c r="G627" s="38" t="n">
        <v>5093000</v>
      </c>
      <c r="H627" s="39" t="n">
        <v>0.08459999999999999</v>
      </c>
      <c r="I627" s="35" t="n">
        <v>120</v>
      </c>
      <c r="J627" s="35" t="n">
        <v>696</v>
      </c>
      <c r="K627" s="35" t="n">
        <v>0</v>
      </c>
      <c r="L627" s="40">
        <f>ROUND(PMT(H627/12,I627,-G627),0)</f>
        <v/>
      </c>
      <c r="M627" s="41">
        <f>MAX(0,(YEAR(AsOfDate)-YEAR(F627))*12+MONTH(AsOfDate)-MONTH(F627))</f>
        <v/>
      </c>
      <c r="N627" s="41">
        <f>MAX(0,MIN(I627,M627)-INT(K627/30))</f>
        <v/>
      </c>
      <c r="O627" s="40">
        <f>IF(N627&gt;=I627,0,ROUND(PV(H627/12,I627-N627,-L627),0))</f>
        <v/>
      </c>
      <c r="P627" s="40">
        <f>MIN(I627,M627)*L627-N627*L627</f>
        <v/>
      </c>
      <c r="Q627" s="41">
        <f>INDEX(DPD_Bucket,MATCH(K627,DPD_From,1))</f>
        <v/>
      </c>
      <c r="R627" s="41">
        <f>INDEX(DPD_Class,MATCH(K627,DPD_From,1))</f>
        <v/>
      </c>
      <c r="S627" s="41">
        <f>INDEX(DPD_NPA,MATCH(K627,DPD_From,1))</f>
        <v/>
      </c>
      <c r="T627" s="42">
        <f>INDEX(DPD_Prov,MATCH(K627,DPD_From,1))</f>
        <v/>
      </c>
      <c r="U627" s="40">
        <f>ROUND(O627*T627,0)</f>
        <v/>
      </c>
      <c r="V627" s="41">
        <f>INDEX(CIBIL_Grade,MATCH(J627,CIBIL_From,1))</f>
        <v/>
      </c>
      <c r="W627" s="41">
        <f>YEAR(F627)&amp;"-Q"&amp;ROUNDUP(MONTH(F627)/3,0)</f>
        <v/>
      </c>
      <c r="X627" s="41">
        <f>IF(AND(OR(Dashboard!$C$4="All",D627=Dashboard!$C$4),OR(Dashboard!$C$5="All",E627=Dashboard!$C$5)),1,0)</f>
        <v/>
      </c>
      <c r="Y627" s="43">
        <f>IF(AND(X627=1,S627="Yes"),O627+ROW()/1000000,0)</f>
        <v/>
      </c>
    </row>
    <row r="628">
      <c r="A628" s="35" t="inlineStr">
        <is>
          <t>LN100627</t>
        </is>
      </c>
      <c r="B628" s="35" t="inlineStr">
        <is>
          <t>Vivaan Rao</t>
        </is>
      </c>
      <c r="C628" s="35" t="inlineStr">
        <is>
          <t>PUN-01</t>
        </is>
      </c>
      <c r="D628" s="36">
        <f>INDEX(Branches!$C$2:$C$15,MATCH(C628,Branches!$A$2:$A$15,0))</f>
        <v/>
      </c>
      <c r="E628" s="35" t="inlineStr">
        <is>
          <t>Auto Loan</t>
        </is>
      </c>
      <c r="F628" s="37" t="n">
        <v>45271</v>
      </c>
      <c r="G628" s="38" t="n">
        <v>637000</v>
      </c>
      <c r="H628" s="39" t="n">
        <v>0.1029</v>
      </c>
      <c r="I628" s="35" t="n">
        <v>48</v>
      </c>
      <c r="J628" s="35" t="n">
        <v>732</v>
      </c>
      <c r="K628" s="35" t="n">
        <v>0</v>
      </c>
      <c r="L628" s="40">
        <f>ROUND(PMT(H628/12,I628,-G628),0)</f>
        <v/>
      </c>
      <c r="M628" s="41">
        <f>MAX(0,(YEAR(AsOfDate)-YEAR(F628))*12+MONTH(AsOfDate)-MONTH(F628))</f>
        <v/>
      </c>
      <c r="N628" s="41">
        <f>MAX(0,MIN(I628,M628)-INT(K628/30))</f>
        <v/>
      </c>
      <c r="O628" s="40">
        <f>IF(N628&gt;=I628,0,ROUND(PV(H628/12,I628-N628,-L628),0))</f>
        <v/>
      </c>
      <c r="P628" s="40">
        <f>MIN(I628,M628)*L628-N628*L628</f>
        <v/>
      </c>
      <c r="Q628" s="41">
        <f>INDEX(DPD_Bucket,MATCH(K628,DPD_From,1))</f>
        <v/>
      </c>
      <c r="R628" s="41">
        <f>INDEX(DPD_Class,MATCH(K628,DPD_From,1))</f>
        <v/>
      </c>
      <c r="S628" s="41">
        <f>INDEX(DPD_NPA,MATCH(K628,DPD_From,1))</f>
        <v/>
      </c>
      <c r="T628" s="42">
        <f>INDEX(DPD_Prov,MATCH(K628,DPD_From,1))</f>
        <v/>
      </c>
      <c r="U628" s="40">
        <f>ROUND(O628*T628,0)</f>
        <v/>
      </c>
      <c r="V628" s="41">
        <f>INDEX(CIBIL_Grade,MATCH(J628,CIBIL_From,1))</f>
        <v/>
      </c>
      <c r="W628" s="41">
        <f>YEAR(F628)&amp;"-Q"&amp;ROUNDUP(MONTH(F628)/3,0)</f>
        <v/>
      </c>
      <c r="X628" s="41">
        <f>IF(AND(OR(Dashboard!$C$4="All",D628=Dashboard!$C$4),OR(Dashboard!$C$5="All",E628=Dashboard!$C$5)),1,0)</f>
        <v/>
      </c>
      <c r="Y628" s="43">
        <f>IF(AND(X628=1,S628="Yes"),O628+ROW()/1000000,0)</f>
        <v/>
      </c>
    </row>
    <row r="629">
      <c r="A629" s="35" t="inlineStr">
        <is>
          <t>LN100628</t>
        </is>
      </c>
      <c r="B629" s="35" t="inlineStr">
        <is>
          <t>Kavya Pillai</t>
        </is>
      </c>
      <c r="C629" s="35" t="inlineStr">
        <is>
          <t>PAT-01</t>
        </is>
      </c>
      <c r="D629" s="36">
        <f>INDEX(Branches!$C$2:$C$15,MATCH(C629,Branches!$A$2:$A$15,0))</f>
        <v/>
      </c>
      <c r="E629" s="35" t="inlineStr">
        <is>
          <t>Gold Loan</t>
        </is>
      </c>
      <c r="F629" s="37" t="n">
        <v>45925</v>
      </c>
      <c r="G629" s="38" t="n">
        <v>115000</v>
      </c>
      <c r="H629" s="39" t="n">
        <v>0.1037</v>
      </c>
      <c r="I629" s="35" t="n">
        <v>12</v>
      </c>
      <c r="J629" s="35" t="n">
        <v>770</v>
      </c>
      <c r="K629" s="35" t="n">
        <v>0</v>
      </c>
      <c r="L629" s="40">
        <f>ROUND(PMT(H629/12,I629,-G629),0)</f>
        <v/>
      </c>
      <c r="M629" s="41">
        <f>MAX(0,(YEAR(AsOfDate)-YEAR(F629))*12+MONTH(AsOfDate)-MONTH(F629))</f>
        <v/>
      </c>
      <c r="N629" s="41">
        <f>MAX(0,MIN(I629,M629)-INT(K629/30))</f>
        <v/>
      </c>
      <c r="O629" s="40">
        <f>IF(N629&gt;=I629,0,ROUND(PV(H629/12,I629-N629,-L629),0))</f>
        <v/>
      </c>
      <c r="P629" s="40">
        <f>MIN(I629,M629)*L629-N629*L629</f>
        <v/>
      </c>
      <c r="Q629" s="41">
        <f>INDEX(DPD_Bucket,MATCH(K629,DPD_From,1))</f>
        <v/>
      </c>
      <c r="R629" s="41">
        <f>INDEX(DPD_Class,MATCH(K629,DPD_From,1))</f>
        <v/>
      </c>
      <c r="S629" s="41">
        <f>INDEX(DPD_NPA,MATCH(K629,DPD_From,1))</f>
        <v/>
      </c>
      <c r="T629" s="42">
        <f>INDEX(DPD_Prov,MATCH(K629,DPD_From,1))</f>
        <v/>
      </c>
      <c r="U629" s="40">
        <f>ROUND(O629*T629,0)</f>
        <v/>
      </c>
      <c r="V629" s="41">
        <f>INDEX(CIBIL_Grade,MATCH(J629,CIBIL_From,1))</f>
        <v/>
      </c>
      <c r="W629" s="41">
        <f>YEAR(F629)&amp;"-Q"&amp;ROUNDUP(MONTH(F629)/3,0)</f>
        <v/>
      </c>
      <c r="X629" s="41">
        <f>IF(AND(OR(Dashboard!$C$4="All",D629=Dashboard!$C$4),OR(Dashboard!$C$5="All",E629=Dashboard!$C$5)),1,0)</f>
        <v/>
      </c>
      <c r="Y629" s="43">
        <f>IF(AND(X629=1,S629="Yes"),O629+ROW()/1000000,0)</f>
        <v/>
      </c>
    </row>
    <row r="630">
      <c r="A630" s="35" t="inlineStr">
        <is>
          <t>LN100629</t>
        </is>
      </c>
      <c r="B630" s="35" t="inlineStr">
        <is>
          <t>Diya Mishra</t>
        </is>
      </c>
      <c r="C630" s="35" t="inlineStr">
        <is>
          <t>KOL-01</t>
        </is>
      </c>
      <c r="D630" s="36">
        <f>INDEX(Branches!$C$2:$C$15,MATCH(C630,Branches!$A$2:$A$15,0))</f>
        <v/>
      </c>
      <c r="E630" s="35" t="inlineStr">
        <is>
          <t>Auto Loan</t>
        </is>
      </c>
      <c r="F630" s="37" t="n">
        <v>45134</v>
      </c>
      <c r="G630" s="38" t="n">
        <v>635000</v>
      </c>
      <c r="H630" s="39" t="n">
        <v>0.1065</v>
      </c>
      <c r="I630" s="35" t="n">
        <v>36</v>
      </c>
      <c r="J630" s="35" t="n">
        <v>692</v>
      </c>
      <c r="K630" s="35" t="n">
        <v>0</v>
      </c>
      <c r="L630" s="40">
        <f>ROUND(PMT(H630/12,I630,-G630),0)</f>
        <v/>
      </c>
      <c r="M630" s="41">
        <f>MAX(0,(YEAR(AsOfDate)-YEAR(F630))*12+MONTH(AsOfDate)-MONTH(F630))</f>
        <v/>
      </c>
      <c r="N630" s="41">
        <f>MAX(0,MIN(I630,M630)-INT(K630/30))</f>
        <v/>
      </c>
      <c r="O630" s="40">
        <f>IF(N630&gt;=I630,0,ROUND(PV(H630/12,I630-N630,-L630),0))</f>
        <v/>
      </c>
      <c r="P630" s="40">
        <f>MIN(I630,M630)*L630-N630*L630</f>
        <v/>
      </c>
      <c r="Q630" s="41">
        <f>INDEX(DPD_Bucket,MATCH(K630,DPD_From,1))</f>
        <v/>
      </c>
      <c r="R630" s="41">
        <f>INDEX(DPD_Class,MATCH(K630,DPD_From,1))</f>
        <v/>
      </c>
      <c r="S630" s="41">
        <f>INDEX(DPD_NPA,MATCH(K630,DPD_From,1))</f>
        <v/>
      </c>
      <c r="T630" s="42">
        <f>INDEX(DPD_Prov,MATCH(K630,DPD_From,1))</f>
        <v/>
      </c>
      <c r="U630" s="40">
        <f>ROUND(O630*T630,0)</f>
        <v/>
      </c>
      <c r="V630" s="41">
        <f>INDEX(CIBIL_Grade,MATCH(J630,CIBIL_From,1))</f>
        <v/>
      </c>
      <c r="W630" s="41">
        <f>YEAR(F630)&amp;"-Q"&amp;ROUNDUP(MONTH(F630)/3,0)</f>
        <v/>
      </c>
      <c r="X630" s="41">
        <f>IF(AND(OR(Dashboard!$C$4="All",D630=Dashboard!$C$4),OR(Dashboard!$C$5="All",E630=Dashboard!$C$5)),1,0)</f>
        <v/>
      </c>
      <c r="Y630" s="43">
        <f>IF(AND(X630=1,S630="Yes"),O630+ROW()/1000000,0)</f>
        <v/>
      </c>
    </row>
    <row r="631">
      <c r="A631" s="35" t="inlineStr">
        <is>
          <t>LN100630</t>
        </is>
      </c>
      <c r="B631" s="35" t="inlineStr">
        <is>
          <t>Zoya Pillai</t>
        </is>
      </c>
      <c r="C631" s="35" t="inlineStr">
        <is>
          <t>BLR-01</t>
        </is>
      </c>
      <c r="D631" s="36">
        <f>INDEX(Branches!$C$2:$C$15,MATCH(C631,Branches!$A$2:$A$15,0))</f>
        <v/>
      </c>
      <c r="E631" s="35" t="inlineStr">
        <is>
          <t>Gold Loan</t>
        </is>
      </c>
      <c r="F631" s="37" t="n">
        <v>45480</v>
      </c>
      <c r="G631" s="38" t="n">
        <v>113000</v>
      </c>
      <c r="H631" s="39" t="n">
        <v>0.1065</v>
      </c>
      <c r="I631" s="35" t="n">
        <v>12</v>
      </c>
      <c r="J631" s="35" t="n">
        <v>810</v>
      </c>
      <c r="K631" s="35" t="n">
        <v>0</v>
      </c>
      <c r="L631" s="40">
        <f>ROUND(PMT(H631/12,I631,-G631),0)</f>
        <v/>
      </c>
      <c r="M631" s="41">
        <f>MAX(0,(YEAR(AsOfDate)-YEAR(F631))*12+MONTH(AsOfDate)-MONTH(F631))</f>
        <v/>
      </c>
      <c r="N631" s="41">
        <f>MAX(0,MIN(I631,M631)-INT(K631/30))</f>
        <v/>
      </c>
      <c r="O631" s="40">
        <f>IF(N631&gt;=I631,0,ROUND(PV(H631/12,I631-N631,-L631),0))</f>
        <v/>
      </c>
      <c r="P631" s="40">
        <f>MIN(I631,M631)*L631-N631*L631</f>
        <v/>
      </c>
      <c r="Q631" s="41">
        <f>INDEX(DPD_Bucket,MATCH(K631,DPD_From,1))</f>
        <v/>
      </c>
      <c r="R631" s="41">
        <f>INDEX(DPD_Class,MATCH(K631,DPD_From,1))</f>
        <v/>
      </c>
      <c r="S631" s="41">
        <f>INDEX(DPD_NPA,MATCH(K631,DPD_From,1))</f>
        <v/>
      </c>
      <c r="T631" s="42">
        <f>INDEX(DPD_Prov,MATCH(K631,DPD_From,1))</f>
        <v/>
      </c>
      <c r="U631" s="40">
        <f>ROUND(O631*T631,0)</f>
        <v/>
      </c>
      <c r="V631" s="41">
        <f>INDEX(CIBIL_Grade,MATCH(J631,CIBIL_From,1))</f>
        <v/>
      </c>
      <c r="W631" s="41">
        <f>YEAR(F631)&amp;"-Q"&amp;ROUNDUP(MONTH(F631)/3,0)</f>
        <v/>
      </c>
      <c r="X631" s="41">
        <f>IF(AND(OR(Dashboard!$C$4="All",D631=Dashboard!$C$4),OR(Dashboard!$C$5="All",E631=Dashboard!$C$5)),1,0)</f>
        <v/>
      </c>
      <c r="Y631" s="43">
        <f>IF(AND(X631=1,S631="Yes"),O631+ROW()/1000000,0)</f>
        <v/>
      </c>
    </row>
    <row r="632">
      <c r="A632" s="35" t="inlineStr">
        <is>
          <t>LN100631</t>
        </is>
      </c>
      <c r="B632" s="35" t="inlineStr">
        <is>
          <t>Aditya Kulkarni</t>
        </is>
      </c>
      <c r="C632" s="35" t="inlineStr">
        <is>
          <t>GUW-01</t>
        </is>
      </c>
      <c r="D632" s="36">
        <f>INDEX(Branches!$C$2:$C$15,MATCH(C632,Branches!$A$2:$A$15,0))</f>
        <v/>
      </c>
      <c r="E632" s="35" t="inlineStr">
        <is>
          <t>Auto Loan</t>
        </is>
      </c>
      <c r="F632" s="37" t="n">
        <v>45722</v>
      </c>
      <c r="G632" s="38" t="n">
        <v>1113000</v>
      </c>
      <c r="H632" s="39" t="n">
        <v>0.1098</v>
      </c>
      <c r="I632" s="35" t="n">
        <v>84</v>
      </c>
      <c r="J632" s="35" t="n">
        <v>712</v>
      </c>
      <c r="K632" s="35" t="n">
        <v>21</v>
      </c>
      <c r="L632" s="40">
        <f>ROUND(PMT(H632/12,I632,-G632),0)</f>
        <v/>
      </c>
      <c r="M632" s="41">
        <f>MAX(0,(YEAR(AsOfDate)-YEAR(F632))*12+MONTH(AsOfDate)-MONTH(F632))</f>
        <v/>
      </c>
      <c r="N632" s="41">
        <f>MAX(0,MIN(I632,M632)-INT(K632/30))</f>
        <v/>
      </c>
      <c r="O632" s="40">
        <f>IF(N632&gt;=I632,0,ROUND(PV(H632/12,I632-N632,-L632),0))</f>
        <v/>
      </c>
      <c r="P632" s="40">
        <f>MIN(I632,M632)*L632-N632*L632</f>
        <v/>
      </c>
      <c r="Q632" s="41">
        <f>INDEX(DPD_Bucket,MATCH(K632,DPD_From,1))</f>
        <v/>
      </c>
      <c r="R632" s="41">
        <f>INDEX(DPD_Class,MATCH(K632,DPD_From,1))</f>
        <v/>
      </c>
      <c r="S632" s="41">
        <f>INDEX(DPD_NPA,MATCH(K632,DPD_From,1))</f>
        <v/>
      </c>
      <c r="T632" s="42">
        <f>INDEX(DPD_Prov,MATCH(K632,DPD_From,1))</f>
        <v/>
      </c>
      <c r="U632" s="40">
        <f>ROUND(O632*T632,0)</f>
        <v/>
      </c>
      <c r="V632" s="41">
        <f>INDEX(CIBIL_Grade,MATCH(J632,CIBIL_From,1))</f>
        <v/>
      </c>
      <c r="W632" s="41">
        <f>YEAR(F632)&amp;"-Q"&amp;ROUNDUP(MONTH(F632)/3,0)</f>
        <v/>
      </c>
      <c r="X632" s="41">
        <f>IF(AND(OR(Dashboard!$C$4="All",D632=Dashboard!$C$4),OR(Dashboard!$C$5="All",E632=Dashboard!$C$5)),1,0)</f>
        <v/>
      </c>
      <c r="Y632" s="43">
        <f>IF(AND(X632=1,S632="Yes"),O632+ROW()/1000000,0)</f>
        <v/>
      </c>
    </row>
    <row r="633">
      <c r="A633" s="35" t="inlineStr">
        <is>
          <t>LN100632</t>
        </is>
      </c>
      <c r="B633" s="35" t="inlineStr">
        <is>
          <t>Priya Sahoo</t>
        </is>
      </c>
      <c r="C633" s="35" t="inlineStr">
        <is>
          <t>JAI-01</t>
        </is>
      </c>
      <c r="D633" s="36">
        <f>INDEX(Branches!$C$2:$C$15,MATCH(C633,Branches!$A$2:$A$15,0))</f>
        <v/>
      </c>
      <c r="E633" s="35" t="inlineStr">
        <is>
          <t>Home Loan</t>
        </is>
      </c>
      <c r="F633" s="37" t="n">
        <v>45366</v>
      </c>
      <c r="G633" s="38" t="n">
        <v>8650000</v>
      </c>
      <c r="H633" s="39" t="n">
        <v>0.0848</v>
      </c>
      <c r="I633" s="35" t="n">
        <v>240</v>
      </c>
      <c r="J633" s="35" t="n">
        <v>743</v>
      </c>
      <c r="K633" s="35" t="n">
        <v>0</v>
      </c>
      <c r="L633" s="40">
        <f>ROUND(PMT(H633/12,I633,-G633),0)</f>
        <v/>
      </c>
      <c r="M633" s="41">
        <f>MAX(0,(YEAR(AsOfDate)-YEAR(F633))*12+MONTH(AsOfDate)-MONTH(F633))</f>
        <v/>
      </c>
      <c r="N633" s="41">
        <f>MAX(0,MIN(I633,M633)-INT(K633/30))</f>
        <v/>
      </c>
      <c r="O633" s="40">
        <f>IF(N633&gt;=I633,0,ROUND(PV(H633/12,I633-N633,-L633),0))</f>
        <v/>
      </c>
      <c r="P633" s="40">
        <f>MIN(I633,M633)*L633-N633*L633</f>
        <v/>
      </c>
      <c r="Q633" s="41">
        <f>INDEX(DPD_Bucket,MATCH(K633,DPD_From,1))</f>
        <v/>
      </c>
      <c r="R633" s="41">
        <f>INDEX(DPD_Class,MATCH(K633,DPD_From,1))</f>
        <v/>
      </c>
      <c r="S633" s="41">
        <f>INDEX(DPD_NPA,MATCH(K633,DPD_From,1))</f>
        <v/>
      </c>
      <c r="T633" s="42">
        <f>INDEX(DPD_Prov,MATCH(K633,DPD_From,1))</f>
        <v/>
      </c>
      <c r="U633" s="40">
        <f>ROUND(O633*T633,0)</f>
        <v/>
      </c>
      <c r="V633" s="41">
        <f>INDEX(CIBIL_Grade,MATCH(J633,CIBIL_From,1))</f>
        <v/>
      </c>
      <c r="W633" s="41">
        <f>YEAR(F633)&amp;"-Q"&amp;ROUNDUP(MONTH(F633)/3,0)</f>
        <v/>
      </c>
      <c r="X633" s="41">
        <f>IF(AND(OR(Dashboard!$C$4="All",D633=Dashboard!$C$4),OR(Dashboard!$C$5="All",E633=Dashboard!$C$5)),1,0)</f>
        <v/>
      </c>
      <c r="Y633" s="43">
        <f>IF(AND(X633=1,S633="Yes"),O633+ROW()/1000000,0)</f>
        <v/>
      </c>
    </row>
    <row r="634">
      <c r="A634" s="35" t="inlineStr">
        <is>
          <t>LN100633</t>
        </is>
      </c>
      <c r="B634" s="35" t="inlineStr">
        <is>
          <t>Aarav Singh</t>
        </is>
      </c>
      <c r="C634" s="35" t="inlineStr">
        <is>
          <t>PUN-01</t>
        </is>
      </c>
      <c r="D634" s="36">
        <f>INDEX(Branches!$C$2:$C$15,MATCH(C634,Branches!$A$2:$A$15,0))</f>
        <v/>
      </c>
      <c r="E634" s="35" t="inlineStr">
        <is>
          <t>Personal Loan</t>
        </is>
      </c>
      <c r="F634" s="37" t="n">
        <v>45871</v>
      </c>
      <c r="G634" s="38" t="n">
        <v>592000</v>
      </c>
      <c r="H634" s="39" t="n">
        <v>0.1783</v>
      </c>
      <c r="I634" s="35" t="n">
        <v>48</v>
      </c>
      <c r="J634" s="35" t="n">
        <v>722</v>
      </c>
      <c r="K634" s="35" t="n">
        <v>0</v>
      </c>
      <c r="L634" s="40">
        <f>ROUND(PMT(H634/12,I634,-G634),0)</f>
        <v/>
      </c>
      <c r="M634" s="41">
        <f>MAX(0,(YEAR(AsOfDate)-YEAR(F634))*12+MONTH(AsOfDate)-MONTH(F634))</f>
        <v/>
      </c>
      <c r="N634" s="41">
        <f>MAX(0,MIN(I634,M634)-INT(K634/30))</f>
        <v/>
      </c>
      <c r="O634" s="40">
        <f>IF(N634&gt;=I634,0,ROUND(PV(H634/12,I634-N634,-L634),0))</f>
        <v/>
      </c>
      <c r="P634" s="40">
        <f>MIN(I634,M634)*L634-N634*L634</f>
        <v/>
      </c>
      <c r="Q634" s="41">
        <f>INDEX(DPD_Bucket,MATCH(K634,DPD_From,1))</f>
        <v/>
      </c>
      <c r="R634" s="41">
        <f>INDEX(DPD_Class,MATCH(K634,DPD_From,1))</f>
        <v/>
      </c>
      <c r="S634" s="41">
        <f>INDEX(DPD_NPA,MATCH(K634,DPD_From,1))</f>
        <v/>
      </c>
      <c r="T634" s="42">
        <f>INDEX(DPD_Prov,MATCH(K634,DPD_From,1))</f>
        <v/>
      </c>
      <c r="U634" s="40">
        <f>ROUND(O634*T634,0)</f>
        <v/>
      </c>
      <c r="V634" s="41">
        <f>INDEX(CIBIL_Grade,MATCH(J634,CIBIL_From,1))</f>
        <v/>
      </c>
      <c r="W634" s="41">
        <f>YEAR(F634)&amp;"-Q"&amp;ROUNDUP(MONTH(F634)/3,0)</f>
        <v/>
      </c>
      <c r="X634" s="41">
        <f>IF(AND(OR(Dashboard!$C$4="All",D634=Dashboard!$C$4),OR(Dashboard!$C$5="All",E634=Dashboard!$C$5)),1,0)</f>
        <v/>
      </c>
      <c r="Y634" s="43">
        <f>IF(AND(X634=1,S634="Yes"),O634+ROW()/1000000,0)</f>
        <v/>
      </c>
    </row>
    <row r="635">
      <c r="A635" s="35" t="inlineStr">
        <is>
          <t>LN100634</t>
        </is>
      </c>
      <c r="B635" s="35" t="inlineStr">
        <is>
          <t>Riya Khan</t>
        </is>
      </c>
      <c r="C635" s="35" t="inlineStr">
        <is>
          <t>PAT-01</t>
        </is>
      </c>
      <c r="D635" s="36">
        <f>INDEX(Branches!$C$2:$C$15,MATCH(C635,Branches!$A$2:$A$15,0))</f>
        <v/>
      </c>
      <c r="E635" s="35" t="inlineStr">
        <is>
          <t>Business Loan</t>
        </is>
      </c>
      <c r="F635" s="37" t="n">
        <v>45732</v>
      </c>
      <c r="G635" s="38" t="n">
        <v>2491000</v>
      </c>
      <c r="H635" s="39" t="n">
        <v>0.1415</v>
      </c>
      <c r="I635" s="35" t="n">
        <v>12</v>
      </c>
      <c r="J635" s="35" t="n">
        <v>678</v>
      </c>
      <c r="K635" s="35" t="n">
        <v>0</v>
      </c>
      <c r="L635" s="40">
        <f>ROUND(PMT(H635/12,I635,-G635),0)</f>
        <v/>
      </c>
      <c r="M635" s="41">
        <f>MAX(0,(YEAR(AsOfDate)-YEAR(F635))*12+MONTH(AsOfDate)-MONTH(F635))</f>
        <v/>
      </c>
      <c r="N635" s="41">
        <f>MAX(0,MIN(I635,M635)-INT(K635/30))</f>
        <v/>
      </c>
      <c r="O635" s="40">
        <f>IF(N635&gt;=I635,0,ROUND(PV(H635/12,I635-N635,-L635),0))</f>
        <v/>
      </c>
      <c r="P635" s="40">
        <f>MIN(I635,M635)*L635-N635*L635</f>
        <v/>
      </c>
      <c r="Q635" s="41">
        <f>INDEX(DPD_Bucket,MATCH(K635,DPD_From,1))</f>
        <v/>
      </c>
      <c r="R635" s="41">
        <f>INDEX(DPD_Class,MATCH(K635,DPD_From,1))</f>
        <v/>
      </c>
      <c r="S635" s="41">
        <f>INDEX(DPD_NPA,MATCH(K635,DPD_From,1))</f>
        <v/>
      </c>
      <c r="T635" s="42">
        <f>INDEX(DPD_Prov,MATCH(K635,DPD_From,1))</f>
        <v/>
      </c>
      <c r="U635" s="40">
        <f>ROUND(O635*T635,0)</f>
        <v/>
      </c>
      <c r="V635" s="41">
        <f>INDEX(CIBIL_Grade,MATCH(J635,CIBIL_From,1))</f>
        <v/>
      </c>
      <c r="W635" s="41">
        <f>YEAR(F635)&amp;"-Q"&amp;ROUNDUP(MONTH(F635)/3,0)</f>
        <v/>
      </c>
      <c r="X635" s="41">
        <f>IF(AND(OR(Dashboard!$C$4="All",D635=Dashboard!$C$4),OR(Dashboard!$C$5="All",E635=Dashboard!$C$5)),1,0)</f>
        <v/>
      </c>
      <c r="Y635" s="43">
        <f>IF(AND(X635=1,S635="Yes"),O635+ROW()/1000000,0)</f>
        <v/>
      </c>
    </row>
    <row r="636">
      <c r="A636" s="35" t="inlineStr">
        <is>
          <t>LN100635</t>
        </is>
      </c>
      <c r="B636" s="35" t="inlineStr">
        <is>
          <t>Kavya Iyer</t>
        </is>
      </c>
      <c r="C636" s="35" t="inlineStr">
        <is>
          <t>BLR-01</t>
        </is>
      </c>
      <c r="D636" s="36">
        <f>INDEX(Branches!$C$2:$C$15,MATCH(C636,Branches!$A$2:$A$15,0))</f>
        <v/>
      </c>
      <c r="E636" s="35" t="inlineStr">
        <is>
          <t>Business Loan</t>
        </is>
      </c>
      <c r="F636" s="37" t="n">
        <v>45325</v>
      </c>
      <c r="G636" s="38" t="n">
        <v>2343000</v>
      </c>
      <c r="H636" s="39" t="n">
        <v>0.194</v>
      </c>
      <c r="I636" s="35" t="n">
        <v>60</v>
      </c>
      <c r="J636" s="35" t="n">
        <v>781</v>
      </c>
      <c r="K636" s="35" t="n">
        <v>825</v>
      </c>
      <c r="L636" s="40">
        <f>ROUND(PMT(H636/12,I636,-G636),0)</f>
        <v/>
      </c>
      <c r="M636" s="41">
        <f>MAX(0,(YEAR(AsOfDate)-YEAR(F636))*12+MONTH(AsOfDate)-MONTH(F636))</f>
        <v/>
      </c>
      <c r="N636" s="41">
        <f>MAX(0,MIN(I636,M636)-INT(K636/30))</f>
        <v/>
      </c>
      <c r="O636" s="40">
        <f>IF(N636&gt;=I636,0,ROUND(PV(H636/12,I636-N636,-L636),0))</f>
        <v/>
      </c>
      <c r="P636" s="40">
        <f>MIN(I636,M636)*L636-N636*L636</f>
        <v/>
      </c>
      <c r="Q636" s="41">
        <f>INDEX(DPD_Bucket,MATCH(K636,DPD_From,1))</f>
        <v/>
      </c>
      <c r="R636" s="41">
        <f>INDEX(DPD_Class,MATCH(K636,DPD_From,1))</f>
        <v/>
      </c>
      <c r="S636" s="41">
        <f>INDEX(DPD_NPA,MATCH(K636,DPD_From,1))</f>
        <v/>
      </c>
      <c r="T636" s="42">
        <f>INDEX(DPD_Prov,MATCH(K636,DPD_From,1))</f>
        <v/>
      </c>
      <c r="U636" s="40">
        <f>ROUND(O636*T636,0)</f>
        <v/>
      </c>
      <c r="V636" s="41">
        <f>INDEX(CIBIL_Grade,MATCH(J636,CIBIL_From,1))</f>
        <v/>
      </c>
      <c r="W636" s="41">
        <f>YEAR(F636)&amp;"-Q"&amp;ROUNDUP(MONTH(F636)/3,0)</f>
        <v/>
      </c>
      <c r="X636" s="41">
        <f>IF(AND(OR(Dashboard!$C$4="All",D636=Dashboard!$C$4),OR(Dashboard!$C$5="All",E636=Dashboard!$C$5)),1,0)</f>
        <v/>
      </c>
      <c r="Y636" s="43">
        <f>IF(AND(X636=1,S636="Yes"),O636+ROW()/1000000,0)</f>
        <v/>
      </c>
    </row>
    <row r="637">
      <c r="A637" s="35" t="inlineStr">
        <is>
          <t>LN100636</t>
        </is>
      </c>
      <c r="B637" s="35" t="inlineStr">
        <is>
          <t>Tanvi Banerjee</t>
        </is>
      </c>
      <c r="C637" s="35" t="inlineStr">
        <is>
          <t>MUM-01</t>
        </is>
      </c>
      <c r="D637" s="36">
        <f>INDEX(Branches!$C$2:$C$15,MATCH(C637,Branches!$A$2:$A$15,0))</f>
        <v/>
      </c>
      <c r="E637" s="35" t="inlineStr">
        <is>
          <t>Auto Loan</t>
        </is>
      </c>
      <c r="F637" s="37" t="n">
        <v>45893</v>
      </c>
      <c r="G637" s="38" t="n">
        <v>1286000</v>
      </c>
      <c r="H637" s="39" t="n">
        <v>0.09030000000000001</v>
      </c>
      <c r="I637" s="35" t="n">
        <v>84</v>
      </c>
      <c r="J637" s="35" t="n">
        <v>791</v>
      </c>
      <c r="K637" s="35" t="n">
        <v>0</v>
      </c>
      <c r="L637" s="40">
        <f>ROUND(PMT(H637/12,I637,-G637),0)</f>
        <v/>
      </c>
      <c r="M637" s="41">
        <f>MAX(0,(YEAR(AsOfDate)-YEAR(F637))*12+MONTH(AsOfDate)-MONTH(F637))</f>
        <v/>
      </c>
      <c r="N637" s="41">
        <f>MAX(0,MIN(I637,M637)-INT(K637/30))</f>
        <v/>
      </c>
      <c r="O637" s="40">
        <f>IF(N637&gt;=I637,0,ROUND(PV(H637/12,I637-N637,-L637),0))</f>
        <v/>
      </c>
      <c r="P637" s="40">
        <f>MIN(I637,M637)*L637-N637*L637</f>
        <v/>
      </c>
      <c r="Q637" s="41">
        <f>INDEX(DPD_Bucket,MATCH(K637,DPD_From,1))</f>
        <v/>
      </c>
      <c r="R637" s="41">
        <f>INDEX(DPD_Class,MATCH(K637,DPD_From,1))</f>
        <v/>
      </c>
      <c r="S637" s="41">
        <f>INDEX(DPD_NPA,MATCH(K637,DPD_From,1))</f>
        <v/>
      </c>
      <c r="T637" s="42">
        <f>INDEX(DPD_Prov,MATCH(K637,DPD_From,1))</f>
        <v/>
      </c>
      <c r="U637" s="40">
        <f>ROUND(O637*T637,0)</f>
        <v/>
      </c>
      <c r="V637" s="41">
        <f>INDEX(CIBIL_Grade,MATCH(J637,CIBIL_From,1))</f>
        <v/>
      </c>
      <c r="W637" s="41">
        <f>YEAR(F637)&amp;"-Q"&amp;ROUNDUP(MONTH(F637)/3,0)</f>
        <v/>
      </c>
      <c r="X637" s="41">
        <f>IF(AND(OR(Dashboard!$C$4="All",D637=Dashboard!$C$4),OR(Dashboard!$C$5="All",E637=Dashboard!$C$5)),1,0)</f>
        <v/>
      </c>
      <c r="Y637" s="43">
        <f>IF(AND(X637=1,S637="Yes"),O637+ROW()/1000000,0)</f>
        <v/>
      </c>
    </row>
    <row r="638">
      <c r="A638" s="35" t="inlineStr">
        <is>
          <t>LN100637</t>
        </is>
      </c>
      <c r="B638" s="35" t="inlineStr">
        <is>
          <t>Swati Singh</t>
        </is>
      </c>
      <c r="C638" s="35" t="inlineStr">
        <is>
          <t>AMD-01</t>
        </is>
      </c>
      <c r="D638" s="36">
        <f>INDEX(Branches!$C$2:$C$15,MATCH(C638,Branches!$A$2:$A$15,0))</f>
        <v/>
      </c>
      <c r="E638" s="35" t="inlineStr">
        <is>
          <t>Business Loan</t>
        </is>
      </c>
      <c r="F638" s="37" t="n">
        <v>45162</v>
      </c>
      <c r="G638" s="38" t="n">
        <v>1307000</v>
      </c>
      <c r="H638" s="39" t="n">
        <v>0.1935</v>
      </c>
      <c r="I638" s="35" t="n">
        <v>36</v>
      </c>
      <c r="J638" s="35" t="n">
        <v>677</v>
      </c>
      <c r="K638" s="35" t="n">
        <v>429</v>
      </c>
      <c r="L638" s="40">
        <f>ROUND(PMT(H638/12,I638,-G638),0)</f>
        <v/>
      </c>
      <c r="M638" s="41">
        <f>MAX(0,(YEAR(AsOfDate)-YEAR(F638))*12+MONTH(AsOfDate)-MONTH(F638))</f>
        <v/>
      </c>
      <c r="N638" s="41">
        <f>MAX(0,MIN(I638,M638)-INT(K638/30))</f>
        <v/>
      </c>
      <c r="O638" s="40">
        <f>IF(N638&gt;=I638,0,ROUND(PV(H638/12,I638-N638,-L638),0))</f>
        <v/>
      </c>
      <c r="P638" s="40">
        <f>MIN(I638,M638)*L638-N638*L638</f>
        <v/>
      </c>
      <c r="Q638" s="41">
        <f>INDEX(DPD_Bucket,MATCH(K638,DPD_From,1))</f>
        <v/>
      </c>
      <c r="R638" s="41">
        <f>INDEX(DPD_Class,MATCH(K638,DPD_From,1))</f>
        <v/>
      </c>
      <c r="S638" s="41">
        <f>INDEX(DPD_NPA,MATCH(K638,DPD_From,1))</f>
        <v/>
      </c>
      <c r="T638" s="42">
        <f>INDEX(DPD_Prov,MATCH(K638,DPD_From,1))</f>
        <v/>
      </c>
      <c r="U638" s="40">
        <f>ROUND(O638*T638,0)</f>
        <v/>
      </c>
      <c r="V638" s="41">
        <f>INDEX(CIBIL_Grade,MATCH(J638,CIBIL_From,1))</f>
        <v/>
      </c>
      <c r="W638" s="41">
        <f>YEAR(F638)&amp;"-Q"&amp;ROUNDUP(MONTH(F638)/3,0)</f>
        <v/>
      </c>
      <c r="X638" s="41">
        <f>IF(AND(OR(Dashboard!$C$4="All",D638=Dashboard!$C$4),OR(Dashboard!$C$5="All",E638=Dashboard!$C$5)),1,0)</f>
        <v/>
      </c>
      <c r="Y638" s="43">
        <f>IF(AND(X638=1,S638="Yes"),O638+ROW()/1000000,0)</f>
        <v/>
      </c>
    </row>
    <row r="639">
      <c r="A639" s="35" t="inlineStr">
        <is>
          <t>LN100638</t>
        </is>
      </c>
      <c r="B639" s="35" t="inlineStr">
        <is>
          <t>Pooja Iyer</t>
        </is>
      </c>
      <c r="C639" s="35" t="inlineStr">
        <is>
          <t>JAI-01</t>
        </is>
      </c>
      <c r="D639" s="36">
        <f>INDEX(Branches!$C$2:$C$15,MATCH(C639,Branches!$A$2:$A$15,0))</f>
        <v/>
      </c>
      <c r="E639" s="35" t="inlineStr">
        <is>
          <t>Personal Loan</t>
        </is>
      </c>
      <c r="F639" s="37" t="n">
        <v>45929</v>
      </c>
      <c r="G639" s="38" t="n">
        <v>1144000</v>
      </c>
      <c r="H639" s="39" t="n">
        <v>0.1486</v>
      </c>
      <c r="I639" s="35" t="n">
        <v>12</v>
      </c>
      <c r="J639" s="35" t="n">
        <v>712</v>
      </c>
      <c r="K639" s="35" t="n">
        <v>0</v>
      </c>
      <c r="L639" s="40">
        <f>ROUND(PMT(H639/12,I639,-G639),0)</f>
        <v/>
      </c>
      <c r="M639" s="41">
        <f>MAX(0,(YEAR(AsOfDate)-YEAR(F639))*12+MONTH(AsOfDate)-MONTH(F639))</f>
        <v/>
      </c>
      <c r="N639" s="41">
        <f>MAX(0,MIN(I639,M639)-INT(K639/30))</f>
        <v/>
      </c>
      <c r="O639" s="40">
        <f>IF(N639&gt;=I639,0,ROUND(PV(H639/12,I639-N639,-L639),0))</f>
        <v/>
      </c>
      <c r="P639" s="40">
        <f>MIN(I639,M639)*L639-N639*L639</f>
        <v/>
      </c>
      <c r="Q639" s="41">
        <f>INDEX(DPD_Bucket,MATCH(K639,DPD_From,1))</f>
        <v/>
      </c>
      <c r="R639" s="41">
        <f>INDEX(DPD_Class,MATCH(K639,DPD_From,1))</f>
        <v/>
      </c>
      <c r="S639" s="41">
        <f>INDEX(DPD_NPA,MATCH(K639,DPD_From,1))</f>
        <v/>
      </c>
      <c r="T639" s="42">
        <f>INDEX(DPD_Prov,MATCH(K639,DPD_From,1))</f>
        <v/>
      </c>
      <c r="U639" s="40">
        <f>ROUND(O639*T639,0)</f>
        <v/>
      </c>
      <c r="V639" s="41">
        <f>INDEX(CIBIL_Grade,MATCH(J639,CIBIL_From,1))</f>
        <v/>
      </c>
      <c r="W639" s="41">
        <f>YEAR(F639)&amp;"-Q"&amp;ROUNDUP(MONTH(F639)/3,0)</f>
        <v/>
      </c>
      <c r="X639" s="41">
        <f>IF(AND(OR(Dashboard!$C$4="All",D639=Dashboard!$C$4),OR(Dashboard!$C$5="All",E639=Dashboard!$C$5)),1,0)</f>
        <v/>
      </c>
      <c r="Y639" s="43">
        <f>IF(AND(X639=1,S639="Yes"),O639+ROW()/1000000,0)</f>
        <v/>
      </c>
    </row>
    <row r="640">
      <c r="A640" s="35" t="inlineStr">
        <is>
          <t>LN100639</t>
        </is>
      </c>
      <c r="B640" s="35" t="inlineStr">
        <is>
          <t>Zoya Mishra</t>
        </is>
      </c>
      <c r="C640" s="35" t="inlineStr">
        <is>
          <t>BLR-01</t>
        </is>
      </c>
      <c r="D640" s="36">
        <f>INDEX(Branches!$C$2:$C$15,MATCH(C640,Branches!$A$2:$A$15,0))</f>
        <v/>
      </c>
      <c r="E640" s="35" t="inlineStr">
        <is>
          <t>Personal Loan</t>
        </is>
      </c>
      <c r="F640" s="37" t="n">
        <v>45199</v>
      </c>
      <c r="G640" s="38" t="n">
        <v>1283000</v>
      </c>
      <c r="H640" s="39" t="n">
        <v>0.1172</v>
      </c>
      <c r="I640" s="35" t="n">
        <v>36</v>
      </c>
      <c r="J640" s="35" t="n">
        <v>835</v>
      </c>
      <c r="K640" s="35" t="n">
        <v>0</v>
      </c>
      <c r="L640" s="40">
        <f>ROUND(PMT(H640/12,I640,-G640),0)</f>
        <v/>
      </c>
      <c r="M640" s="41">
        <f>MAX(0,(YEAR(AsOfDate)-YEAR(F640))*12+MONTH(AsOfDate)-MONTH(F640))</f>
        <v/>
      </c>
      <c r="N640" s="41">
        <f>MAX(0,MIN(I640,M640)-INT(K640/30))</f>
        <v/>
      </c>
      <c r="O640" s="40">
        <f>IF(N640&gt;=I640,0,ROUND(PV(H640/12,I640-N640,-L640),0))</f>
        <v/>
      </c>
      <c r="P640" s="40">
        <f>MIN(I640,M640)*L640-N640*L640</f>
        <v/>
      </c>
      <c r="Q640" s="41">
        <f>INDEX(DPD_Bucket,MATCH(K640,DPD_From,1))</f>
        <v/>
      </c>
      <c r="R640" s="41">
        <f>INDEX(DPD_Class,MATCH(K640,DPD_From,1))</f>
        <v/>
      </c>
      <c r="S640" s="41">
        <f>INDEX(DPD_NPA,MATCH(K640,DPD_From,1))</f>
        <v/>
      </c>
      <c r="T640" s="42">
        <f>INDEX(DPD_Prov,MATCH(K640,DPD_From,1))</f>
        <v/>
      </c>
      <c r="U640" s="40">
        <f>ROUND(O640*T640,0)</f>
        <v/>
      </c>
      <c r="V640" s="41">
        <f>INDEX(CIBIL_Grade,MATCH(J640,CIBIL_From,1))</f>
        <v/>
      </c>
      <c r="W640" s="41">
        <f>YEAR(F640)&amp;"-Q"&amp;ROUNDUP(MONTH(F640)/3,0)</f>
        <v/>
      </c>
      <c r="X640" s="41">
        <f>IF(AND(OR(Dashboard!$C$4="All",D640=Dashboard!$C$4),OR(Dashboard!$C$5="All",E640=Dashboard!$C$5)),1,0)</f>
        <v/>
      </c>
      <c r="Y640" s="43">
        <f>IF(AND(X640=1,S640="Yes"),O640+ROW()/1000000,0)</f>
        <v/>
      </c>
    </row>
    <row r="641">
      <c r="A641" s="35" t="inlineStr">
        <is>
          <t>LN100640</t>
        </is>
      </c>
      <c r="B641" s="35" t="inlineStr">
        <is>
          <t>Sai Menon</t>
        </is>
      </c>
      <c r="C641" s="35" t="inlineStr">
        <is>
          <t>HYD-01</t>
        </is>
      </c>
      <c r="D641" s="36">
        <f>INDEX(Branches!$C$2:$C$15,MATCH(C641,Branches!$A$2:$A$15,0))</f>
        <v/>
      </c>
      <c r="E641" s="35" t="inlineStr">
        <is>
          <t>Home Loan</t>
        </is>
      </c>
      <c r="F641" s="37" t="n">
        <v>45229</v>
      </c>
      <c r="G641" s="38" t="n">
        <v>2688000</v>
      </c>
      <c r="H641" s="39" t="n">
        <v>0.0891</v>
      </c>
      <c r="I641" s="35" t="n">
        <v>180</v>
      </c>
      <c r="J641" s="35" t="n">
        <v>718</v>
      </c>
      <c r="K641" s="35" t="n">
        <v>0</v>
      </c>
      <c r="L641" s="40">
        <f>ROUND(PMT(H641/12,I641,-G641),0)</f>
        <v/>
      </c>
      <c r="M641" s="41">
        <f>MAX(0,(YEAR(AsOfDate)-YEAR(F641))*12+MONTH(AsOfDate)-MONTH(F641))</f>
        <v/>
      </c>
      <c r="N641" s="41">
        <f>MAX(0,MIN(I641,M641)-INT(K641/30))</f>
        <v/>
      </c>
      <c r="O641" s="40">
        <f>IF(N641&gt;=I641,0,ROUND(PV(H641/12,I641-N641,-L641),0))</f>
        <v/>
      </c>
      <c r="P641" s="40">
        <f>MIN(I641,M641)*L641-N641*L641</f>
        <v/>
      </c>
      <c r="Q641" s="41">
        <f>INDEX(DPD_Bucket,MATCH(K641,DPD_From,1))</f>
        <v/>
      </c>
      <c r="R641" s="41">
        <f>INDEX(DPD_Class,MATCH(K641,DPD_From,1))</f>
        <v/>
      </c>
      <c r="S641" s="41">
        <f>INDEX(DPD_NPA,MATCH(K641,DPD_From,1))</f>
        <v/>
      </c>
      <c r="T641" s="42">
        <f>INDEX(DPD_Prov,MATCH(K641,DPD_From,1))</f>
        <v/>
      </c>
      <c r="U641" s="40">
        <f>ROUND(O641*T641,0)</f>
        <v/>
      </c>
      <c r="V641" s="41">
        <f>INDEX(CIBIL_Grade,MATCH(J641,CIBIL_From,1))</f>
        <v/>
      </c>
      <c r="W641" s="41">
        <f>YEAR(F641)&amp;"-Q"&amp;ROUNDUP(MONTH(F641)/3,0)</f>
        <v/>
      </c>
      <c r="X641" s="41">
        <f>IF(AND(OR(Dashboard!$C$4="All",D641=Dashboard!$C$4),OR(Dashboard!$C$5="All",E641=Dashboard!$C$5)),1,0)</f>
        <v/>
      </c>
      <c r="Y641" s="43">
        <f>IF(AND(X641=1,S641="Yes"),O641+ROW()/1000000,0)</f>
        <v/>
      </c>
    </row>
    <row r="642">
      <c r="A642" s="35" t="inlineStr">
        <is>
          <t>LN100641</t>
        </is>
      </c>
      <c r="B642" s="35" t="inlineStr">
        <is>
          <t>Rahul Das</t>
        </is>
      </c>
      <c r="C642" s="35" t="inlineStr">
        <is>
          <t>PAT-01</t>
        </is>
      </c>
      <c r="D642" s="36">
        <f>INDEX(Branches!$C$2:$C$15,MATCH(C642,Branches!$A$2:$A$15,0))</f>
        <v/>
      </c>
      <c r="E642" s="35" t="inlineStr">
        <is>
          <t>Personal Loan</t>
        </is>
      </c>
      <c r="F642" s="37" t="n">
        <v>46074</v>
      </c>
      <c r="G642" s="38" t="n">
        <v>979000</v>
      </c>
      <c r="H642" s="39" t="n">
        <v>0.1624</v>
      </c>
      <c r="I642" s="35" t="n">
        <v>36</v>
      </c>
      <c r="J642" s="35" t="n">
        <v>718</v>
      </c>
      <c r="K642" s="35" t="n">
        <v>0</v>
      </c>
      <c r="L642" s="40">
        <f>ROUND(PMT(H642/12,I642,-G642),0)</f>
        <v/>
      </c>
      <c r="M642" s="41">
        <f>MAX(0,(YEAR(AsOfDate)-YEAR(F642))*12+MONTH(AsOfDate)-MONTH(F642))</f>
        <v/>
      </c>
      <c r="N642" s="41">
        <f>MAX(0,MIN(I642,M642)-INT(K642/30))</f>
        <v/>
      </c>
      <c r="O642" s="40">
        <f>IF(N642&gt;=I642,0,ROUND(PV(H642/12,I642-N642,-L642),0))</f>
        <v/>
      </c>
      <c r="P642" s="40">
        <f>MIN(I642,M642)*L642-N642*L642</f>
        <v/>
      </c>
      <c r="Q642" s="41">
        <f>INDEX(DPD_Bucket,MATCH(K642,DPD_From,1))</f>
        <v/>
      </c>
      <c r="R642" s="41">
        <f>INDEX(DPD_Class,MATCH(K642,DPD_From,1))</f>
        <v/>
      </c>
      <c r="S642" s="41">
        <f>INDEX(DPD_NPA,MATCH(K642,DPD_From,1))</f>
        <v/>
      </c>
      <c r="T642" s="42">
        <f>INDEX(DPD_Prov,MATCH(K642,DPD_From,1))</f>
        <v/>
      </c>
      <c r="U642" s="40">
        <f>ROUND(O642*T642,0)</f>
        <v/>
      </c>
      <c r="V642" s="41">
        <f>INDEX(CIBIL_Grade,MATCH(J642,CIBIL_From,1))</f>
        <v/>
      </c>
      <c r="W642" s="41">
        <f>YEAR(F642)&amp;"-Q"&amp;ROUNDUP(MONTH(F642)/3,0)</f>
        <v/>
      </c>
      <c r="X642" s="41">
        <f>IF(AND(OR(Dashboard!$C$4="All",D642=Dashboard!$C$4),OR(Dashboard!$C$5="All",E642=Dashboard!$C$5)),1,0)</f>
        <v/>
      </c>
      <c r="Y642" s="43">
        <f>IF(AND(X642=1,S642="Yes"),O642+ROW()/1000000,0)</f>
        <v/>
      </c>
    </row>
    <row r="643">
      <c r="A643" s="35" t="inlineStr">
        <is>
          <t>LN100642</t>
        </is>
      </c>
      <c r="B643" s="35" t="inlineStr">
        <is>
          <t>Tanvi Singh</t>
        </is>
      </c>
      <c r="C643" s="35" t="inlineStr">
        <is>
          <t>MUM-01</t>
        </is>
      </c>
      <c r="D643" s="36">
        <f>INDEX(Branches!$C$2:$C$15,MATCH(C643,Branches!$A$2:$A$15,0))</f>
        <v/>
      </c>
      <c r="E643" s="35" t="inlineStr">
        <is>
          <t>Personal Loan</t>
        </is>
      </c>
      <c r="F643" s="37" t="n">
        <v>45513</v>
      </c>
      <c r="G643" s="38" t="n">
        <v>1060000</v>
      </c>
      <c r="H643" s="39" t="n">
        <v>0.1566</v>
      </c>
      <c r="I643" s="35" t="n">
        <v>24</v>
      </c>
      <c r="J643" s="35" t="n">
        <v>800</v>
      </c>
      <c r="K643" s="35" t="n">
        <v>0</v>
      </c>
      <c r="L643" s="40">
        <f>ROUND(PMT(H643/12,I643,-G643),0)</f>
        <v/>
      </c>
      <c r="M643" s="41">
        <f>MAX(0,(YEAR(AsOfDate)-YEAR(F643))*12+MONTH(AsOfDate)-MONTH(F643))</f>
        <v/>
      </c>
      <c r="N643" s="41">
        <f>MAX(0,MIN(I643,M643)-INT(K643/30))</f>
        <v/>
      </c>
      <c r="O643" s="40">
        <f>IF(N643&gt;=I643,0,ROUND(PV(H643/12,I643-N643,-L643),0))</f>
        <v/>
      </c>
      <c r="P643" s="40">
        <f>MIN(I643,M643)*L643-N643*L643</f>
        <v/>
      </c>
      <c r="Q643" s="41">
        <f>INDEX(DPD_Bucket,MATCH(K643,DPD_From,1))</f>
        <v/>
      </c>
      <c r="R643" s="41">
        <f>INDEX(DPD_Class,MATCH(K643,DPD_From,1))</f>
        <v/>
      </c>
      <c r="S643" s="41">
        <f>INDEX(DPD_NPA,MATCH(K643,DPD_From,1))</f>
        <v/>
      </c>
      <c r="T643" s="42">
        <f>INDEX(DPD_Prov,MATCH(K643,DPD_From,1))</f>
        <v/>
      </c>
      <c r="U643" s="40">
        <f>ROUND(O643*T643,0)</f>
        <v/>
      </c>
      <c r="V643" s="41">
        <f>INDEX(CIBIL_Grade,MATCH(J643,CIBIL_From,1))</f>
        <v/>
      </c>
      <c r="W643" s="41">
        <f>YEAR(F643)&amp;"-Q"&amp;ROUNDUP(MONTH(F643)/3,0)</f>
        <v/>
      </c>
      <c r="X643" s="41">
        <f>IF(AND(OR(Dashboard!$C$4="All",D643=Dashboard!$C$4),OR(Dashboard!$C$5="All",E643=Dashboard!$C$5)),1,0)</f>
        <v/>
      </c>
      <c r="Y643" s="43">
        <f>IF(AND(X643=1,S643="Yes"),O643+ROW()/1000000,0)</f>
        <v/>
      </c>
    </row>
    <row r="644">
      <c r="A644" s="35" t="inlineStr">
        <is>
          <t>LN100643</t>
        </is>
      </c>
      <c r="B644" s="35" t="inlineStr">
        <is>
          <t>Sneha Pillai</t>
        </is>
      </c>
      <c r="C644" s="35" t="inlineStr">
        <is>
          <t>AMD-01</t>
        </is>
      </c>
      <c r="D644" s="36">
        <f>INDEX(Branches!$C$2:$C$15,MATCH(C644,Branches!$A$2:$A$15,0))</f>
        <v/>
      </c>
      <c r="E644" s="35" t="inlineStr">
        <is>
          <t>Home Loan</t>
        </is>
      </c>
      <c r="F644" s="37" t="n">
        <v>45453</v>
      </c>
      <c r="G644" s="38" t="n">
        <v>6424000</v>
      </c>
      <c r="H644" s="39" t="n">
        <v>0.0968</v>
      </c>
      <c r="I644" s="35" t="n">
        <v>240</v>
      </c>
      <c r="J644" s="35" t="n">
        <v>738</v>
      </c>
      <c r="K644" s="35" t="n">
        <v>0</v>
      </c>
      <c r="L644" s="40">
        <f>ROUND(PMT(H644/12,I644,-G644),0)</f>
        <v/>
      </c>
      <c r="M644" s="41">
        <f>MAX(0,(YEAR(AsOfDate)-YEAR(F644))*12+MONTH(AsOfDate)-MONTH(F644))</f>
        <v/>
      </c>
      <c r="N644" s="41">
        <f>MAX(0,MIN(I644,M644)-INT(K644/30))</f>
        <v/>
      </c>
      <c r="O644" s="40">
        <f>IF(N644&gt;=I644,0,ROUND(PV(H644/12,I644-N644,-L644),0))</f>
        <v/>
      </c>
      <c r="P644" s="40">
        <f>MIN(I644,M644)*L644-N644*L644</f>
        <v/>
      </c>
      <c r="Q644" s="41">
        <f>INDEX(DPD_Bucket,MATCH(K644,DPD_From,1))</f>
        <v/>
      </c>
      <c r="R644" s="41">
        <f>INDEX(DPD_Class,MATCH(K644,DPD_From,1))</f>
        <v/>
      </c>
      <c r="S644" s="41">
        <f>INDEX(DPD_NPA,MATCH(K644,DPD_From,1))</f>
        <v/>
      </c>
      <c r="T644" s="42">
        <f>INDEX(DPD_Prov,MATCH(K644,DPD_From,1))</f>
        <v/>
      </c>
      <c r="U644" s="40">
        <f>ROUND(O644*T644,0)</f>
        <v/>
      </c>
      <c r="V644" s="41">
        <f>INDEX(CIBIL_Grade,MATCH(J644,CIBIL_From,1))</f>
        <v/>
      </c>
      <c r="W644" s="41">
        <f>YEAR(F644)&amp;"-Q"&amp;ROUNDUP(MONTH(F644)/3,0)</f>
        <v/>
      </c>
      <c r="X644" s="41">
        <f>IF(AND(OR(Dashboard!$C$4="All",D644=Dashboard!$C$4),OR(Dashboard!$C$5="All",E644=Dashboard!$C$5)),1,0)</f>
        <v/>
      </c>
      <c r="Y644" s="43">
        <f>IF(AND(X644=1,S644="Yes"),O644+ROW()/1000000,0)</f>
        <v/>
      </c>
    </row>
    <row r="645">
      <c r="A645" s="35" t="inlineStr">
        <is>
          <t>LN100644</t>
        </is>
      </c>
      <c r="B645" s="35" t="inlineStr">
        <is>
          <t>Ishaan Kulkarni</t>
        </is>
      </c>
      <c r="C645" s="35" t="inlineStr">
        <is>
          <t>JAI-01</t>
        </is>
      </c>
      <c r="D645" s="36">
        <f>INDEX(Branches!$C$2:$C$15,MATCH(C645,Branches!$A$2:$A$15,0))</f>
        <v/>
      </c>
      <c r="E645" s="35" t="inlineStr">
        <is>
          <t>Home Loan</t>
        </is>
      </c>
      <c r="F645" s="37" t="n">
        <v>45143</v>
      </c>
      <c r="G645" s="38" t="n">
        <v>10965000</v>
      </c>
      <c r="H645" s="39" t="n">
        <v>0.0973</v>
      </c>
      <c r="I645" s="35" t="n">
        <v>120</v>
      </c>
      <c r="J645" s="35" t="n">
        <v>727</v>
      </c>
      <c r="K645" s="35" t="n">
        <v>0</v>
      </c>
      <c r="L645" s="40">
        <f>ROUND(PMT(H645/12,I645,-G645),0)</f>
        <v/>
      </c>
      <c r="M645" s="41">
        <f>MAX(0,(YEAR(AsOfDate)-YEAR(F645))*12+MONTH(AsOfDate)-MONTH(F645))</f>
        <v/>
      </c>
      <c r="N645" s="41">
        <f>MAX(0,MIN(I645,M645)-INT(K645/30))</f>
        <v/>
      </c>
      <c r="O645" s="40">
        <f>IF(N645&gt;=I645,0,ROUND(PV(H645/12,I645-N645,-L645),0))</f>
        <v/>
      </c>
      <c r="P645" s="40">
        <f>MIN(I645,M645)*L645-N645*L645</f>
        <v/>
      </c>
      <c r="Q645" s="41">
        <f>INDEX(DPD_Bucket,MATCH(K645,DPD_From,1))</f>
        <v/>
      </c>
      <c r="R645" s="41">
        <f>INDEX(DPD_Class,MATCH(K645,DPD_From,1))</f>
        <v/>
      </c>
      <c r="S645" s="41">
        <f>INDEX(DPD_NPA,MATCH(K645,DPD_From,1))</f>
        <v/>
      </c>
      <c r="T645" s="42">
        <f>INDEX(DPD_Prov,MATCH(K645,DPD_From,1))</f>
        <v/>
      </c>
      <c r="U645" s="40">
        <f>ROUND(O645*T645,0)</f>
        <v/>
      </c>
      <c r="V645" s="41">
        <f>INDEX(CIBIL_Grade,MATCH(J645,CIBIL_From,1))</f>
        <v/>
      </c>
      <c r="W645" s="41">
        <f>YEAR(F645)&amp;"-Q"&amp;ROUNDUP(MONTH(F645)/3,0)</f>
        <v/>
      </c>
      <c r="X645" s="41">
        <f>IF(AND(OR(Dashboard!$C$4="All",D645=Dashboard!$C$4),OR(Dashboard!$C$5="All",E645=Dashboard!$C$5)),1,0)</f>
        <v/>
      </c>
      <c r="Y645" s="43">
        <f>IF(AND(X645=1,S645="Yes"),O645+ROW()/1000000,0)</f>
        <v/>
      </c>
    </row>
    <row r="646">
      <c r="A646" s="35" t="inlineStr">
        <is>
          <t>LN100645</t>
        </is>
      </c>
      <c r="B646" s="35" t="inlineStr">
        <is>
          <t>Harsh Sharma</t>
        </is>
      </c>
      <c r="C646" s="35" t="inlineStr">
        <is>
          <t>DEL-01</t>
        </is>
      </c>
      <c r="D646" s="36">
        <f>INDEX(Branches!$C$2:$C$15,MATCH(C646,Branches!$A$2:$A$15,0))</f>
        <v/>
      </c>
      <c r="E646" s="35" t="inlineStr">
        <is>
          <t>Business Loan</t>
        </is>
      </c>
      <c r="F646" s="37" t="n">
        <v>45319</v>
      </c>
      <c r="G646" s="38" t="n">
        <v>2067000</v>
      </c>
      <c r="H646" s="39" t="n">
        <v>0.1784</v>
      </c>
      <c r="I646" s="35" t="n">
        <v>12</v>
      </c>
      <c r="J646" s="35" t="n">
        <v>713</v>
      </c>
      <c r="K646" s="35" t="n">
        <v>0</v>
      </c>
      <c r="L646" s="40">
        <f>ROUND(PMT(H646/12,I646,-G646),0)</f>
        <v/>
      </c>
      <c r="M646" s="41">
        <f>MAX(0,(YEAR(AsOfDate)-YEAR(F646))*12+MONTH(AsOfDate)-MONTH(F646))</f>
        <v/>
      </c>
      <c r="N646" s="41">
        <f>MAX(0,MIN(I646,M646)-INT(K646/30))</f>
        <v/>
      </c>
      <c r="O646" s="40">
        <f>IF(N646&gt;=I646,0,ROUND(PV(H646/12,I646-N646,-L646),0))</f>
        <v/>
      </c>
      <c r="P646" s="40">
        <f>MIN(I646,M646)*L646-N646*L646</f>
        <v/>
      </c>
      <c r="Q646" s="41">
        <f>INDEX(DPD_Bucket,MATCH(K646,DPD_From,1))</f>
        <v/>
      </c>
      <c r="R646" s="41">
        <f>INDEX(DPD_Class,MATCH(K646,DPD_From,1))</f>
        <v/>
      </c>
      <c r="S646" s="41">
        <f>INDEX(DPD_NPA,MATCH(K646,DPD_From,1))</f>
        <v/>
      </c>
      <c r="T646" s="42">
        <f>INDEX(DPD_Prov,MATCH(K646,DPD_From,1))</f>
        <v/>
      </c>
      <c r="U646" s="40">
        <f>ROUND(O646*T646,0)</f>
        <v/>
      </c>
      <c r="V646" s="41">
        <f>INDEX(CIBIL_Grade,MATCH(J646,CIBIL_From,1))</f>
        <v/>
      </c>
      <c r="W646" s="41">
        <f>YEAR(F646)&amp;"-Q"&amp;ROUNDUP(MONTH(F646)/3,0)</f>
        <v/>
      </c>
      <c r="X646" s="41">
        <f>IF(AND(OR(Dashboard!$C$4="All",D646=Dashboard!$C$4),OR(Dashboard!$C$5="All",E646=Dashboard!$C$5)),1,0)</f>
        <v/>
      </c>
      <c r="Y646" s="43">
        <f>IF(AND(X646=1,S646="Yes"),O646+ROW()/1000000,0)</f>
        <v/>
      </c>
    </row>
    <row r="647">
      <c r="A647" s="35" t="inlineStr">
        <is>
          <t>LN100646</t>
        </is>
      </c>
      <c r="B647" s="35" t="inlineStr">
        <is>
          <t>Diya Sharma</t>
        </is>
      </c>
      <c r="C647" s="35" t="inlineStr">
        <is>
          <t>BBS-01</t>
        </is>
      </c>
      <c r="D647" s="36">
        <f>INDEX(Branches!$C$2:$C$15,MATCH(C647,Branches!$A$2:$A$15,0))</f>
        <v/>
      </c>
      <c r="E647" s="35" t="inlineStr">
        <is>
          <t>Home Loan</t>
        </is>
      </c>
      <c r="F647" s="37" t="n">
        <v>45473</v>
      </c>
      <c r="G647" s="38" t="n">
        <v>12589000</v>
      </c>
      <c r="H647" s="39" t="n">
        <v>0.0871</v>
      </c>
      <c r="I647" s="35" t="n">
        <v>180</v>
      </c>
      <c r="J647" s="35" t="n">
        <v>740</v>
      </c>
      <c r="K647" s="35" t="n">
        <v>0</v>
      </c>
      <c r="L647" s="40">
        <f>ROUND(PMT(H647/12,I647,-G647),0)</f>
        <v/>
      </c>
      <c r="M647" s="41">
        <f>MAX(0,(YEAR(AsOfDate)-YEAR(F647))*12+MONTH(AsOfDate)-MONTH(F647))</f>
        <v/>
      </c>
      <c r="N647" s="41">
        <f>MAX(0,MIN(I647,M647)-INT(K647/30))</f>
        <v/>
      </c>
      <c r="O647" s="40">
        <f>IF(N647&gt;=I647,0,ROUND(PV(H647/12,I647-N647,-L647),0))</f>
        <v/>
      </c>
      <c r="P647" s="40">
        <f>MIN(I647,M647)*L647-N647*L647</f>
        <v/>
      </c>
      <c r="Q647" s="41">
        <f>INDEX(DPD_Bucket,MATCH(K647,DPD_From,1))</f>
        <v/>
      </c>
      <c r="R647" s="41">
        <f>INDEX(DPD_Class,MATCH(K647,DPD_From,1))</f>
        <v/>
      </c>
      <c r="S647" s="41">
        <f>INDEX(DPD_NPA,MATCH(K647,DPD_From,1))</f>
        <v/>
      </c>
      <c r="T647" s="42">
        <f>INDEX(DPD_Prov,MATCH(K647,DPD_From,1))</f>
        <v/>
      </c>
      <c r="U647" s="40">
        <f>ROUND(O647*T647,0)</f>
        <v/>
      </c>
      <c r="V647" s="41">
        <f>INDEX(CIBIL_Grade,MATCH(J647,CIBIL_From,1))</f>
        <v/>
      </c>
      <c r="W647" s="41">
        <f>YEAR(F647)&amp;"-Q"&amp;ROUNDUP(MONTH(F647)/3,0)</f>
        <v/>
      </c>
      <c r="X647" s="41">
        <f>IF(AND(OR(Dashboard!$C$4="All",D647=Dashboard!$C$4),OR(Dashboard!$C$5="All",E647=Dashboard!$C$5)),1,0)</f>
        <v/>
      </c>
      <c r="Y647" s="43">
        <f>IF(AND(X647=1,S647="Yes"),O647+ROW()/1000000,0)</f>
        <v/>
      </c>
    </row>
    <row r="648">
      <c r="A648" s="35" t="inlineStr">
        <is>
          <t>LN100647</t>
        </is>
      </c>
      <c r="B648" s="35" t="inlineStr">
        <is>
          <t>Meera Nair</t>
        </is>
      </c>
      <c r="C648" s="35" t="inlineStr">
        <is>
          <t>CHN-01</t>
        </is>
      </c>
      <c r="D648" s="36">
        <f>INDEX(Branches!$C$2:$C$15,MATCH(C648,Branches!$A$2:$A$15,0))</f>
        <v/>
      </c>
      <c r="E648" s="35" t="inlineStr">
        <is>
          <t>Business Loan</t>
        </is>
      </c>
      <c r="F648" s="37" t="n">
        <v>45709</v>
      </c>
      <c r="G648" s="38" t="n">
        <v>585000</v>
      </c>
      <c r="H648" s="39" t="n">
        <v>0.1639</v>
      </c>
      <c r="I648" s="35" t="n">
        <v>24</v>
      </c>
      <c r="J648" s="35" t="n">
        <v>721</v>
      </c>
      <c r="K648" s="35" t="n">
        <v>0</v>
      </c>
      <c r="L648" s="40">
        <f>ROUND(PMT(H648/12,I648,-G648),0)</f>
        <v/>
      </c>
      <c r="M648" s="41">
        <f>MAX(0,(YEAR(AsOfDate)-YEAR(F648))*12+MONTH(AsOfDate)-MONTH(F648))</f>
        <v/>
      </c>
      <c r="N648" s="41">
        <f>MAX(0,MIN(I648,M648)-INT(K648/30))</f>
        <v/>
      </c>
      <c r="O648" s="40">
        <f>IF(N648&gt;=I648,0,ROUND(PV(H648/12,I648-N648,-L648),0))</f>
        <v/>
      </c>
      <c r="P648" s="40">
        <f>MIN(I648,M648)*L648-N648*L648</f>
        <v/>
      </c>
      <c r="Q648" s="41">
        <f>INDEX(DPD_Bucket,MATCH(K648,DPD_From,1))</f>
        <v/>
      </c>
      <c r="R648" s="41">
        <f>INDEX(DPD_Class,MATCH(K648,DPD_From,1))</f>
        <v/>
      </c>
      <c r="S648" s="41">
        <f>INDEX(DPD_NPA,MATCH(K648,DPD_From,1))</f>
        <v/>
      </c>
      <c r="T648" s="42">
        <f>INDEX(DPD_Prov,MATCH(K648,DPD_From,1))</f>
        <v/>
      </c>
      <c r="U648" s="40">
        <f>ROUND(O648*T648,0)</f>
        <v/>
      </c>
      <c r="V648" s="41">
        <f>INDEX(CIBIL_Grade,MATCH(J648,CIBIL_From,1))</f>
        <v/>
      </c>
      <c r="W648" s="41">
        <f>YEAR(F648)&amp;"-Q"&amp;ROUNDUP(MONTH(F648)/3,0)</f>
        <v/>
      </c>
      <c r="X648" s="41">
        <f>IF(AND(OR(Dashboard!$C$4="All",D648=Dashboard!$C$4),OR(Dashboard!$C$5="All",E648=Dashboard!$C$5)),1,0)</f>
        <v/>
      </c>
      <c r="Y648" s="43">
        <f>IF(AND(X648=1,S648="Yes"),O648+ROW()/1000000,0)</f>
        <v/>
      </c>
    </row>
    <row r="649">
      <c r="A649" s="35" t="inlineStr">
        <is>
          <t>LN100648</t>
        </is>
      </c>
      <c r="B649" s="35" t="inlineStr">
        <is>
          <t>Aditya Singh</t>
        </is>
      </c>
      <c r="C649" s="35" t="inlineStr">
        <is>
          <t>KOL-01</t>
        </is>
      </c>
      <c r="D649" s="36">
        <f>INDEX(Branches!$C$2:$C$15,MATCH(C649,Branches!$A$2:$A$15,0))</f>
        <v/>
      </c>
      <c r="E649" s="35" t="inlineStr">
        <is>
          <t>Personal Loan</t>
        </is>
      </c>
      <c r="F649" s="37" t="n">
        <v>45953</v>
      </c>
      <c r="G649" s="38" t="n">
        <v>114000</v>
      </c>
      <c r="H649" s="39" t="n">
        <v>0.1122</v>
      </c>
      <c r="I649" s="35" t="n">
        <v>24</v>
      </c>
      <c r="J649" s="35" t="n">
        <v>770</v>
      </c>
      <c r="K649" s="35" t="n">
        <v>22</v>
      </c>
      <c r="L649" s="40">
        <f>ROUND(PMT(H649/12,I649,-G649),0)</f>
        <v/>
      </c>
      <c r="M649" s="41">
        <f>MAX(0,(YEAR(AsOfDate)-YEAR(F649))*12+MONTH(AsOfDate)-MONTH(F649))</f>
        <v/>
      </c>
      <c r="N649" s="41">
        <f>MAX(0,MIN(I649,M649)-INT(K649/30))</f>
        <v/>
      </c>
      <c r="O649" s="40">
        <f>IF(N649&gt;=I649,0,ROUND(PV(H649/12,I649-N649,-L649),0))</f>
        <v/>
      </c>
      <c r="P649" s="40">
        <f>MIN(I649,M649)*L649-N649*L649</f>
        <v/>
      </c>
      <c r="Q649" s="41">
        <f>INDEX(DPD_Bucket,MATCH(K649,DPD_From,1))</f>
        <v/>
      </c>
      <c r="R649" s="41">
        <f>INDEX(DPD_Class,MATCH(K649,DPD_From,1))</f>
        <v/>
      </c>
      <c r="S649" s="41">
        <f>INDEX(DPD_NPA,MATCH(K649,DPD_From,1))</f>
        <v/>
      </c>
      <c r="T649" s="42">
        <f>INDEX(DPD_Prov,MATCH(K649,DPD_From,1))</f>
        <v/>
      </c>
      <c r="U649" s="40">
        <f>ROUND(O649*T649,0)</f>
        <v/>
      </c>
      <c r="V649" s="41">
        <f>INDEX(CIBIL_Grade,MATCH(J649,CIBIL_From,1))</f>
        <v/>
      </c>
      <c r="W649" s="41">
        <f>YEAR(F649)&amp;"-Q"&amp;ROUNDUP(MONTH(F649)/3,0)</f>
        <v/>
      </c>
      <c r="X649" s="41">
        <f>IF(AND(OR(Dashboard!$C$4="All",D649=Dashboard!$C$4),OR(Dashboard!$C$5="All",E649=Dashboard!$C$5)),1,0)</f>
        <v/>
      </c>
      <c r="Y649" s="43">
        <f>IF(AND(X649=1,S649="Yes"),O649+ROW()/1000000,0)</f>
        <v/>
      </c>
    </row>
    <row r="650">
      <c r="A650" s="35" t="inlineStr">
        <is>
          <t>LN100649</t>
        </is>
      </c>
      <c r="B650" s="35" t="inlineStr">
        <is>
          <t>Aarav Iyer</t>
        </is>
      </c>
      <c r="C650" s="35" t="inlineStr">
        <is>
          <t>HYD-01</t>
        </is>
      </c>
      <c r="D650" s="36">
        <f>INDEX(Branches!$C$2:$C$15,MATCH(C650,Branches!$A$2:$A$15,0))</f>
        <v/>
      </c>
      <c r="E650" s="35" t="inlineStr">
        <is>
          <t>Home Loan</t>
        </is>
      </c>
      <c r="F650" s="37" t="n">
        <v>45753</v>
      </c>
      <c r="G650" s="38" t="n">
        <v>12996000</v>
      </c>
      <c r="H650" s="39" t="n">
        <v>0.09719999999999999</v>
      </c>
      <c r="I650" s="35" t="n">
        <v>240</v>
      </c>
      <c r="J650" s="35" t="n">
        <v>703</v>
      </c>
      <c r="K650" s="35" t="n">
        <v>0</v>
      </c>
      <c r="L650" s="40">
        <f>ROUND(PMT(H650/12,I650,-G650),0)</f>
        <v/>
      </c>
      <c r="M650" s="41">
        <f>MAX(0,(YEAR(AsOfDate)-YEAR(F650))*12+MONTH(AsOfDate)-MONTH(F650))</f>
        <v/>
      </c>
      <c r="N650" s="41">
        <f>MAX(0,MIN(I650,M650)-INT(K650/30))</f>
        <v/>
      </c>
      <c r="O650" s="40">
        <f>IF(N650&gt;=I650,0,ROUND(PV(H650/12,I650-N650,-L650),0))</f>
        <v/>
      </c>
      <c r="P650" s="40">
        <f>MIN(I650,M650)*L650-N650*L650</f>
        <v/>
      </c>
      <c r="Q650" s="41">
        <f>INDEX(DPD_Bucket,MATCH(K650,DPD_From,1))</f>
        <v/>
      </c>
      <c r="R650" s="41">
        <f>INDEX(DPD_Class,MATCH(K650,DPD_From,1))</f>
        <v/>
      </c>
      <c r="S650" s="41">
        <f>INDEX(DPD_NPA,MATCH(K650,DPD_From,1))</f>
        <v/>
      </c>
      <c r="T650" s="42">
        <f>INDEX(DPD_Prov,MATCH(K650,DPD_From,1))</f>
        <v/>
      </c>
      <c r="U650" s="40">
        <f>ROUND(O650*T650,0)</f>
        <v/>
      </c>
      <c r="V650" s="41">
        <f>INDEX(CIBIL_Grade,MATCH(J650,CIBIL_From,1))</f>
        <v/>
      </c>
      <c r="W650" s="41">
        <f>YEAR(F650)&amp;"-Q"&amp;ROUNDUP(MONTH(F650)/3,0)</f>
        <v/>
      </c>
      <c r="X650" s="41">
        <f>IF(AND(OR(Dashboard!$C$4="All",D650=Dashboard!$C$4),OR(Dashboard!$C$5="All",E650=Dashboard!$C$5)),1,0)</f>
        <v/>
      </c>
      <c r="Y650" s="43">
        <f>IF(AND(X650=1,S650="Yes"),O650+ROW()/1000000,0)</f>
        <v/>
      </c>
    </row>
    <row r="651">
      <c r="A651" s="35" t="inlineStr">
        <is>
          <t>LN100650</t>
        </is>
      </c>
      <c r="B651" s="35" t="inlineStr">
        <is>
          <t>Rahul Sahoo</t>
        </is>
      </c>
      <c r="C651" s="35" t="inlineStr">
        <is>
          <t>KOC-01</t>
        </is>
      </c>
      <c r="D651" s="36">
        <f>INDEX(Branches!$C$2:$C$15,MATCH(C651,Branches!$A$2:$A$15,0))</f>
        <v/>
      </c>
      <c r="E651" s="35" t="inlineStr">
        <is>
          <t>Gold Loan</t>
        </is>
      </c>
      <c r="F651" s="37" t="n">
        <v>45452</v>
      </c>
      <c r="G651" s="38" t="n">
        <v>277000</v>
      </c>
      <c r="H651" s="39" t="n">
        <v>0.0921</v>
      </c>
      <c r="I651" s="35" t="n">
        <v>12</v>
      </c>
      <c r="J651" s="35" t="n">
        <v>715</v>
      </c>
      <c r="K651" s="35" t="n">
        <v>0</v>
      </c>
      <c r="L651" s="40">
        <f>ROUND(PMT(H651/12,I651,-G651),0)</f>
        <v/>
      </c>
      <c r="M651" s="41">
        <f>MAX(0,(YEAR(AsOfDate)-YEAR(F651))*12+MONTH(AsOfDate)-MONTH(F651))</f>
        <v/>
      </c>
      <c r="N651" s="41">
        <f>MAX(0,MIN(I651,M651)-INT(K651/30))</f>
        <v/>
      </c>
      <c r="O651" s="40">
        <f>IF(N651&gt;=I651,0,ROUND(PV(H651/12,I651-N651,-L651),0))</f>
        <v/>
      </c>
      <c r="P651" s="40">
        <f>MIN(I651,M651)*L651-N651*L651</f>
        <v/>
      </c>
      <c r="Q651" s="41">
        <f>INDEX(DPD_Bucket,MATCH(K651,DPD_From,1))</f>
        <v/>
      </c>
      <c r="R651" s="41">
        <f>INDEX(DPD_Class,MATCH(K651,DPD_From,1))</f>
        <v/>
      </c>
      <c r="S651" s="41">
        <f>INDEX(DPD_NPA,MATCH(K651,DPD_From,1))</f>
        <v/>
      </c>
      <c r="T651" s="42">
        <f>INDEX(DPD_Prov,MATCH(K651,DPD_From,1))</f>
        <v/>
      </c>
      <c r="U651" s="40">
        <f>ROUND(O651*T651,0)</f>
        <v/>
      </c>
      <c r="V651" s="41">
        <f>INDEX(CIBIL_Grade,MATCH(J651,CIBIL_From,1))</f>
        <v/>
      </c>
      <c r="W651" s="41">
        <f>YEAR(F651)&amp;"-Q"&amp;ROUNDUP(MONTH(F651)/3,0)</f>
        <v/>
      </c>
      <c r="X651" s="41">
        <f>IF(AND(OR(Dashboard!$C$4="All",D651=Dashboard!$C$4),OR(Dashboard!$C$5="All",E651=Dashboard!$C$5)),1,0)</f>
        <v/>
      </c>
      <c r="Y651" s="43">
        <f>IF(AND(X651=1,S651="Yes"),O651+ROW()/1000000,0)</f>
        <v/>
      </c>
    </row>
    <row r="652">
      <c r="A652" s="35" t="inlineStr">
        <is>
          <t>LN100651</t>
        </is>
      </c>
      <c r="B652" s="35" t="inlineStr">
        <is>
          <t>Farhan Mishra</t>
        </is>
      </c>
      <c r="C652" s="35" t="inlineStr">
        <is>
          <t>HYD-01</t>
        </is>
      </c>
      <c r="D652" s="36">
        <f>INDEX(Branches!$C$2:$C$15,MATCH(C652,Branches!$A$2:$A$15,0))</f>
        <v/>
      </c>
      <c r="E652" s="35" t="inlineStr">
        <is>
          <t>Business Loan</t>
        </is>
      </c>
      <c r="F652" s="37" t="n">
        <v>45729</v>
      </c>
      <c r="G652" s="38" t="n">
        <v>2478000</v>
      </c>
      <c r="H652" s="39" t="n">
        <v>0.197</v>
      </c>
      <c r="I652" s="35" t="n">
        <v>12</v>
      </c>
      <c r="J652" s="35" t="n">
        <v>704</v>
      </c>
      <c r="K652" s="35" t="n">
        <v>0</v>
      </c>
      <c r="L652" s="40">
        <f>ROUND(PMT(H652/12,I652,-G652),0)</f>
        <v/>
      </c>
      <c r="M652" s="41">
        <f>MAX(0,(YEAR(AsOfDate)-YEAR(F652))*12+MONTH(AsOfDate)-MONTH(F652))</f>
        <v/>
      </c>
      <c r="N652" s="41">
        <f>MAX(0,MIN(I652,M652)-INT(K652/30))</f>
        <v/>
      </c>
      <c r="O652" s="40">
        <f>IF(N652&gt;=I652,0,ROUND(PV(H652/12,I652-N652,-L652),0))</f>
        <v/>
      </c>
      <c r="P652" s="40">
        <f>MIN(I652,M652)*L652-N652*L652</f>
        <v/>
      </c>
      <c r="Q652" s="41">
        <f>INDEX(DPD_Bucket,MATCH(K652,DPD_From,1))</f>
        <v/>
      </c>
      <c r="R652" s="41">
        <f>INDEX(DPD_Class,MATCH(K652,DPD_From,1))</f>
        <v/>
      </c>
      <c r="S652" s="41">
        <f>INDEX(DPD_NPA,MATCH(K652,DPD_From,1))</f>
        <v/>
      </c>
      <c r="T652" s="42">
        <f>INDEX(DPD_Prov,MATCH(K652,DPD_From,1))</f>
        <v/>
      </c>
      <c r="U652" s="40">
        <f>ROUND(O652*T652,0)</f>
        <v/>
      </c>
      <c r="V652" s="41">
        <f>INDEX(CIBIL_Grade,MATCH(J652,CIBIL_From,1))</f>
        <v/>
      </c>
      <c r="W652" s="41">
        <f>YEAR(F652)&amp;"-Q"&amp;ROUNDUP(MONTH(F652)/3,0)</f>
        <v/>
      </c>
      <c r="X652" s="41">
        <f>IF(AND(OR(Dashboard!$C$4="All",D652=Dashboard!$C$4),OR(Dashboard!$C$5="All",E652=Dashboard!$C$5)),1,0)</f>
        <v/>
      </c>
      <c r="Y652" s="43">
        <f>IF(AND(X652=1,S652="Yes"),O652+ROW()/1000000,0)</f>
        <v/>
      </c>
    </row>
    <row r="653">
      <c r="A653" s="35" t="inlineStr">
        <is>
          <t>LN100652</t>
        </is>
      </c>
      <c r="B653" s="35" t="inlineStr">
        <is>
          <t>Rahul Mohanty</t>
        </is>
      </c>
      <c r="C653" s="35" t="inlineStr">
        <is>
          <t>AMD-01</t>
        </is>
      </c>
      <c r="D653" s="36">
        <f>INDEX(Branches!$C$2:$C$15,MATCH(C653,Branches!$A$2:$A$15,0))</f>
        <v/>
      </c>
      <c r="E653" s="35" t="inlineStr">
        <is>
          <t>Home Loan</t>
        </is>
      </c>
      <c r="F653" s="37" t="n">
        <v>45396</v>
      </c>
      <c r="G653" s="38" t="n">
        <v>3467000</v>
      </c>
      <c r="H653" s="39" t="n">
        <v>0.0978</v>
      </c>
      <c r="I653" s="35" t="n">
        <v>180</v>
      </c>
      <c r="J653" s="35" t="n">
        <v>596</v>
      </c>
      <c r="K653" s="35" t="n">
        <v>0</v>
      </c>
      <c r="L653" s="40">
        <f>ROUND(PMT(H653/12,I653,-G653),0)</f>
        <v/>
      </c>
      <c r="M653" s="41">
        <f>MAX(0,(YEAR(AsOfDate)-YEAR(F653))*12+MONTH(AsOfDate)-MONTH(F653))</f>
        <v/>
      </c>
      <c r="N653" s="41">
        <f>MAX(0,MIN(I653,M653)-INT(K653/30))</f>
        <v/>
      </c>
      <c r="O653" s="40">
        <f>IF(N653&gt;=I653,0,ROUND(PV(H653/12,I653-N653,-L653),0))</f>
        <v/>
      </c>
      <c r="P653" s="40">
        <f>MIN(I653,M653)*L653-N653*L653</f>
        <v/>
      </c>
      <c r="Q653" s="41">
        <f>INDEX(DPD_Bucket,MATCH(K653,DPD_From,1))</f>
        <v/>
      </c>
      <c r="R653" s="41">
        <f>INDEX(DPD_Class,MATCH(K653,DPD_From,1))</f>
        <v/>
      </c>
      <c r="S653" s="41">
        <f>INDEX(DPD_NPA,MATCH(K653,DPD_From,1))</f>
        <v/>
      </c>
      <c r="T653" s="42">
        <f>INDEX(DPD_Prov,MATCH(K653,DPD_From,1))</f>
        <v/>
      </c>
      <c r="U653" s="40">
        <f>ROUND(O653*T653,0)</f>
        <v/>
      </c>
      <c r="V653" s="41">
        <f>INDEX(CIBIL_Grade,MATCH(J653,CIBIL_From,1))</f>
        <v/>
      </c>
      <c r="W653" s="41">
        <f>YEAR(F653)&amp;"-Q"&amp;ROUNDUP(MONTH(F653)/3,0)</f>
        <v/>
      </c>
      <c r="X653" s="41">
        <f>IF(AND(OR(Dashboard!$C$4="All",D653=Dashboard!$C$4),OR(Dashboard!$C$5="All",E653=Dashboard!$C$5)),1,0)</f>
        <v/>
      </c>
      <c r="Y653" s="43">
        <f>IF(AND(X653=1,S653="Yes"),O653+ROW()/1000000,0)</f>
        <v/>
      </c>
    </row>
    <row r="654">
      <c r="A654" s="35" t="inlineStr">
        <is>
          <t>LN100653</t>
        </is>
      </c>
      <c r="B654" s="35" t="inlineStr">
        <is>
          <t>Rohan Verma</t>
        </is>
      </c>
      <c r="C654" s="35" t="inlineStr">
        <is>
          <t>CHN-01</t>
        </is>
      </c>
      <c r="D654" s="36">
        <f>INDEX(Branches!$C$2:$C$15,MATCH(C654,Branches!$A$2:$A$15,0))</f>
        <v/>
      </c>
      <c r="E654" s="35" t="inlineStr">
        <is>
          <t>Home Loan</t>
        </is>
      </c>
      <c r="F654" s="37" t="n">
        <v>45109</v>
      </c>
      <c r="G654" s="38" t="n">
        <v>6266000</v>
      </c>
      <c r="H654" s="39" t="n">
        <v>0.0856</v>
      </c>
      <c r="I654" s="35" t="n">
        <v>120</v>
      </c>
      <c r="J654" s="35" t="n">
        <v>796</v>
      </c>
      <c r="K654" s="35" t="n">
        <v>0</v>
      </c>
      <c r="L654" s="40">
        <f>ROUND(PMT(H654/12,I654,-G654),0)</f>
        <v/>
      </c>
      <c r="M654" s="41">
        <f>MAX(0,(YEAR(AsOfDate)-YEAR(F654))*12+MONTH(AsOfDate)-MONTH(F654))</f>
        <v/>
      </c>
      <c r="N654" s="41">
        <f>MAX(0,MIN(I654,M654)-INT(K654/30))</f>
        <v/>
      </c>
      <c r="O654" s="40">
        <f>IF(N654&gt;=I654,0,ROUND(PV(H654/12,I654-N654,-L654),0))</f>
        <v/>
      </c>
      <c r="P654" s="40">
        <f>MIN(I654,M654)*L654-N654*L654</f>
        <v/>
      </c>
      <c r="Q654" s="41">
        <f>INDEX(DPD_Bucket,MATCH(K654,DPD_From,1))</f>
        <v/>
      </c>
      <c r="R654" s="41">
        <f>INDEX(DPD_Class,MATCH(K654,DPD_From,1))</f>
        <v/>
      </c>
      <c r="S654" s="41">
        <f>INDEX(DPD_NPA,MATCH(K654,DPD_From,1))</f>
        <v/>
      </c>
      <c r="T654" s="42">
        <f>INDEX(DPD_Prov,MATCH(K654,DPD_From,1))</f>
        <v/>
      </c>
      <c r="U654" s="40">
        <f>ROUND(O654*T654,0)</f>
        <v/>
      </c>
      <c r="V654" s="41">
        <f>INDEX(CIBIL_Grade,MATCH(J654,CIBIL_From,1))</f>
        <v/>
      </c>
      <c r="W654" s="41">
        <f>YEAR(F654)&amp;"-Q"&amp;ROUNDUP(MONTH(F654)/3,0)</f>
        <v/>
      </c>
      <c r="X654" s="41">
        <f>IF(AND(OR(Dashboard!$C$4="All",D654=Dashboard!$C$4),OR(Dashboard!$C$5="All",E654=Dashboard!$C$5)),1,0)</f>
        <v/>
      </c>
      <c r="Y654" s="43">
        <f>IF(AND(X654=1,S654="Yes"),O654+ROW()/1000000,0)</f>
        <v/>
      </c>
    </row>
    <row r="655">
      <c r="A655" s="35" t="inlineStr">
        <is>
          <t>LN100654</t>
        </is>
      </c>
      <c r="B655" s="35" t="inlineStr">
        <is>
          <t>Meera Singh</t>
        </is>
      </c>
      <c r="C655" s="35" t="inlineStr">
        <is>
          <t>GUW-01</t>
        </is>
      </c>
      <c r="D655" s="36">
        <f>INDEX(Branches!$C$2:$C$15,MATCH(C655,Branches!$A$2:$A$15,0))</f>
        <v/>
      </c>
      <c r="E655" s="35" t="inlineStr">
        <is>
          <t>Auto Loan</t>
        </is>
      </c>
      <c r="F655" s="37" t="n">
        <v>45264</v>
      </c>
      <c r="G655" s="38" t="n">
        <v>1085000</v>
      </c>
      <c r="H655" s="39" t="n">
        <v>0.1156</v>
      </c>
      <c r="I655" s="35" t="n">
        <v>60</v>
      </c>
      <c r="J655" s="35" t="n">
        <v>805</v>
      </c>
      <c r="K655" s="35" t="n">
        <v>0</v>
      </c>
      <c r="L655" s="40">
        <f>ROUND(PMT(H655/12,I655,-G655),0)</f>
        <v/>
      </c>
      <c r="M655" s="41">
        <f>MAX(0,(YEAR(AsOfDate)-YEAR(F655))*12+MONTH(AsOfDate)-MONTH(F655))</f>
        <v/>
      </c>
      <c r="N655" s="41">
        <f>MAX(0,MIN(I655,M655)-INT(K655/30))</f>
        <v/>
      </c>
      <c r="O655" s="40">
        <f>IF(N655&gt;=I655,0,ROUND(PV(H655/12,I655-N655,-L655),0))</f>
        <v/>
      </c>
      <c r="P655" s="40">
        <f>MIN(I655,M655)*L655-N655*L655</f>
        <v/>
      </c>
      <c r="Q655" s="41">
        <f>INDEX(DPD_Bucket,MATCH(K655,DPD_From,1))</f>
        <v/>
      </c>
      <c r="R655" s="41">
        <f>INDEX(DPD_Class,MATCH(K655,DPD_From,1))</f>
        <v/>
      </c>
      <c r="S655" s="41">
        <f>INDEX(DPD_NPA,MATCH(K655,DPD_From,1))</f>
        <v/>
      </c>
      <c r="T655" s="42">
        <f>INDEX(DPD_Prov,MATCH(K655,DPD_From,1))</f>
        <v/>
      </c>
      <c r="U655" s="40">
        <f>ROUND(O655*T655,0)</f>
        <v/>
      </c>
      <c r="V655" s="41">
        <f>INDEX(CIBIL_Grade,MATCH(J655,CIBIL_From,1))</f>
        <v/>
      </c>
      <c r="W655" s="41">
        <f>YEAR(F655)&amp;"-Q"&amp;ROUNDUP(MONTH(F655)/3,0)</f>
        <v/>
      </c>
      <c r="X655" s="41">
        <f>IF(AND(OR(Dashboard!$C$4="All",D655=Dashboard!$C$4),OR(Dashboard!$C$5="All",E655=Dashboard!$C$5)),1,0)</f>
        <v/>
      </c>
      <c r="Y655" s="43">
        <f>IF(AND(X655=1,S655="Yes"),O655+ROW()/1000000,0)</f>
        <v/>
      </c>
    </row>
    <row r="656">
      <c r="A656" s="35" t="inlineStr">
        <is>
          <t>LN100655</t>
        </is>
      </c>
      <c r="B656" s="35" t="inlineStr">
        <is>
          <t>Arjun Banerjee</t>
        </is>
      </c>
      <c r="C656" s="35" t="inlineStr">
        <is>
          <t>DEL-01</t>
        </is>
      </c>
      <c r="D656" s="36">
        <f>INDEX(Branches!$C$2:$C$15,MATCH(C656,Branches!$A$2:$A$15,0))</f>
        <v/>
      </c>
      <c r="E656" s="35" t="inlineStr">
        <is>
          <t>Gold Loan</t>
        </is>
      </c>
      <c r="F656" s="37" t="n">
        <v>45421</v>
      </c>
      <c r="G656" s="38" t="n">
        <v>285000</v>
      </c>
      <c r="H656" s="39" t="n">
        <v>0.1103</v>
      </c>
      <c r="I656" s="35" t="n">
        <v>12</v>
      </c>
      <c r="J656" s="35" t="n">
        <v>821</v>
      </c>
      <c r="K656" s="35" t="n">
        <v>0</v>
      </c>
      <c r="L656" s="40">
        <f>ROUND(PMT(H656/12,I656,-G656),0)</f>
        <v/>
      </c>
      <c r="M656" s="41">
        <f>MAX(0,(YEAR(AsOfDate)-YEAR(F656))*12+MONTH(AsOfDate)-MONTH(F656))</f>
        <v/>
      </c>
      <c r="N656" s="41">
        <f>MAX(0,MIN(I656,M656)-INT(K656/30))</f>
        <v/>
      </c>
      <c r="O656" s="40">
        <f>IF(N656&gt;=I656,0,ROUND(PV(H656/12,I656-N656,-L656),0))</f>
        <v/>
      </c>
      <c r="P656" s="40">
        <f>MIN(I656,M656)*L656-N656*L656</f>
        <v/>
      </c>
      <c r="Q656" s="41">
        <f>INDEX(DPD_Bucket,MATCH(K656,DPD_From,1))</f>
        <v/>
      </c>
      <c r="R656" s="41">
        <f>INDEX(DPD_Class,MATCH(K656,DPD_From,1))</f>
        <v/>
      </c>
      <c r="S656" s="41">
        <f>INDEX(DPD_NPA,MATCH(K656,DPD_From,1))</f>
        <v/>
      </c>
      <c r="T656" s="42">
        <f>INDEX(DPD_Prov,MATCH(K656,DPD_From,1))</f>
        <v/>
      </c>
      <c r="U656" s="40">
        <f>ROUND(O656*T656,0)</f>
        <v/>
      </c>
      <c r="V656" s="41">
        <f>INDEX(CIBIL_Grade,MATCH(J656,CIBIL_From,1))</f>
        <v/>
      </c>
      <c r="W656" s="41">
        <f>YEAR(F656)&amp;"-Q"&amp;ROUNDUP(MONTH(F656)/3,0)</f>
        <v/>
      </c>
      <c r="X656" s="41">
        <f>IF(AND(OR(Dashboard!$C$4="All",D656=Dashboard!$C$4),OR(Dashboard!$C$5="All",E656=Dashboard!$C$5)),1,0)</f>
        <v/>
      </c>
      <c r="Y656" s="43">
        <f>IF(AND(X656=1,S656="Yes"),O656+ROW()/1000000,0)</f>
        <v/>
      </c>
    </row>
    <row r="657">
      <c r="A657" s="35" t="inlineStr">
        <is>
          <t>LN100656</t>
        </is>
      </c>
      <c r="B657" s="35" t="inlineStr">
        <is>
          <t>Arjun Patel</t>
        </is>
      </c>
      <c r="C657" s="35" t="inlineStr">
        <is>
          <t>CHN-01</t>
        </is>
      </c>
      <c r="D657" s="36">
        <f>INDEX(Branches!$C$2:$C$15,MATCH(C657,Branches!$A$2:$A$15,0))</f>
        <v/>
      </c>
      <c r="E657" s="35" t="inlineStr">
        <is>
          <t>Home Loan</t>
        </is>
      </c>
      <c r="F657" s="37" t="n">
        <v>45353</v>
      </c>
      <c r="G657" s="38" t="n">
        <v>6728000</v>
      </c>
      <c r="H657" s="39" t="n">
        <v>0.0868</v>
      </c>
      <c r="I657" s="35" t="n">
        <v>180</v>
      </c>
      <c r="J657" s="35" t="n">
        <v>900</v>
      </c>
      <c r="K657" s="35" t="n">
        <v>0</v>
      </c>
      <c r="L657" s="40">
        <f>ROUND(PMT(H657/12,I657,-G657),0)</f>
        <v/>
      </c>
      <c r="M657" s="41">
        <f>MAX(0,(YEAR(AsOfDate)-YEAR(F657))*12+MONTH(AsOfDate)-MONTH(F657))</f>
        <v/>
      </c>
      <c r="N657" s="41">
        <f>MAX(0,MIN(I657,M657)-INT(K657/30))</f>
        <v/>
      </c>
      <c r="O657" s="40">
        <f>IF(N657&gt;=I657,0,ROUND(PV(H657/12,I657-N657,-L657),0))</f>
        <v/>
      </c>
      <c r="P657" s="40">
        <f>MIN(I657,M657)*L657-N657*L657</f>
        <v/>
      </c>
      <c r="Q657" s="41">
        <f>INDEX(DPD_Bucket,MATCH(K657,DPD_From,1))</f>
        <v/>
      </c>
      <c r="R657" s="41">
        <f>INDEX(DPD_Class,MATCH(K657,DPD_From,1))</f>
        <v/>
      </c>
      <c r="S657" s="41">
        <f>INDEX(DPD_NPA,MATCH(K657,DPD_From,1))</f>
        <v/>
      </c>
      <c r="T657" s="42">
        <f>INDEX(DPD_Prov,MATCH(K657,DPD_From,1))</f>
        <v/>
      </c>
      <c r="U657" s="40">
        <f>ROUND(O657*T657,0)</f>
        <v/>
      </c>
      <c r="V657" s="41">
        <f>INDEX(CIBIL_Grade,MATCH(J657,CIBIL_From,1))</f>
        <v/>
      </c>
      <c r="W657" s="41">
        <f>YEAR(F657)&amp;"-Q"&amp;ROUNDUP(MONTH(F657)/3,0)</f>
        <v/>
      </c>
      <c r="X657" s="41">
        <f>IF(AND(OR(Dashboard!$C$4="All",D657=Dashboard!$C$4),OR(Dashboard!$C$5="All",E657=Dashboard!$C$5)),1,0)</f>
        <v/>
      </c>
      <c r="Y657" s="43">
        <f>IF(AND(X657=1,S657="Yes"),O657+ROW()/1000000,0)</f>
        <v/>
      </c>
    </row>
    <row r="658">
      <c r="A658" s="35" t="inlineStr">
        <is>
          <t>LN100657</t>
        </is>
      </c>
      <c r="B658" s="35" t="inlineStr">
        <is>
          <t>Manish Mishra</t>
        </is>
      </c>
      <c r="C658" s="35" t="inlineStr">
        <is>
          <t>JAI-01</t>
        </is>
      </c>
      <c r="D658" s="36">
        <f>INDEX(Branches!$C$2:$C$15,MATCH(C658,Branches!$A$2:$A$15,0))</f>
        <v/>
      </c>
      <c r="E658" s="35" t="inlineStr">
        <is>
          <t>Home Loan</t>
        </is>
      </c>
      <c r="F658" s="37" t="n">
        <v>45922</v>
      </c>
      <c r="G658" s="38" t="n">
        <v>5549000</v>
      </c>
      <c r="H658" s="39" t="n">
        <v>0.0951</v>
      </c>
      <c r="I658" s="35" t="n">
        <v>180</v>
      </c>
      <c r="J658" s="35" t="n">
        <v>741</v>
      </c>
      <c r="K658" s="35" t="n">
        <v>0</v>
      </c>
      <c r="L658" s="40">
        <f>ROUND(PMT(H658/12,I658,-G658),0)</f>
        <v/>
      </c>
      <c r="M658" s="41">
        <f>MAX(0,(YEAR(AsOfDate)-YEAR(F658))*12+MONTH(AsOfDate)-MONTH(F658))</f>
        <v/>
      </c>
      <c r="N658" s="41">
        <f>MAX(0,MIN(I658,M658)-INT(K658/30))</f>
        <v/>
      </c>
      <c r="O658" s="40">
        <f>IF(N658&gt;=I658,0,ROUND(PV(H658/12,I658-N658,-L658),0))</f>
        <v/>
      </c>
      <c r="P658" s="40">
        <f>MIN(I658,M658)*L658-N658*L658</f>
        <v/>
      </c>
      <c r="Q658" s="41">
        <f>INDEX(DPD_Bucket,MATCH(K658,DPD_From,1))</f>
        <v/>
      </c>
      <c r="R658" s="41">
        <f>INDEX(DPD_Class,MATCH(K658,DPD_From,1))</f>
        <v/>
      </c>
      <c r="S658" s="41">
        <f>INDEX(DPD_NPA,MATCH(K658,DPD_From,1))</f>
        <v/>
      </c>
      <c r="T658" s="42">
        <f>INDEX(DPD_Prov,MATCH(K658,DPD_From,1))</f>
        <v/>
      </c>
      <c r="U658" s="40">
        <f>ROUND(O658*T658,0)</f>
        <v/>
      </c>
      <c r="V658" s="41">
        <f>INDEX(CIBIL_Grade,MATCH(J658,CIBIL_From,1))</f>
        <v/>
      </c>
      <c r="W658" s="41">
        <f>YEAR(F658)&amp;"-Q"&amp;ROUNDUP(MONTH(F658)/3,0)</f>
        <v/>
      </c>
      <c r="X658" s="41">
        <f>IF(AND(OR(Dashboard!$C$4="All",D658=Dashboard!$C$4),OR(Dashboard!$C$5="All",E658=Dashboard!$C$5)),1,0)</f>
        <v/>
      </c>
      <c r="Y658" s="43">
        <f>IF(AND(X658=1,S658="Yes"),O658+ROW()/1000000,0)</f>
        <v/>
      </c>
    </row>
    <row r="659">
      <c r="A659" s="35" t="inlineStr">
        <is>
          <t>LN100658</t>
        </is>
      </c>
      <c r="B659" s="35" t="inlineStr">
        <is>
          <t>Suresh Banerjee</t>
        </is>
      </c>
      <c r="C659" s="35" t="inlineStr">
        <is>
          <t>DEL-01</t>
        </is>
      </c>
      <c r="D659" s="36">
        <f>INDEX(Branches!$C$2:$C$15,MATCH(C659,Branches!$A$2:$A$15,0))</f>
        <v/>
      </c>
      <c r="E659" s="35" t="inlineStr">
        <is>
          <t>Personal Loan</t>
        </is>
      </c>
      <c r="F659" s="37" t="n">
        <v>45444</v>
      </c>
      <c r="G659" s="38" t="n">
        <v>816000</v>
      </c>
      <c r="H659" s="39" t="n">
        <v>0.1161</v>
      </c>
      <c r="I659" s="35" t="n">
        <v>48</v>
      </c>
      <c r="J659" s="35" t="n">
        <v>792</v>
      </c>
      <c r="K659" s="35" t="n">
        <v>0</v>
      </c>
      <c r="L659" s="40">
        <f>ROUND(PMT(H659/12,I659,-G659),0)</f>
        <v/>
      </c>
      <c r="M659" s="41">
        <f>MAX(0,(YEAR(AsOfDate)-YEAR(F659))*12+MONTH(AsOfDate)-MONTH(F659))</f>
        <v/>
      </c>
      <c r="N659" s="41">
        <f>MAX(0,MIN(I659,M659)-INT(K659/30))</f>
        <v/>
      </c>
      <c r="O659" s="40">
        <f>IF(N659&gt;=I659,0,ROUND(PV(H659/12,I659-N659,-L659),0))</f>
        <v/>
      </c>
      <c r="P659" s="40">
        <f>MIN(I659,M659)*L659-N659*L659</f>
        <v/>
      </c>
      <c r="Q659" s="41">
        <f>INDEX(DPD_Bucket,MATCH(K659,DPD_From,1))</f>
        <v/>
      </c>
      <c r="R659" s="41">
        <f>INDEX(DPD_Class,MATCH(K659,DPD_From,1))</f>
        <v/>
      </c>
      <c r="S659" s="41">
        <f>INDEX(DPD_NPA,MATCH(K659,DPD_From,1))</f>
        <v/>
      </c>
      <c r="T659" s="42">
        <f>INDEX(DPD_Prov,MATCH(K659,DPD_From,1))</f>
        <v/>
      </c>
      <c r="U659" s="40">
        <f>ROUND(O659*T659,0)</f>
        <v/>
      </c>
      <c r="V659" s="41">
        <f>INDEX(CIBIL_Grade,MATCH(J659,CIBIL_From,1))</f>
        <v/>
      </c>
      <c r="W659" s="41">
        <f>YEAR(F659)&amp;"-Q"&amp;ROUNDUP(MONTH(F659)/3,0)</f>
        <v/>
      </c>
      <c r="X659" s="41">
        <f>IF(AND(OR(Dashboard!$C$4="All",D659=Dashboard!$C$4),OR(Dashboard!$C$5="All",E659=Dashboard!$C$5)),1,0)</f>
        <v/>
      </c>
      <c r="Y659" s="43">
        <f>IF(AND(X659=1,S659="Yes"),O659+ROW()/1000000,0)</f>
        <v/>
      </c>
    </row>
    <row r="660">
      <c r="A660" s="35" t="inlineStr">
        <is>
          <t>LN100659</t>
        </is>
      </c>
      <c r="B660" s="35" t="inlineStr">
        <is>
          <t>Aarav Nair</t>
        </is>
      </c>
      <c r="C660" s="35" t="inlineStr">
        <is>
          <t>BBS-01</t>
        </is>
      </c>
      <c r="D660" s="36">
        <f>INDEX(Branches!$C$2:$C$15,MATCH(C660,Branches!$A$2:$A$15,0))</f>
        <v/>
      </c>
      <c r="E660" s="35" t="inlineStr">
        <is>
          <t>Personal Loan</t>
        </is>
      </c>
      <c r="F660" s="37" t="n">
        <v>45660</v>
      </c>
      <c r="G660" s="38" t="n">
        <v>174000</v>
      </c>
      <c r="H660" s="39" t="n">
        <v>0.1101</v>
      </c>
      <c r="I660" s="35" t="n">
        <v>12</v>
      </c>
      <c r="J660" s="35" t="n">
        <v>695</v>
      </c>
      <c r="K660" s="35" t="n">
        <v>0</v>
      </c>
      <c r="L660" s="40">
        <f>ROUND(PMT(H660/12,I660,-G660),0)</f>
        <v/>
      </c>
      <c r="M660" s="41">
        <f>MAX(0,(YEAR(AsOfDate)-YEAR(F660))*12+MONTH(AsOfDate)-MONTH(F660))</f>
        <v/>
      </c>
      <c r="N660" s="41">
        <f>MAX(0,MIN(I660,M660)-INT(K660/30))</f>
        <v/>
      </c>
      <c r="O660" s="40">
        <f>IF(N660&gt;=I660,0,ROUND(PV(H660/12,I660-N660,-L660),0))</f>
        <v/>
      </c>
      <c r="P660" s="40">
        <f>MIN(I660,M660)*L660-N660*L660</f>
        <v/>
      </c>
      <c r="Q660" s="41">
        <f>INDEX(DPD_Bucket,MATCH(K660,DPD_From,1))</f>
        <v/>
      </c>
      <c r="R660" s="41">
        <f>INDEX(DPD_Class,MATCH(K660,DPD_From,1))</f>
        <v/>
      </c>
      <c r="S660" s="41">
        <f>INDEX(DPD_NPA,MATCH(K660,DPD_From,1))</f>
        <v/>
      </c>
      <c r="T660" s="42">
        <f>INDEX(DPD_Prov,MATCH(K660,DPD_From,1))</f>
        <v/>
      </c>
      <c r="U660" s="40">
        <f>ROUND(O660*T660,0)</f>
        <v/>
      </c>
      <c r="V660" s="41">
        <f>INDEX(CIBIL_Grade,MATCH(J660,CIBIL_From,1))</f>
        <v/>
      </c>
      <c r="W660" s="41">
        <f>YEAR(F660)&amp;"-Q"&amp;ROUNDUP(MONTH(F660)/3,0)</f>
        <v/>
      </c>
      <c r="X660" s="41">
        <f>IF(AND(OR(Dashboard!$C$4="All",D660=Dashboard!$C$4),OR(Dashboard!$C$5="All",E660=Dashboard!$C$5)),1,0)</f>
        <v/>
      </c>
      <c r="Y660" s="43">
        <f>IF(AND(X660=1,S660="Yes"),O660+ROW()/1000000,0)</f>
        <v/>
      </c>
    </row>
    <row r="661">
      <c r="A661" s="35" t="inlineStr">
        <is>
          <t>LN100660</t>
        </is>
      </c>
      <c r="B661" s="35" t="inlineStr">
        <is>
          <t>Priya Reddy</t>
        </is>
      </c>
      <c r="C661" s="35" t="inlineStr">
        <is>
          <t>MUM-01</t>
        </is>
      </c>
      <c r="D661" s="36">
        <f>INDEX(Branches!$C$2:$C$15,MATCH(C661,Branches!$A$2:$A$15,0))</f>
        <v/>
      </c>
      <c r="E661" s="35" t="inlineStr">
        <is>
          <t>Personal Loan</t>
        </is>
      </c>
      <c r="F661" s="37" t="n">
        <v>45390</v>
      </c>
      <c r="G661" s="38" t="n">
        <v>971000</v>
      </c>
      <c r="H661" s="39" t="n">
        <v>0.1122</v>
      </c>
      <c r="I661" s="35" t="n">
        <v>24</v>
      </c>
      <c r="J661" s="35" t="n">
        <v>737</v>
      </c>
      <c r="K661" s="35" t="n">
        <v>0</v>
      </c>
      <c r="L661" s="40">
        <f>ROUND(PMT(H661/12,I661,-G661),0)</f>
        <v/>
      </c>
      <c r="M661" s="41">
        <f>MAX(0,(YEAR(AsOfDate)-YEAR(F661))*12+MONTH(AsOfDate)-MONTH(F661))</f>
        <v/>
      </c>
      <c r="N661" s="41">
        <f>MAX(0,MIN(I661,M661)-INT(K661/30))</f>
        <v/>
      </c>
      <c r="O661" s="40">
        <f>IF(N661&gt;=I661,0,ROUND(PV(H661/12,I661-N661,-L661),0))</f>
        <v/>
      </c>
      <c r="P661" s="40">
        <f>MIN(I661,M661)*L661-N661*L661</f>
        <v/>
      </c>
      <c r="Q661" s="41">
        <f>INDEX(DPD_Bucket,MATCH(K661,DPD_From,1))</f>
        <v/>
      </c>
      <c r="R661" s="41">
        <f>INDEX(DPD_Class,MATCH(K661,DPD_From,1))</f>
        <v/>
      </c>
      <c r="S661" s="41">
        <f>INDEX(DPD_NPA,MATCH(K661,DPD_From,1))</f>
        <v/>
      </c>
      <c r="T661" s="42">
        <f>INDEX(DPD_Prov,MATCH(K661,DPD_From,1))</f>
        <v/>
      </c>
      <c r="U661" s="40">
        <f>ROUND(O661*T661,0)</f>
        <v/>
      </c>
      <c r="V661" s="41">
        <f>INDEX(CIBIL_Grade,MATCH(J661,CIBIL_From,1))</f>
        <v/>
      </c>
      <c r="W661" s="41">
        <f>YEAR(F661)&amp;"-Q"&amp;ROUNDUP(MONTH(F661)/3,0)</f>
        <v/>
      </c>
      <c r="X661" s="41">
        <f>IF(AND(OR(Dashboard!$C$4="All",D661=Dashboard!$C$4),OR(Dashboard!$C$5="All",E661=Dashboard!$C$5)),1,0)</f>
        <v/>
      </c>
      <c r="Y661" s="43">
        <f>IF(AND(X661=1,S661="Yes"),O661+ROW()/1000000,0)</f>
        <v/>
      </c>
    </row>
    <row r="662">
      <c r="A662" s="35" t="inlineStr">
        <is>
          <t>LN100661</t>
        </is>
      </c>
      <c r="B662" s="35" t="inlineStr">
        <is>
          <t>Pooja Chatterjee</t>
        </is>
      </c>
      <c r="C662" s="35" t="inlineStr">
        <is>
          <t>MUM-01</t>
        </is>
      </c>
      <c r="D662" s="36">
        <f>INDEX(Branches!$C$2:$C$15,MATCH(C662,Branches!$A$2:$A$15,0))</f>
        <v/>
      </c>
      <c r="E662" s="35" t="inlineStr">
        <is>
          <t>Home Loan</t>
        </is>
      </c>
      <c r="F662" s="37" t="n">
        <v>45165</v>
      </c>
      <c r="G662" s="38" t="n">
        <v>9052000</v>
      </c>
      <c r="H662" s="39" t="n">
        <v>0.0953</v>
      </c>
      <c r="I662" s="35" t="n">
        <v>240</v>
      </c>
      <c r="J662" s="35" t="n">
        <v>744</v>
      </c>
      <c r="K662" s="35" t="n">
        <v>0</v>
      </c>
      <c r="L662" s="40">
        <f>ROUND(PMT(H662/12,I662,-G662),0)</f>
        <v/>
      </c>
      <c r="M662" s="41">
        <f>MAX(0,(YEAR(AsOfDate)-YEAR(F662))*12+MONTH(AsOfDate)-MONTH(F662))</f>
        <v/>
      </c>
      <c r="N662" s="41">
        <f>MAX(0,MIN(I662,M662)-INT(K662/30))</f>
        <v/>
      </c>
      <c r="O662" s="40">
        <f>IF(N662&gt;=I662,0,ROUND(PV(H662/12,I662-N662,-L662),0))</f>
        <v/>
      </c>
      <c r="P662" s="40">
        <f>MIN(I662,M662)*L662-N662*L662</f>
        <v/>
      </c>
      <c r="Q662" s="41">
        <f>INDEX(DPD_Bucket,MATCH(K662,DPD_From,1))</f>
        <v/>
      </c>
      <c r="R662" s="41">
        <f>INDEX(DPD_Class,MATCH(K662,DPD_From,1))</f>
        <v/>
      </c>
      <c r="S662" s="41">
        <f>INDEX(DPD_NPA,MATCH(K662,DPD_From,1))</f>
        <v/>
      </c>
      <c r="T662" s="42">
        <f>INDEX(DPD_Prov,MATCH(K662,DPD_From,1))</f>
        <v/>
      </c>
      <c r="U662" s="40">
        <f>ROUND(O662*T662,0)</f>
        <v/>
      </c>
      <c r="V662" s="41">
        <f>INDEX(CIBIL_Grade,MATCH(J662,CIBIL_From,1))</f>
        <v/>
      </c>
      <c r="W662" s="41">
        <f>YEAR(F662)&amp;"-Q"&amp;ROUNDUP(MONTH(F662)/3,0)</f>
        <v/>
      </c>
      <c r="X662" s="41">
        <f>IF(AND(OR(Dashboard!$C$4="All",D662=Dashboard!$C$4),OR(Dashboard!$C$5="All",E662=Dashboard!$C$5)),1,0)</f>
        <v/>
      </c>
      <c r="Y662" s="43">
        <f>IF(AND(X662=1,S662="Yes"),O662+ROW()/1000000,0)</f>
        <v/>
      </c>
    </row>
    <row r="663">
      <c r="A663" s="35" t="inlineStr">
        <is>
          <t>LN100662</t>
        </is>
      </c>
      <c r="B663" s="35" t="inlineStr">
        <is>
          <t>Swati Nair</t>
        </is>
      </c>
      <c r="C663" s="35" t="inlineStr">
        <is>
          <t>AMD-01</t>
        </is>
      </c>
      <c r="D663" s="36">
        <f>INDEX(Branches!$C$2:$C$15,MATCH(C663,Branches!$A$2:$A$15,0))</f>
        <v/>
      </c>
      <c r="E663" s="35" t="inlineStr">
        <is>
          <t>Personal Loan</t>
        </is>
      </c>
      <c r="F663" s="37" t="n">
        <v>46109</v>
      </c>
      <c r="G663" s="38" t="n">
        <v>730000</v>
      </c>
      <c r="H663" s="39" t="n">
        <v>0.169</v>
      </c>
      <c r="I663" s="35" t="n">
        <v>12</v>
      </c>
      <c r="J663" s="35" t="n">
        <v>699</v>
      </c>
      <c r="K663" s="35" t="n">
        <v>0</v>
      </c>
      <c r="L663" s="40">
        <f>ROUND(PMT(H663/12,I663,-G663),0)</f>
        <v/>
      </c>
      <c r="M663" s="41">
        <f>MAX(0,(YEAR(AsOfDate)-YEAR(F663))*12+MONTH(AsOfDate)-MONTH(F663))</f>
        <v/>
      </c>
      <c r="N663" s="41">
        <f>MAX(0,MIN(I663,M663)-INT(K663/30))</f>
        <v/>
      </c>
      <c r="O663" s="40">
        <f>IF(N663&gt;=I663,0,ROUND(PV(H663/12,I663-N663,-L663),0))</f>
        <v/>
      </c>
      <c r="P663" s="40">
        <f>MIN(I663,M663)*L663-N663*L663</f>
        <v/>
      </c>
      <c r="Q663" s="41">
        <f>INDEX(DPD_Bucket,MATCH(K663,DPD_From,1))</f>
        <v/>
      </c>
      <c r="R663" s="41">
        <f>INDEX(DPD_Class,MATCH(K663,DPD_From,1))</f>
        <v/>
      </c>
      <c r="S663" s="41">
        <f>INDEX(DPD_NPA,MATCH(K663,DPD_From,1))</f>
        <v/>
      </c>
      <c r="T663" s="42">
        <f>INDEX(DPD_Prov,MATCH(K663,DPD_From,1))</f>
        <v/>
      </c>
      <c r="U663" s="40">
        <f>ROUND(O663*T663,0)</f>
        <v/>
      </c>
      <c r="V663" s="41">
        <f>INDEX(CIBIL_Grade,MATCH(J663,CIBIL_From,1))</f>
        <v/>
      </c>
      <c r="W663" s="41">
        <f>YEAR(F663)&amp;"-Q"&amp;ROUNDUP(MONTH(F663)/3,0)</f>
        <v/>
      </c>
      <c r="X663" s="41">
        <f>IF(AND(OR(Dashboard!$C$4="All",D663=Dashboard!$C$4),OR(Dashboard!$C$5="All",E663=Dashboard!$C$5)),1,0)</f>
        <v/>
      </c>
      <c r="Y663" s="43">
        <f>IF(AND(X663=1,S663="Yes"),O663+ROW()/1000000,0)</f>
        <v/>
      </c>
    </row>
    <row r="664">
      <c r="A664" s="35" t="inlineStr">
        <is>
          <t>LN100663</t>
        </is>
      </c>
      <c r="B664" s="35" t="inlineStr">
        <is>
          <t>Swati Patel</t>
        </is>
      </c>
      <c r="C664" s="35" t="inlineStr">
        <is>
          <t>DEL-01</t>
        </is>
      </c>
      <c r="D664" s="36">
        <f>INDEX(Branches!$C$2:$C$15,MATCH(C664,Branches!$A$2:$A$15,0))</f>
        <v/>
      </c>
      <c r="E664" s="35" t="inlineStr">
        <is>
          <t>Personal Loan</t>
        </is>
      </c>
      <c r="F664" s="37" t="n">
        <v>46106</v>
      </c>
      <c r="G664" s="38" t="n">
        <v>703000</v>
      </c>
      <c r="H664" s="39" t="n">
        <v>0.1284</v>
      </c>
      <c r="I664" s="35" t="n">
        <v>12</v>
      </c>
      <c r="J664" s="35" t="n">
        <v>770</v>
      </c>
      <c r="K664" s="35" t="n">
        <v>0</v>
      </c>
      <c r="L664" s="40">
        <f>ROUND(PMT(H664/12,I664,-G664),0)</f>
        <v/>
      </c>
      <c r="M664" s="41">
        <f>MAX(0,(YEAR(AsOfDate)-YEAR(F664))*12+MONTH(AsOfDate)-MONTH(F664))</f>
        <v/>
      </c>
      <c r="N664" s="41">
        <f>MAX(0,MIN(I664,M664)-INT(K664/30))</f>
        <v/>
      </c>
      <c r="O664" s="40">
        <f>IF(N664&gt;=I664,0,ROUND(PV(H664/12,I664-N664,-L664),0))</f>
        <v/>
      </c>
      <c r="P664" s="40">
        <f>MIN(I664,M664)*L664-N664*L664</f>
        <v/>
      </c>
      <c r="Q664" s="41">
        <f>INDEX(DPD_Bucket,MATCH(K664,DPD_From,1))</f>
        <v/>
      </c>
      <c r="R664" s="41">
        <f>INDEX(DPD_Class,MATCH(K664,DPD_From,1))</f>
        <v/>
      </c>
      <c r="S664" s="41">
        <f>INDEX(DPD_NPA,MATCH(K664,DPD_From,1))</f>
        <v/>
      </c>
      <c r="T664" s="42">
        <f>INDEX(DPD_Prov,MATCH(K664,DPD_From,1))</f>
        <v/>
      </c>
      <c r="U664" s="40">
        <f>ROUND(O664*T664,0)</f>
        <v/>
      </c>
      <c r="V664" s="41">
        <f>INDEX(CIBIL_Grade,MATCH(J664,CIBIL_From,1))</f>
        <v/>
      </c>
      <c r="W664" s="41">
        <f>YEAR(F664)&amp;"-Q"&amp;ROUNDUP(MONTH(F664)/3,0)</f>
        <v/>
      </c>
      <c r="X664" s="41">
        <f>IF(AND(OR(Dashboard!$C$4="All",D664=Dashboard!$C$4),OR(Dashboard!$C$5="All",E664=Dashboard!$C$5)),1,0)</f>
        <v/>
      </c>
      <c r="Y664" s="43">
        <f>IF(AND(X664=1,S664="Yes"),O664+ROW()/1000000,0)</f>
        <v/>
      </c>
    </row>
    <row r="665">
      <c r="A665" s="35" t="inlineStr">
        <is>
          <t>LN100664</t>
        </is>
      </c>
      <c r="B665" s="35" t="inlineStr">
        <is>
          <t>Deepa Kulkarni</t>
        </is>
      </c>
      <c r="C665" s="35" t="inlineStr">
        <is>
          <t>JAI-01</t>
        </is>
      </c>
      <c r="D665" s="36">
        <f>INDEX(Branches!$C$2:$C$15,MATCH(C665,Branches!$A$2:$A$15,0))</f>
        <v/>
      </c>
      <c r="E665" s="35" t="inlineStr">
        <is>
          <t>Auto Loan</t>
        </is>
      </c>
      <c r="F665" s="37" t="n">
        <v>45169</v>
      </c>
      <c r="G665" s="38" t="n">
        <v>1152000</v>
      </c>
      <c r="H665" s="39" t="n">
        <v>0.1064</v>
      </c>
      <c r="I665" s="35" t="n">
        <v>36</v>
      </c>
      <c r="J665" s="35" t="n">
        <v>807</v>
      </c>
      <c r="K665" s="35" t="n">
        <v>0</v>
      </c>
      <c r="L665" s="40">
        <f>ROUND(PMT(H665/12,I665,-G665),0)</f>
        <v/>
      </c>
      <c r="M665" s="41">
        <f>MAX(0,(YEAR(AsOfDate)-YEAR(F665))*12+MONTH(AsOfDate)-MONTH(F665))</f>
        <v/>
      </c>
      <c r="N665" s="41">
        <f>MAX(0,MIN(I665,M665)-INT(K665/30))</f>
        <v/>
      </c>
      <c r="O665" s="40">
        <f>IF(N665&gt;=I665,0,ROUND(PV(H665/12,I665-N665,-L665),0))</f>
        <v/>
      </c>
      <c r="P665" s="40">
        <f>MIN(I665,M665)*L665-N665*L665</f>
        <v/>
      </c>
      <c r="Q665" s="41">
        <f>INDEX(DPD_Bucket,MATCH(K665,DPD_From,1))</f>
        <v/>
      </c>
      <c r="R665" s="41">
        <f>INDEX(DPD_Class,MATCH(K665,DPD_From,1))</f>
        <v/>
      </c>
      <c r="S665" s="41">
        <f>INDEX(DPD_NPA,MATCH(K665,DPD_From,1))</f>
        <v/>
      </c>
      <c r="T665" s="42">
        <f>INDEX(DPD_Prov,MATCH(K665,DPD_From,1))</f>
        <v/>
      </c>
      <c r="U665" s="40">
        <f>ROUND(O665*T665,0)</f>
        <v/>
      </c>
      <c r="V665" s="41">
        <f>INDEX(CIBIL_Grade,MATCH(J665,CIBIL_From,1))</f>
        <v/>
      </c>
      <c r="W665" s="41">
        <f>YEAR(F665)&amp;"-Q"&amp;ROUNDUP(MONTH(F665)/3,0)</f>
        <v/>
      </c>
      <c r="X665" s="41">
        <f>IF(AND(OR(Dashboard!$C$4="All",D665=Dashboard!$C$4),OR(Dashboard!$C$5="All",E665=Dashboard!$C$5)),1,0)</f>
        <v/>
      </c>
      <c r="Y665" s="43">
        <f>IF(AND(X665=1,S665="Yes"),O665+ROW()/1000000,0)</f>
        <v/>
      </c>
    </row>
    <row r="666">
      <c r="A666" s="35" t="inlineStr">
        <is>
          <t>LN100665</t>
        </is>
      </c>
      <c r="B666" s="35" t="inlineStr">
        <is>
          <t>Deepa Menon</t>
        </is>
      </c>
      <c r="C666" s="35" t="inlineStr">
        <is>
          <t>PAT-01</t>
        </is>
      </c>
      <c r="D666" s="36">
        <f>INDEX(Branches!$C$2:$C$15,MATCH(C666,Branches!$A$2:$A$15,0))</f>
        <v/>
      </c>
      <c r="E666" s="35" t="inlineStr">
        <is>
          <t>Home Loan</t>
        </is>
      </c>
      <c r="F666" s="37" t="n">
        <v>45372</v>
      </c>
      <c r="G666" s="38" t="n">
        <v>14711000</v>
      </c>
      <c r="H666" s="39" t="n">
        <v>0.0885</v>
      </c>
      <c r="I666" s="35" t="n">
        <v>120</v>
      </c>
      <c r="J666" s="35" t="n">
        <v>728</v>
      </c>
      <c r="K666" s="35" t="n">
        <v>0</v>
      </c>
      <c r="L666" s="40">
        <f>ROUND(PMT(H666/12,I666,-G666),0)</f>
        <v/>
      </c>
      <c r="M666" s="41">
        <f>MAX(0,(YEAR(AsOfDate)-YEAR(F666))*12+MONTH(AsOfDate)-MONTH(F666))</f>
        <v/>
      </c>
      <c r="N666" s="41">
        <f>MAX(0,MIN(I666,M666)-INT(K666/30))</f>
        <v/>
      </c>
      <c r="O666" s="40">
        <f>IF(N666&gt;=I666,0,ROUND(PV(H666/12,I666-N666,-L666),0))</f>
        <v/>
      </c>
      <c r="P666" s="40">
        <f>MIN(I666,M666)*L666-N666*L666</f>
        <v/>
      </c>
      <c r="Q666" s="41">
        <f>INDEX(DPD_Bucket,MATCH(K666,DPD_From,1))</f>
        <v/>
      </c>
      <c r="R666" s="41">
        <f>INDEX(DPD_Class,MATCH(K666,DPD_From,1))</f>
        <v/>
      </c>
      <c r="S666" s="41">
        <f>INDEX(DPD_NPA,MATCH(K666,DPD_From,1))</f>
        <v/>
      </c>
      <c r="T666" s="42">
        <f>INDEX(DPD_Prov,MATCH(K666,DPD_From,1))</f>
        <v/>
      </c>
      <c r="U666" s="40">
        <f>ROUND(O666*T666,0)</f>
        <v/>
      </c>
      <c r="V666" s="41">
        <f>INDEX(CIBIL_Grade,MATCH(J666,CIBIL_From,1))</f>
        <v/>
      </c>
      <c r="W666" s="41">
        <f>YEAR(F666)&amp;"-Q"&amp;ROUNDUP(MONTH(F666)/3,0)</f>
        <v/>
      </c>
      <c r="X666" s="41">
        <f>IF(AND(OR(Dashboard!$C$4="All",D666=Dashboard!$C$4),OR(Dashboard!$C$5="All",E666=Dashboard!$C$5)),1,0)</f>
        <v/>
      </c>
      <c r="Y666" s="43">
        <f>IF(AND(X666=1,S666="Yes"),O666+ROW()/1000000,0)</f>
        <v/>
      </c>
    </row>
    <row r="667">
      <c r="A667" s="35" t="inlineStr">
        <is>
          <t>LN100666</t>
        </is>
      </c>
      <c r="B667" s="35" t="inlineStr">
        <is>
          <t>Sneha Mishra</t>
        </is>
      </c>
      <c r="C667" s="35" t="inlineStr">
        <is>
          <t>BLR-01</t>
        </is>
      </c>
      <c r="D667" s="36">
        <f>INDEX(Branches!$C$2:$C$15,MATCH(C667,Branches!$A$2:$A$15,0))</f>
        <v/>
      </c>
      <c r="E667" s="35" t="inlineStr">
        <is>
          <t>Home Loan</t>
        </is>
      </c>
      <c r="F667" s="37" t="n">
        <v>45911</v>
      </c>
      <c r="G667" s="38" t="n">
        <v>11948000</v>
      </c>
      <c r="H667" s="39" t="n">
        <v>0.09279999999999999</v>
      </c>
      <c r="I667" s="35" t="n">
        <v>120</v>
      </c>
      <c r="J667" s="35" t="n">
        <v>808</v>
      </c>
      <c r="K667" s="35" t="n">
        <v>0</v>
      </c>
      <c r="L667" s="40">
        <f>ROUND(PMT(H667/12,I667,-G667),0)</f>
        <v/>
      </c>
      <c r="M667" s="41">
        <f>MAX(0,(YEAR(AsOfDate)-YEAR(F667))*12+MONTH(AsOfDate)-MONTH(F667))</f>
        <v/>
      </c>
      <c r="N667" s="41">
        <f>MAX(0,MIN(I667,M667)-INT(K667/30))</f>
        <v/>
      </c>
      <c r="O667" s="40">
        <f>IF(N667&gt;=I667,0,ROUND(PV(H667/12,I667-N667,-L667),0))</f>
        <v/>
      </c>
      <c r="P667" s="40">
        <f>MIN(I667,M667)*L667-N667*L667</f>
        <v/>
      </c>
      <c r="Q667" s="41">
        <f>INDEX(DPD_Bucket,MATCH(K667,DPD_From,1))</f>
        <v/>
      </c>
      <c r="R667" s="41">
        <f>INDEX(DPD_Class,MATCH(K667,DPD_From,1))</f>
        <v/>
      </c>
      <c r="S667" s="41">
        <f>INDEX(DPD_NPA,MATCH(K667,DPD_From,1))</f>
        <v/>
      </c>
      <c r="T667" s="42">
        <f>INDEX(DPD_Prov,MATCH(K667,DPD_From,1))</f>
        <v/>
      </c>
      <c r="U667" s="40">
        <f>ROUND(O667*T667,0)</f>
        <v/>
      </c>
      <c r="V667" s="41">
        <f>INDEX(CIBIL_Grade,MATCH(J667,CIBIL_From,1))</f>
        <v/>
      </c>
      <c r="W667" s="41">
        <f>YEAR(F667)&amp;"-Q"&amp;ROUNDUP(MONTH(F667)/3,0)</f>
        <v/>
      </c>
      <c r="X667" s="41">
        <f>IF(AND(OR(Dashboard!$C$4="All",D667=Dashboard!$C$4),OR(Dashboard!$C$5="All",E667=Dashboard!$C$5)),1,0)</f>
        <v/>
      </c>
      <c r="Y667" s="43">
        <f>IF(AND(X667=1,S667="Yes"),O667+ROW()/1000000,0)</f>
        <v/>
      </c>
    </row>
    <row r="668">
      <c r="A668" s="35" t="inlineStr">
        <is>
          <t>LN100667</t>
        </is>
      </c>
      <c r="B668" s="35" t="inlineStr">
        <is>
          <t>Diya Nair</t>
        </is>
      </c>
      <c r="C668" s="35" t="inlineStr">
        <is>
          <t>PUN-01</t>
        </is>
      </c>
      <c r="D668" s="36">
        <f>INDEX(Branches!$C$2:$C$15,MATCH(C668,Branches!$A$2:$A$15,0))</f>
        <v/>
      </c>
      <c r="E668" s="35" t="inlineStr">
        <is>
          <t>Auto Loan</t>
        </is>
      </c>
      <c r="F668" s="37" t="n">
        <v>45467</v>
      </c>
      <c r="G668" s="38" t="n">
        <v>672000</v>
      </c>
      <c r="H668" s="39" t="n">
        <v>0.1057</v>
      </c>
      <c r="I668" s="35" t="n">
        <v>84</v>
      </c>
      <c r="J668" s="35" t="n">
        <v>791</v>
      </c>
      <c r="K668" s="35" t="n">
        <v>705</v>
      </c>
      <c r="L668" s="40">
        <f>ROUND(PMT(H668/12,I668,-G668),0)</f>
        <v/>
      </c>
      <c r="M668" s="41">
        <f>MAX(0,(YEAR(AsOfDate)-YEAR(F668))*12+MONTH(AsOfDate)-MONTH(F668))</f>
        <v/>
      </c>
      <c r="N668" s="41">
        <f>MAX(0,MIN(I668,M668)-INT(K668/30))</f>
        <v/>
      </c>
      <c r="O668" s="40">
        <f>IF(N668&gt;=I668,0,ROUND(PV(H668/12,I668-N668,-L668),0))</f>
        <v/>
      </c>
      <c r="P668" s="40">
        <f>MIN(I668,M668)*L668-N668*L668</f>
        <v/>
      </c>
      <c r="Q668" s="41">
        <f>INDEX(DPD_Bucket,MATCH(K668,DPD_From,1))</f>
        <v/>
      </c>
      <c r="R668" s="41">
        <f>INDEX(DPD_Class,MATCH(K668,DPD_From,1))</f>
        <v/>
      </c>
      <c r="S668" s="41">
        <f>INDEX(DPD_NPA,MATCH(K668,DPD_From,1))</f>
        <v/>
      </c>
      <c r="T668" s="42">
        <f>INDEX(DPD_Prov,MATCH(K668,DPD_From,1))</f>
        <v/>
      </c>
      <c r="U668" s="40">
        <f>ROUND(O668*T668,0)</f>
        <v/>
      </c>
      <c r="V668" s="41">
        <f>INDEX(CIBIL_Grade,MATCH(J668,CIBIL_From,1))</f>
        <v/>
      </c>
      <c r="W668" s="41">
        <f>YEAR(F668)&amp;"-Q"&amp;ROUNDUP(MONTH(F668)/3,0)</f>
        <v/>
      </c>
      <c r="X668" s="41">
        <f>IF(AND(OR(Dashboard!$C$4="All",D668=Dashboard!$C$4),OR(Dashboard!$C$5="All",E668=Dashboard!$C$5)),1,0)</f>
        <v/>
      </c>
      <c r="Y668" s="43">
        <f>IF(AND(X668=1,S668="Yes"),O668+ROW()/1000000,0)</f>
        <v/>
      </c>
    </row>
    <row r="669">
      <c r="A669" s="35" t="inlineStr">
        <is>
          <t>LN100668</t>
        </is>
      </c>
      <c r="B669" s="35" t="inlineStr">
        <is>
          <t>Swati Khan</t>
        </is>
      </c>
      <c r="C669" s="35" t="inlineStr">
        <is>
          <t>MUM-01</t>
        </is>
      </c>
      <c r="D669" s="36">
        <f>INDEX(Branches!$C$2:$C$15,MATCH(C669,Branches!$A$2:$A$15,0))</f>
        <v/>
      </c>
      <c r="E669" s="35" t="inlineStr">
        <is>
          <t>Home Loan</t>
        </is>
      </c>
      <c r="F669" s="37" t="n">
        <v>45308</v>
      </c>
      <c r="G669" s="38" t="n">
        <v>2265000</v>
      </c>
      <c r="H669" s="39" t="n">
        <v>0.0906</v>
      </c>
      <c r="I669" s="35" t="n">
        <v>240</v>
      </c>
      <c r="J669" s="35" t="n">
        <v>732</v>
      </c>
      <c r="K669" s="35" t="n">
        <v>0</v>
      </c>
      <c r="L669" s="40">
        <f>ROUND(PMT(H669/12,I669,-G669),0)</f>
        <v/>
      </c>
      <c r="M669" s="41">
        <f>MAX(0,(YEAR(AsOfDate)-YEAR(F669))*12+MONTH(AsOfDate)-MONTH(F669))</f>
        <v/>
      </c>
      <c r="N669" s="41">
        <f>MAX(0,MIN(I669,M669)-INT(K669/30))</f>
        <v/>
      </c>
      <c r="O669" s="40">
        <f>IF(N669&gt;=I669,0,ROUND(PV(H669/12,I669-N669,-L669),0))</f>
        <v/>
      </c>
      <c r="P669" s="40">
        <f>MIN(I669,M669)*L669-N669*L669</f>
        <v/>
      </c>
      <c r="Q669" s="41">
        <f>INDEX(DPD_Bucket,MATCH(K669,DPD_From,1))</f>
        <v/>
      </c>
      <c r="R669" s="41">
        <f>INDEX(DPD_Class,MATCH(K669,DPD_From,1))</f>
        <v/>
      </c>
      <c r="S669" s="41">
        <f>INDEX(DPD_NPA,MATCH(K669,DPD_From,1))</f>
        <v/>
      </c>
      <c r="T669" s="42">
        <f>INDEX(DPD_Prov,MATCH(K669,DPD_From,1))</f>
        <v/>
      </c>
      <c r="U669" s="40">
        <f>ROUND(O669*T669,0)</f>
        <v/>
      </c>
      <c r="V669" s="41">
        <f>INDEX(CIBIL_Grade,MATCH(J669,CIBIL_From,1))</f>
        <v/>
      </c>
      <c r="W669" s="41">
        <f>YEAR(F669)&amp;"-Q"&amp;ROUNDUP(MONTH(F669)/3,0)</f>
        <v/>
      </c>
      <c r="X669" s="41">
        <f>IF(AND(OR(Dashboard!$C$4="All",D669=Dashboard!$C$4),OR(Dashboard!$C$5="All",E669=Dashboard!$C$5)),1,0)</f>
        <v/>
      </c>
      <c r="Y669" s="43">
        <f>IF(AND(X669=1,S669="Yes"),O669+ROW()/1000000,0)</f>
        <v/>
      </c>
    </row>
    <row r="670">
      <c r="A670" s="35" t="inlineStr">
        <is>
          <t>LN100669</t>
        </is>
      </c>
      <c r="B670" s="35" t="inlineStr">
        <is>
          <t>Pooja Nair</t>
        </is>
      </c>
      <c r="C670" s="35" t="inlineStr">
        <is>
          <t>BBS-01</t>
        </is>
      </c>
      <c r="D670" s="36">
        <f>INDEX(Branches!$C$2:$C$15,MATCH(C670,Branches!$A$2:$A$15,0))</f>
        <v/>
      </c>
      <c r="E670" s="35" t="inlineStr">
        <is>
          <t>Home Loan</t>
        </is>
      </c>
      <c r="F670" s="37" t="n">
        <v>45400</v>
      </c>
      <c r="G670" s="38" t="n">
        <v>10776000</v>
      </c>
      <c r="H670" s="39" t="n">
        <v>0.0887</v>
      </c>
      <c r="I670" s="35" t="n">
        <v>180</v>
      </c>
      <c r="J670" s="35" t="n">
        <v>691</v>
      </c>
      <c r="K670" s="35" t="n">
        <v>0</v>
      </c>
      <c r="L670" s="40">
        <f>ROUND(PMT(H670/12,I670,-G670),0)</f>
        <v/>
      </c>
      <c r="M670" s="41">
        <f>MAX(0,(YEAR(AsOfDate)-YEAR(F670))*12+MONTH(AsOfDate)-MONTH(F670))</f>
        <v/>
      </c>
      <c r="N670" s="41">
        <f>MAX(0,MIN(I670,M670)-INT(K670/30))</f>
        <v/>
      </c>
      <c r="O670" s="40">
        <f>IF(N670&gt;=I670,0,ROUND(PV(H670/12,I670-N670,-L670),0))</f>
        <v/>
      </c>
      <c r="P670" s="40">
        <f>MIN(I670,M670)*L670-N670*L670</f>
        <v/>
      </c>
      <c r="Q670" s="41">
        <f>INDEX(DPD_Bucket,MATCH(K670,DPD_From,1))</f>
        <v/>
      </c>
      <c r="R670" s="41">
        <f>INDEX(DPD_Class,MATCH(K670,DPD_From,1))</f>
        <v/>
      </c>
      <c r="S670" s="41">
        <f>INDEX(DPD_NPA,MATCH(K670,DPD_From,1))</f>
        <v/>
      </c>
      <c r="T670" s="42">
        <f>INDEX(DPD_Prov,MATCH(K670,DPD_From,1))</f>
        <v/>
      </c>
      <c r="U670" s="40">
        <f>ROUND(O670*T670,0)</f>
        <v/>
      </c>
      <c r="V670" s="41">
        <f>INDEX(CIBIL_Grade,MATCH(J670,CIBIL_From,1))</f>
        <v/>
      </c>
      <c r="W670" s="41">
        <f>YEAR(F670)&amp;"-Q"&amp;ROUNDUP(MONTH(F670)/3,0)</f>
        <v/>
      </c>
      <c r="X670" s="41">
        <f>IF(AND(OR(Dashboard!$C$4="All",D670=Dashboard!$C$4),OR(Dashboard!$C$5="All",E670=Dashboard!$C$5)),1,0)</f>
        <v/>
      </c>
      <c r="Y670" s="43">
        <f>IF(AND(X670=1,S670="Yes"),O670+ROW()/1000000,0)</f>
        <v/>
      </c>
    </row>
    <row r="671">
      <c r="A671" s="35" t="inlineStr">
        <is>
          <t>LN100670</t>
        </is>
      </c>
      <c r="B671" s="35" t="inlineStr">
        <is>
          <t>Sneha Khan</t>
        </is>
      </c>
      <c r="C671" s="35" t="inlineStr">
        <is>
          <t>KOC-01</t>
        </is>
      </c>
      <c r="D671" s="36">
        <f>INDEX(Branches!$C$2:$C$15,MATCH(C671,Branches!$A$2:$A$15,0))</f>
        <v/>
      </c>
      <c r="E671" s="35" t="inlineStr">
        <is>
          <t>Personal Loan</t>
        </is>
      </c>
      <c r="F671" s="37" t="n">
        <v>45832</v>
      </c>
      <c r="G671" s="38" t="n">
        <v>796000</v>
      </c>
      <c r="H671" s="39" t="n">
        <v>0.1686</v>
      </c>
      <c r="I671" s="35" t="n">
        <v>36</v>
      </c>
      <c r="J671" s="35" t="n">
        <v>714</v>
      </c>
      <c r="K671" s="35" t="n">
        <v>0</v>
      </c>
      <c r="L671" s="40">
        <f>ROUND(PMT(H671/12,I671,-G671),0)</f>
        <v/>
      </c>
      <c r="M671" s="41">
        <f>MAX(0,(YEAR(AsOfDate)-YEAR(F671))*12+MONTH(AsOfDate)-MONTH(F671))</f>
        <v/>
      </c>
      <c r="N671" s="41">
        <f>MAX(0,MIN(I671,M671)-INT(K671/30))</f>
        <v/>
      </c>
      <c r="O671" s="40">
        <f>IF(N671&gt;=I671,0,ROUND(PV(H671/12,I671-N671,-L671),0))</f>
        <v/>
      </c>
      <c r="P671" s="40">
        <f>MIN(I671,M671)*L671-N671*L671</f>
        <v/>
      </c>
      <c r="Q671" s="41">
        <f>INDEX(DPD_Bucket,MATCH(K671,DPD_From,1))</f>
        <v/>
      </c>
      <c r="R671" s="41">
        <f>INDEX(DPD_Class,MATCH(K671,DPD_From,1))</f>
        <v/>
      </c>
      <c r="S671" s="41">
        <f>INDEX(DPD_NPA,MATCH(K671,DPD_From,1))</f>
        <v/>
      </c>
      <c r="T671" s="42">
        <f>INDEX(DPD_Prov,MATCH(K671,DPD_From,1))</f>
        <v/>
      </c>
      <c r="U671" s="40">
        <f>ROUND(O671*T671,0)</f>
        <v/>
      </c>
      <c r="V671" s="41">
        <f>INDEX(CIBIL_Grade,MATCH(J671,CIBIL_From,1))</f>
        <v/>
      </c>
      <c r="W671" s="41">
        <f>YEAR(F671)&amp;"-Q"&amp;ROUNDUP(MONTH(F671)/3,0)</f>
        <v/>
      </c>
      <c r="X671" s="41">
        <f>IF(AND(OR(Dashboard!$C$4="All",D671=Dashboard!$C$4),OR(Dashboard!$C$5="All",E671=Dashboard!$C$5)),1,0)</f>
        <v/>
      </c>
      <c r="Y671" s="43">
        <f>IF(AND(X671=1,S671="Yes"),O671+ROW()/1000000,0)</f>
        <v/>
      </c>
    </row>
    <row r="672">
      <c r="A672" s="35" t="inlineStr">
        <is>
          <t>LN100671</t>
        </is>
      </c>
      <c r="B672" s="35" t="inlineStr">
        <is>
          <t>Nikhil Mohanty</t>
        </is>
      </c>
      <c r="C672" s="35" t="inlineStr">
        <is>
          <t>JAI-01</t>
        </is>
      </c>
      <c r="D672" s="36">
        <f>INDEX(Branches!$C$2:$C$15,MATCH(C672,Branches!$A$2:$A$15,0))</f>
        <v/>
      </c>
      <c r="E672" s="35" t="inlineStr">
        <is>
          <t>Business Loan</t>
        </is>
      </c>
      <c r="F672" s="37" t="n">
        <v>45585</v>
      </c>
      <c r="G672" s="38" t="n">
        <v>3843000</v>
      </c>
      <c r="H672" s="39" t="n">
        <v>0.1364</v>
      </c>
      <c r="I672" s="35" t="n">
        <v>24</v>
      </c>
      <c r="J672" s="35" t="n">
        <v>730</v>
      </c>
      <c r="K672" s="35" t="n">
        <v>0</v>
      </c>
      <c r="L672" s="40">
        <f>ROUND(PMT(H672/12,I672,-G672),0)</f>
        <v/>
      </c>
      <c r="M672" s="41">
        <f>MAX(0,(YEAR(AsOfDate)-YEAR(F672))*12+MONTH(AsOfDate)-MONTH(F672))</f>
        <v/>
      </c>
      <c r="N672" s="41">
        <f>MAX(0,MIN(I672,M672)-INT(K672/30))</f>
        <v/>
      </c>
      <c r="O672" s="40">
        <f>IF(N672&gt;=I672,0,ROUND(PV(H672/12,I672-N672,-L672),0))</f>
        <v/>
      </c>
      <c r="P672" s="40">
        <f>MIN(I672,M672)*L672-N672*L672</f>
        <v/>
      </c>
      <c r="Q672" s="41">
        <f>INDEX(DPD_Bucket,MATCH(K672,DPD_From,1))</f>
        <v/>
      </c>
      <c r="R672" s="41">
        <f>INDEX(DPD_Class,MATCH(K672,DPD_From,1))</f>
        <v/>
      </c>
      <c r="S672" s="41">
        <f>INDEX(DPD_NPA,MATCH(K672,DPD_From,1))</f>
        <v/>
      </c>
      <c r="T672" s="42">
        <f>INDEX(DPD_Prov,MATCH(K672,DPD_From,1))</f>
        <v/>
      </c>
      <c r="U672" s="40">
        <f>ROUND(O672*T672,0)</f>
        <v/>
      </c>
      <c r="V672" s="41">
        <f>INDEX(CIBIL_Grade,MATCH(J672,CIBIL_From,1))</f>
        <v/>
      </c>
      <c r="W672" s="41">
        <f>YEAR(F672)&amp;"-Q"&amp;ROUNDUP(MONTH(F672)/3,0)</f>
        <v/>
      </c>
      <c r="X672" s="41">
        <f>IF(AND(OR(Dashboard!$C$4="All",D672=Dashboard!$C$4),OR(Dashboard!$C$5="All",E672=Dashboard!$C$5)),1,0)</f>
        <v/>
      </c>
      <c r="Y672" s="43">
        <f>IF(AND(X672=1,S672="Yes"),O672+ROW()/1000000,0)</f>
        <v/>
      </c>
    </row>
    <row r="673">
      <c r="A673" s="35" t="inlineStr">
        <is>
          <t>LN100672</t>
        </is>
      </c>
      <c r="B673" s="35" t="inlineStr">
        <is>
          <t>Karthik Chatterjee</t>
        </is>
      </c>
      <c r="C673" s="35" t="inlineStr">
        <is>
          <t>DEL-01</t>
        </is>
      </c>
      <c r="D673" s="36">
        <f>INDEX(Branches!$C$2:$C$15,MATCH(C673,Branches!$A$2:$A$15,0))</f>
        <v/>
      </c>
      <c r="E673" s="35" t="inlineStr">
        <is>
          <t>Business Loan</t>
        </is>
      </c>
      <c r="F673" s="37" t="n">
        <v>45484</v>
      </c>
      <c r="G673" s="38" t="n">
        <v>2422000</v>
      </c>
      <c r="H673" s="39" t="n">
        <v>0.1543</v>
      </c>
      <c r="I673" s="35" t="n">
        <v>12</v>
      </c>
      <c r="J673" s="35" t="n">
        <v>780</v>
      </c>
      <c r="K673" s="35" t="n">
        <v>0</v>
      </c>
      <c r="L673" s="40">
        <f>ROUND(PMT(H673/12,I673,-G673),0)</f>
        <v/>
      </c>
      <c r="M673" s="41">
        <f>MAX(0,(YEAR(AsOfDate)-YEAR(F673))*12+MONTH(AsOfDate)-MONTH(F673))</f>
        <v/>
      </c>
      <c r="N673" s="41">
        <f>MAX(0,MIN(I673,M673)-INT(K673/30))</f>
        <v/>
      </c>
      <c r="O673" s="40">
        <f>IF(N673&gt;=I673,0,ROUND(PV(H673/12,I673-N673,-L673),0))</f>
        <v/>
      </c>
      <c r="P673" s="40">
        <f>MIN(I673,M673)*L673-N673*L673</f>
        <v/>
      </c>
      <c r="Q673" s="41">
        <f>INDEX(DPD_Bucket,MATCH(K673,DPD_From,1))</f>
        <v/>
      </c>
      <c r="R673" s="41">
        <f>INDEX(DPD_Class,MATCH(K673,DPD_From,1))</f>
        <v/>
      </c>
      <c r="S673" s="41">
        <f>INDEX(DPD_NPA,MATCH(K673,DPD_From,1))</f>
        <v/>
      </c>
      <c r="T673" s="42">
        <f>INDEX(DPD_Prov,MATCH(K673,DPD_From,1))</f>
        <v/>
      </c>
      <c r="U673" s="40">
        <f>ROUND(O673*T673,0)</f>
        <v/>
      </c>
      <c r="V673" s="41">
        <f>INDEX(CIBIL_Grade,MATCH(J673,CIBIL_From,1))</f>
        <v/>
      </c>
      <c r="W673" s="41">
        <f>YEAR(F673)&amp;"-Q"&amp;ROUNDUP(MONTH(F673)/3,0)</f>
        <v/>
      </c>
      <c r="X673" s="41">
        <f>IF(AND(OR(Dashboard!$C$4="All",D673=Dashboard!$C$4),OR(Dashboard!$C$5="All",E673=Dashboard!$C$5)),1,0)</f>
        <v/>
      </c>
      <c r="Y673" s="43">
        <f>IF(AND(X673=1,S673="Yes"),O673+ROW()/1000000,0)</f>
        <v/>
      </c>
    </row>
    <row r="674">
      <c r="A674" s="35" t="inlineStr">
        <is>
          <t>LN100673</t>
        </is>
      </c>
      <c r="B674" s="35" t="inlineStr">
        <is>
          <t>Ishaan Khan</t>
        </is>
      </c>
      <c r="C674" s="35" t="inlineStr">
        <is>
          <t>AMD-01</t>
        </is>
      </c>
      <c r="D674" s="36">
        <f>INDEX(Branches!$C$2:$C$15,MATCH(C674,Branches!$A$2:$A$15,0))</f>
        <v/>
      </c>
      <c r="E674" s="35" t="inlineStr">
        <is>
          <t>Home Loan</t>
        </is>
      </c>
      <c r="F674" s="37" t="n">
        <v>45140</v>
      </c>
      <c r="G674" s="38" t="n">
        <v>5266000</v>
      </c>
      <c r="H674" s="39" t="n">
        <v>0.0912</v>
      </c>
      <c r="I674" s="35" t="n">
        <v>180</v>
      </c>
      <c r="J674" s="35" t="n">
        <v>754</v>
      </c>
      <c r="K674" s="35" t="n">
        <v>0</v>
      </c>
      <c r="L674" s="40">
        <f>ROUND(PMT(H674/12,I674,-G674),0)</f>
        <v/>
      </c>
      <c r="M674" s="41">
        <f>MAX(0,(YEAR(AsOfDate)-YEAR(F674))*12+MONTH(AsOfDate)-MONTH(F674))</f>
        <v/>
      </c>
      <c r="N674" s="41">
        <f>MAX(0,MIN(I674,M674)-INT(K674/30))</f>
        <v/>
      </c>
      <c r="O674" s="40">
        <f>IF(N674&gt;=I674,0,ROUND(PV(H674/12,I674-N674,-L674),0))</f>
        <v/>
      </c>
      <c r="P674" s="40">
        <f>MIN(I674,M674)*L674-N674*L674</f>
        <v/>
      </c>
      <c r="Q674" s="41">
        <f>INDEX(DPD_Bucket,MATCH(K674,DPD_From,1))</f>
        <v/>
      </c>
      <c r="R674" s="41">
        <f>INDEX(DPD_Class,MATCH(K674,DPD_From,1))</f>
        <v/>
      </c>
      <c r="S674" s="41">
        <f>INDEX(DPD_NPA,MATCH(K674,DPD_From,1))</f>
        <v/>
      </c>
      <c r="T674" s="42">
        <f>INDEX(DPD_Prov,MATCH(K674,DPD_From,1))</f>
        <v/>
      </c>
      <c r="U674" s="40">
        <f>ROUND(O674*T674,0)</f>
        <v/>
      </c>
      <c r="V674" s="41">
        <f>INDEX(CIBIL_Grade,MATCH(J674,CIBIL_From,1))</f>
        <v/>
      </c>
      <c r="W674" s="41">
        <f>YEAR(F674)&amp;"-Q"&amp;ROUNDUP(MONTH(F674)/3,0)</f>
        <v/>
      </c>
      <c r="X674" s="41">
        <f>IF(AND(OR(Dashboard!$C$4="All",D674=Dashboard!$C$4),OR(Dashboard!$C$5="All",E674=Dashboard!$C$5)),1,0)</f>
        <v/>
      </c>
      <c r="Y674" s="43">
        <f>IF(AND(X674=1,S674="Yes"),O674+ROW()/1000000,0)</f>
        <v/>
      </c>
    </row>
    <row r="675">
      <c r="A675" s="35" t="inlineStr">
        <is>
          <t>LN100674</t>
        </is>
      </c>
      <c r="B675" s="35" t="inlineStr">
        <is>
          <t>Lakshmi Chatterjee</t>
        </is>
      </c>
      <c r="C675" s="35" t="inlineStr">
        <is>
          <t>GUW-01</t>
        </is>
      </c>
      <c r="D675" s="36">
        <f>INDEX(Branches!$C$2:$C$15,MATCH(C675,Branches!$A$2:$A$15,0))</f>
        <v/>
      </c>
      <c r="E675" s="35" t="inlineStr">
        <is>
          <t>Personal Loan</t>
        </is>
      </c>
      <c r="F675" s="37" t="n">
        <v>45804</v>
      </c>
      <c r="G675" s="38" t="n">
        <v>361000</v>
      </c>
      <c r="H675" s="39" t="n">
        <v>0.1424</v>
      </c>
      <c r="I675" s="35" t="n">
        <v>60</v>
      </c>
      <c r="J675" s="35" t="n">
        <v>679</v>
      </c>
      <c r="K675" s="35" t="n">
        <v>0</v>
      </c>
      <c r="L675" s="40">
        <f>ROUND(PMT(H675/12,I675,-G675),0)</f>
        <v/>
      </c>
      <c r="M675" s="41">
        <f>MAX(0,(YEAR(AsOfDate)-YEAR(F675))*12+MONTH(AsOfDate)-MONTH(F675))</f>
        <v/>
      </c>
      <c r="N675" s="41">
        <f>MAX(0,MIN(I675,M675)-INT(K675/30))</f>
        <v/>
      </c>
      <c r="O675" s="40">
        <f>IF(N675&gt;=I675,0,ROUND(PV(H675/12,I675-N675,-L675),0))</f>
        <v/>
      </c>
      <c r="P675" s="40">
        <f>MIN(I675,M675)*L675-N675*L675</f>
        <v/>
      </c>
      <c r="Q675" s="41">
        <f>INDEX(DPD_Bucket,MATCH(K675,DPD_From,1))</f>
        <v/>
      </c>
      <c r="R675" s="41">
        <f>INDEX(DPD_Class,MATCH(K675,DPD_From,1))</f>
        <v/>
      </c>
      <c r="S675" s="41">
        <f>INDEX(DPD_NPA,MATCH(K675,DPD_From,1))</f>
        <v/>
      </c>
      <c r="T675" s="42">
        <f>INDEX(DPD_Prov,MATCH(K675,DPD_From,1))</f>
        <v/>
      </c>
      <c r="U675" s="40">
        <f>ROUND(O675*T675,0)</f>
        <v/>
      </c>
      <c r="V675" s="41">
        <f>INDEX(CIBIL_Grade,MATCH(J675,CIBIL_From,1))</f>
        <v/>
      </c>
      <c r="W675" s="41">
        <f>YEAR(F675)&amp;"-Q"&amp;ROUNDUP(MONTH(F675)/3,0)</f>
        <v/>
      </c>
      <c r="X675" s="41">
        <f>IF(AND(OR(Dashboard!$C$4="All",D675=Dashboard!$C$4),OR(Dashboard!$C$5="All",E675=Dashboard!$C$5)),1,0)</f>
        <v/>
      </c>
      <c r="Y675" s="43">
        <f>IF(AND(X675=1,S675="Yes"),O675+ROW()/1000000,0)</f>
        <v/>
      </c>
    </row>
    <row r="676">
      <c r="A676" s="35" t="inlineStr">
        <is>
          <t>LN100675</t>
        </is>
      </c>
      <c r="B676" s="35" t="inlineStr">
        <is>
          <t>Manish Khan</t>
        </is>
      </c>
      <c r="C676" s="35" t="inlineStr">
        <is>
          <t>JAI-01</t>
        </is>
      </c>
      <c r="D676" s="36">
        <f>INDEX(Branches!$C$2:$C$15,MATCH(C676,Branches!$A$2:$A$15,0))</f>
        <v/>
      </c>
      <c r="E676" s="35" t="inlineStr">
        <is>
          <t>Personal Loan</t>
        </is>
      </c>
      <c r="F676" s="37" t="n">
        <v>45625</v>
      </c>
      <c r="G676" s="38" t="n">
        <v>1117000</v>
      </c>
      <c r="H676" s="39" t="n">
        <v>0.1095</v>
      </c>
      <c r="I676" s="35" t="n">
        <v>48</v>
      </c>
      <c r="J676" s="35" t="n">
        <v>797</v>
      </c>
      <c r="K676" s="35" t="n">
        <v>0</v>
      </c>
      <c r="L676" s="40">
        <f>ROUND(PMT(H676/12,I676,-G676),0)</f>
        <v/>
      </c>
      <c r="M676" s="41">
        <f>MAX(0,(YEAR(AsOfDate)-YEAR(F676))*12+MONTH(AsOfDate)-MONTH(F676))</f>
        <v/>
      </c>
      <c r="N676" s="41">
        <f>MAX(0,MIN(I676,M676)-INT(K676/30))</f>
        <v/>
      </c>
      <c r="O676" s="40">
        <f>IF(N676&gt;=I676,0,ROUND(PV(H676/12,I676-N676,-L676),0))</f>
        <v/>
      </c>
      <c r="P676" s="40">
        <f>MIN(I676,M676)*L676-N676*L676</f>
        <v/>
      </c>
      <c r="Q676" s="41">
        <f>INDEX(DPD_Bucket,MATCH(K676,DPD_From,1))</f>
        <v/>
      </c>
      <c r="R676" s="41">
        <f>INDEX(DPD_Class,MATCH(K676,DPD_From,1))</f>
        <v/>
      </c>
      <c r="S676" s="41">
        <f>INDEX(DPD_NPA,MATCH(K676,DPD_From,1))</f>
        <v/>
      </c>
      <c r="T676" s="42">
        <f>INDEX(DPD_Prov,MATCH(K676,DPD_From,1))</f>
        <v/>
      </c>
      <c r="U676" s="40">
        <f>ROUND(O676*T676,0)</f>
        <v/>
      </c>
      <c r="V676" s="41">
        <f>INDEX(CIBIL_Grade,MATCH(J676,CIBIL_From,1))</f>
        <v/>
      </c>
      <c r="W676" s="41">
        <f>YEAR(F676)&amp;"-Q"&amp;ROUNDUP(MONTH(F676)/3,0)</f>
        <v/>
      </c>
      <c r="X676" s="41">
        <f>IF(AND(OR(Dashboard!$C$4="All",D676=Dashboard!$C$4),OR(Dashboard!$C$5="All",E676=Dashboard!$C$5)),1,0)</f>
        <v/>
      </c>
      <c r="Y676" s="43">
        <f>IF(AND(X676=1,S676="Yes"),O676+ROW()/1000000,0)</f>
        <v/>
      </c>
    </row>
    <row r="677">
      <c r="A677" s="35" t="inlineStr">
        <is>
          <t>LN100676</t>
        </is>
      </c>
      <c r="B677" s="35" t="inlineStr">
        <is>
          <t>Zoya Singh</t>
        </is>
      </c>
      <c r="C677" s="35" t="inlineStr">
        <is>
          <t>GUW-01</t>
        </is>
      </c>
      <c r="D677" s="36">
        <f>INDEX(Branches!$C$2:$C$15,MATCH(C677,Branches!$A$2:$A$15,0))</f>
        <v/>
      </c>
      <c r="E677" s="35" t="inlineStr">
        <is>
          <t>Home Loan</t>
        </is>
      </c>
      <c r="F677" s="37" t="n">
        <v>45871</v>
      </c>
      <c r="G677" s="38" t="n">
        <v>7660000</v>
      </c>
      <c r="H677" s="39" t="n">
        <v>0.0885</v>
      </c>
      <c r="I677" s="35" t="n">
        <v>180</v>
      </c>
      <c r="J677" s="35" t="n">
        <v>708</v>
      </c>
      <c r="K677" s="35" t="n">
        <v>0</v>
      </c>
      <c r="L677" s="40">
        <f>ROUND(PMT(H677/12,I677,-G677),0)</f>
        <v/>
      </c>
      <c r="M677" s="41">
        <f>MAX(0,(YEAR(AsOfDate)-YEAR(F677))*12+MONTH(AsOfDate)-MONTH(F677))</f>
        <v/>
      </c>
      <c r="N677" s="41">
        <f>MAX(0,MIN(I677,M677)-INT(K677/30))</f>
        <v/>
      </c>
      <c r="O677" s="40">
        <f>IF(N677&gt;=I677,0,ROUND(PV(H677/12,I677-N677,-L677),0))</f>
        <v/>
      </c>
      <c r="P677" s="40">
        <f>MIN(I677,M677)*L677-N677*L677</f>
        <v/>
      </c>
      <c r="Q677" s="41">
        <f>INDEX(DPD_Bucket,MATCH(K677,DPD_From,1))</f>
        <v/>
      </c>
      <c r="R677" s="41">
        <f>INDEX(DPD_Class,MATCH(K677,DPD_From,1))</f>
        <v/>
      </c>
      <c r="S677" s="41">
        <f>INDEX(DPD_NPA,MATCH(K677,DPD_From,1))</f>
        <v/>
      </c>
      <c r="T677" s="42">
        <f>INDEX(DPD_Prov,MATCH(K677,DPD_From,1))</f>
        <v/>
      </c>
      <c r="U677" s="40">
        <f>ROUND(O677*T677,0)</f>
        <v/>
      </c>
      <c r="V677" s="41">
        <f>INDEX(CIBIL_Grade,MATCH(J677,CIBIL_From,1))</f>
        <v/>
      </c>
      <c r="W677" s="41">
        <f>YEAR(F677)&amp;"-Q"&amp;ROUNDUP(MONTH(F677)/3,0)</f>
        <v/>
      </c>
      <c r="X677" s="41">
        <f>IF(AND(OR(Dashboard!$C$4="All",D677=Dashboard!$C$4),OR(Dashboard!$C$5="All",E677=Dashboard!$C$5)),1,0)</f>
        <v/>
      </c>
      <c r="Y677" s="43">
        <f>IF(AND(X677=1,S677="Yes"),O677+ROW()/1000000,0)</f>
        <v/>
      </c>
    </row>
    <row r="678">
      <c r="A678" s="35" t="inlineStr">
        <is>
          <t>LN100677</t>
        </is>
      </c>
      <c r="B678" s="35" t="inlineStr">
        <is>
          <t>Reyansh Gupta</t>
        </is>
      </c>
      <c r="C678" s="35" t="inlineStr">
        <is>
          <t>KOL-01</t>
        </is>
      </c>
      <c r="D678" s="36">
        <f>INDEX(Branches!$C$2:$C$15,MATCH(C678,Branches!$A$2:$A$15,0))</f>
        <v/>
      </c>
      <c r="E678" s="35" t="inlineStr">
        <is>
          <t>Business Loan</t>
        </is>
      </c>
      <c r="F678" s="37" t="n">
        <v>45757</v>
      </c>
      <c r="G678" s="38" t="n">
        <v>3206000</v>
      </c>
      <c r="H678" s="39" t="n">
        <v>0.1584</v>
      </c>
      <c r="I678" s="35" t="n">
        <v>12</v>
      </c>
      <c r="J678" s="35" t="n">
        <v>759</v>
      </c>
      <c r="K678" s="35" t="n">
        <v>0</v>
      </c>
      <c r="L678" s="40">
        <f>ROUND(PMT(H678/12,I678,-G678),0)</f>
        <v/>
      </c>
      <c r="M678" s="41">
        <f>MAX(0,(YEAR(AsOfDate)-YEAR(F678))*12+MONTH(AsOfDate)-MONTH(F678))</f>
        <v/>
      </c>
      <c r="N678" s="41">
        <f>MAX(0,MIN(I678,M678)-INT(K678/30))</f>
        <v/>
      </c>
      <c r="O678" s="40">
        <f>IF(N678&gt;=I678,0,ROUND(PV(H678/12,I678-N678,-L678),0))</f>
        <v/>
      </c>
      <c r="P678" s="40">
        <f>MIN(I678,M678)*L678-N678*L678</f>
        <v/>
      </c>
      <c r="Q678" s="41">
        <f>INDEX(DPD_Bucket,MATCH(K678,DPD_From,1))</f>
        <v/>
      </c>
      <c r="R678" s="41">
        <f>INDEX(DPD_Class,MATCH(K678,DPD_From,1))</f>
        <v/>
      </c>
      <c r="S678" s="41">
        <f>INDEX(DPD_NPA,MATCH(K678,DPD_From,1))</f>
        <v/>
      </c>
      <c r="T678" s="42">
        <f>INDEX(DPD_Prov,MATCH(K678,DPD_From,1))</f>
        <v/>
      </c>
      <c r="U678" s="40">
        <f>ROUND(O678*T678,0)</f>
        <v/>
      </c>
      <c r="V678" s="41">
        <f>INDEX(CIBIL_Grade,MATCH(J678,CIBIL_From,1))</f>
        <v/>
      </c>
      <c r="W678" s="41">
        <f>YEAR(F678)&amp;"-Q"&amp;ROUNDUP(MONTH(F678)/3,0)</f>
        <v/>
      </c>
      <c r="X678" s="41">
        <f>IF(AND(OR(Dashboard!$C$4="All",D678=Dashboard!$C$4),OR(Dashboard!$C$5="All",E678=Dashboard!$C$5)),1,0)</f>
        <v/>
      </c>
      <c r="Y678" s="43">
        <f>IF(AND(X678=1,S678="Yes"),O678+ROW()/1000000,0)</f>
        <v/>
      </c>
    </row>
    <row r="679">
      <c r="A679" s="35" t="inlineStr">
        <is>
          <t>LN100678</t>
        </is>
      </c>
      <c r="B679" s="35" t="inlineStr">
        <is>
          <t>Tanvi Singh</t>
        </is>
      </c>
      <c r="C679" s="35" t="inlineStr">
        <is>
          <t>DEL-01</t>
        </is>
      </c>
      <c r="D679" s="36">
        <f>INDEX(Branches!$C$2:$C$15,MATCH(C679,Branches!$A$2:$A$15,0))</f>
        <v/>
      </c>
      <c r="E679" s="35" t="inlineStr">
        <is>
          <t>Home Loan</t>
        </is>
      </c>
      <c r="F679" s="37" t="n">
        <v>46117</v>
      </c>
      <c r="G679" s="38" t="n">
        <v>8310000</v>
      </c>
      <c r="H679" s="39" t="n">
        <v>0.0979</v>
      </c>
      <c r="I679" s="35" t="n">
        <v>120</v>
      </c>
      <c r="J679" s="35" t="n">
        <v>699</v>
      </c>
      <c r="K679" s="35" t="n">
        <v>0</v>
      </c>
      <c r="L679" s="40">
        <f>ROUND(PMT(H679/12,I679,-G679),0)</f>
        <v/>
      </c>
      <c r="M679" s="41">
        <f>MAX(0,(YEAR(AsOfDate)-YEAR(F679))*12+MONTH(AsOfDate)-MONTH(F679))</f>
        <v/>
      </c>
      <c r="N679" s="41">
        <f>MAX(0,MIN(I679,M679)-INT(K679/30))</f>
        <v/>
      </c>
      <c r="O679" s="40">
        <f>IF(N679&gt;=I679,0,ROUND(PV(H679/12,I679-N679,-L679),0))</f>
        <v/>
      </c>
      <c r="P679" s="40">
        <f>MIN(I679,M679)*L679-N679*L679</f>
        <v/>
      </c>
      <c r="Q679" s="41">
        <f>INDEX(DPD_Bucket,MATCH(K679,DPD_From,1))</f>
        <v/>
      </c>
      <c r="R679" s="41">
        <f>INDEX(DPD_Class,MATCH(K679,DPD_From,1))</f>
        <v/>
      </c>
      <c r="S679" s="41">
        <f>INDEX(DPD_NPA,MATCH(K679,DPD_From,1))</f>
        <v/>
      </c>
      <c r="T679" s="42">
        <f>INDEX(DPD_Prov,MATCH(K679,DPD_From,1))</f>
        <v/>
      </c>
      <c r="U679" s="40">
        <f>ROUND(O679*T679,0)</f>
        <v/>
      </c>
      <c r="V679" s="41">
        <f>INDEX(CIBIL_Grade,MATCH(J679,CIBIL_From,1))</f>
        <v/>
      </c>
      <c r="W679" s="41">
        <f>YEAR(F679)&amp;"-Q"&amp;ROUNDUP(MONTH(F679)/3,0)</f>
        <v/>
      </c>
      <c r="X679" s="41">
        <f>IF(AND(OR(Dashboard!$C$4="All",D679=Dashboard!$C$4),OR(Dashboard!$C$5="All",E679=Dashboard!$C$5)),1,0)</f>
        <v/>
      </c>
      <c r="Y679" s="43">
        <f>IF(AND(X679=1,S679="Yes"),O679+ROW()/1000000,0)</f>
        <v/>
      </c>
    </row>
    <row r="680">
      <c r="A680" s="35" t="inlineStr">
        <is>
          <t>LN100679</t>
        </is>
      </c>
      <c r="B680" s="35" t="inlineStr">
        <is>
          <t>Nikhil Gupta</t>
        </is>
      </c>
      <c r="C680" s="35" t="inlineStr">
        <is>
          <t>KOL-01</t>
        </is>
      </c>
      <c r="D680" s="36">
        <f>INDEX(Branches!$C$2:$C$15,MATCH(C680,Branches!$A$2:$A$15,0))</f>
        <v/>
      </c>
      <c r="E680" s="35" t="inlineStr">
        <is>
          <t>Personal Loan</t>
        </is>
      </c>
      <c r="F680" s="37" t="n">
        <v>45760</v>
      </c>
      <c r="G680" s="38" t="n">
        <v>871000</v>
      </c>
      <c r="H680" s="39" t="n">
        <v>0.1533</v>
      </c>
      <c r="I680" s="35" t="n">
        <v>12</v>
      </c>
      <c r="J680" s="35" t="n">
        <v>751</v>
      </c>
      <c r="K680" s="35" t="n">
        <v>0</v>
      </c>
      <c r="L680" s="40">
        <f>ROUND(PMT(H680/12,I680,-G680),0)</f>
        <v/>
      </c>
      <c r="M680" s="41">
        <f>MAX(0,(YEAR(AsOfDate)-YEAR(F680))*12+MONTH(AsOfDate)-MONTH(F680))</f>
        <v/>
      </c>
      <c r="N680" s="41">
        <f>MAX(0,MIN(I680,M680)-INT(K680/30))</f>
        <v/>
      </c>
      <c r="O680" s="40">
        <f>IF(N680&gt;=I680,0,ROUND(PV(H680/12,I680-N680,-L680),0))</f>
        <v/>
      </c>
      <c r="P680" s="40">
        <f>MIN(I680,M680)*L680-N680*L680</f>
        <v/>
      </c>
      <c r="Q680" s="41">
        <f>INDEX(DPD_Bucket,MATCH(K680,DPD_From,1))</f>
        <v/>
      </c>
      <c r="R680" s="41">
        <f>INDEX(DPD_Class,MATCH(K680,DPD_From,1))</f>
        <v/>
      </c>
      <c r="S680" s="41">
        <f>INDEX(DPD_NPA,MATCH(K680,DPD_From,1))</f>
        <v/>
      </c>
      <c r="T680" s="42">
        <f>INDEX(DPD_Prov,MATCH(K680,DPD_From,1))</f>
        <v/>
      </c>
      <c r="U680" s="40">
        <f>ROUND(O680*T680,0)</f>
        <v/>
      </c>
      <c r="V680" s="41">
        <f>INDEX(CIBIL_Grade,MATCH(J680,CIBIL_From,1))</f>
        <v/>
      </c>
      <c r="W680" s="41">
        <f>YEAR(F680)&amp;"-Q"&amp;ROUNDUP(MONTH(F680)/3,0)</f>
        <v/>
      </c>
      <c r="X680" s="41">
        <f>IF(AND(OR(Dashboard!$C$4="All",D680=Dashboard!$C$4),OR(Dashboard!$C$5="All",E680=Dashboard!$C$5)),1,0)</f>
        <v/>
      </c>
      <c r="Y680" s="43">
        <f>IF(AND(X680=1,S680="Yes"),O680+ROW()/1000000,0)</f>
        <v/>
      </c>
    </row>
    <row r="681">
      <c r="A681" s="35" t="inlineStr">
        <is>
          <t>LN100680</t>
        </is>
      </c>
      <c r="B681" s="35" t="inlineStr">
        <is>
          <t>Vivaan Iyer</t>
        </is>
      </c>
      <c r="C681" s="35" t="inlineStr">
        <is>
          <t>PUN-01</t>
        </is>
      </c>
      <c r="D681" s="36">
        <f>INDEX(Branches!$C$2:$C$15,MATCH(C681,Branches!$A$2:$A$15,0))</f>
        <v/>
      </c>
      <c r="E681" s="35" t="inlineStr">
        <is>
          <t>Home Loan</t>
        </is>
      </c>
      <c r="F681" s="37" t="n">
        <v>45178</v>
      </c>
      <c r="G681" s="38" t="n">
        <v>9821000</v>
      </c>
      <c r="H681" s="39" t="n">
        <v>0.0961</v>
      </c>
      <c r="I681" s="35" t="n">
        <v>240</v>
      </c>
      <c r="J681" s="35" t="n">
        <v>760</v>
      </c>
      <c r="K681" s="35" t="n">
        <v>0</v>
      </c>
      <c r="L681" s="40">
        <f>ROUND(PMT(H681/12,I681,-G681),0)</f>
        <v/>
      </c>
      <c r="M681" s="41">
        <f>MAX(0,(YEAR(AsOfDate)-YEAR(F681))*12+MONTH(AsOfDate)-MONTH(F681))</f>
        <v/>
      </c>
      <c r="N681" s="41">
        <f>MAX(0,MIN(I681,M681)-INT(K681/30))</f>
        <v/>
      </c>
      <c r="O681" s="40">
        <f>IF(N681&gt;=I681,0,ROUND(PV(H681/12,I681-N681,-L681),0))</f>
        <v/>
      </c>
      <c r="P681" s="40">
        <f>MIN(I681,M681)*L681-N681*L681</f>
        <v/>
      </c>
      <c r="Q681" s="41">
        <f>INDEX(DPD_Bucket,MATCH(K681,DPD_From,1))</f>
        <v/>
      </c>
      <c r="R681" s="41">
        <f>INDEX(DPD_Class,MATCH(K681,DPD_From,1))</f>
        <v/>
      </c>
      <c r="S681" s="41">
        <f>INDEX(DPD_NPA,MATCH(K681,DPD_From,1))</f>
        <v/>
      </c>
      <c r="T681" s="42">
        <f>INDEX(DPD_Prov,MATCH(K681,DPD_From,1))</f>
        <v/>
      </c>
      <c r="U681" s="40">
        <f>ROUND(O681*T681,0)</f>
        <v/>
      </c>
      <c r="V681" s="41">
        <f>INDEX(CIBIL_Grade,MATCH(J681,CIBIL_From,1))</f>
        <v/>
      </c>
      <c r="W681" s="41">
        <f>YEAR(F681)&amp;"-Q"&amp;ROUNDUP(MONTH(F681)/3,0)</f>
        <v/>
      </c>
      <c r="X681" s="41">
        <f>IF(AND(OR(Dashboard!$C$4="All",D681=Dashboard!$C$4),OR(Dashboard!$C$5="All",E681=Dashboard!$C$5)),1,0)</f>
        <v/>
      </c>
      <c r="Y681" s="43">
        <f>IF(AND(X681=1,S681="Yes"),O681+ROW()/1000000,0)</f>
        <v/>
      </c>
    </row>
    <row r="682">
      <c r="A682" s="35" t="inlineStr">
        <is>
          <t>LN100681</t>
        </is>
      </c>
      <c r="B682" s="35" t="inlineStr">
        <is>
          <t>Tanvi Reddy</t>
        </is>
      </c>
      <c r="C682" s="35" t="inlineStr">
        <is>
          <t>KOC-01</t>
        </is>
      </c>
      <c r="D682" s="36">
        <f>INDEX(Branches!$C$2:$C$15,MATCH(C682,Branches!$A$2:$A$15,0))</f>
        <v/>
      </c>
      <c r="E682" s="35" t="inlineStr">
        <is>
          <t>Gold Loan</t>
        </is>
      </c>
      <c r="F682" s="37" t="n">
        <v>45429</v>
      </c>
      <c r="G682" s="38" t="n">
        <v>100000</v>
      </c>
      <c r="H682" s="39" t="n">
        <v>0.112</v>
      </c>
      <c r="I682" s="35" t="n">
        <v>12</v>
      </c>
      <c r="J682" s="35" t="n">
        <v>680</v>
      </c>
      <c r="K682" s="35" t="n">
        <v>0</v>
      </c>
      <c r="L682" s="40">
        <f>ROUND(PMT(H682/12,I682,-G682),0)</f>
        <v/>
      </c>
      <c r="M682" s="41">
        <f>MAX(0,(YEAR(AsOfDate)-YEAR(F682))*12+MONTH(AsOfDate)-MONTH(F682))</f>
        <v/>
      </c>
      <c r="N682" s="41">
        <f>MAX(0,MIN(I682,M682)-INT(K682/30))</f>
        <v/>
      </c>
      <c r="O682" s="40">
        <f>IF(N682&gt;=I682,0,ROUND(PV(H682/12,I682-N682,-L682),0))</f>
        <v/>
      </c>
      <c r="P682" s="40">
        <f>MIN(I682,M682)*L682-N682*L682</f>
        <v/>
      </c>
      <c r="Q682" s="41">
        <f>INDEX(DPD_Bucket,MATCH(K682,DPD_From,1))</f>
        <v/>
      </c>
      <c r="R682" s="41">
        <f>INDEX(DPD_Class,MATCH(K682,DPD_From,1))</f>
        <v/>
      </c>
      <c r="S682" s="41">
        <f>INDEX(DPD_NPA,MATCH(K682,DPD_From,1))</f>
        <v/>
      </c>
      <c r="T682" s="42">
        <f>INDEX(DPD_Prov,MATCH(K682,DPD_From,1))</f>
        <v/>
      </c>
      <c r="U682" s="40">
        <f>ROUND(O682*T682,0)</f>
        <v/>
      </c>
      <c r="V682" s="41">
        <f>INDEX(CIBIL_Grade,MATCH(J682,CIBIL_From,1))</f>
        <v/>
      </c>
      <c r="W682" s="41">
        <f>YEAR(F682)&amp;"-Q"&amp;ROUNDUP(MONTH(F682)/3,0)</f>
        <v/>
      </c>
      <c r="X682" s="41">
        <f>IF(AND(OR(Dashboard!$C$4="All",D682=Dashboard!$C$4),OR(Dashboard!$C$5="All",E682=Dashboard!$C$5)),1,0)</f>
        <v/>
      </c>
      <c r="Y682" s="43">
        <f>IF(AND(X682=1,S682="Yes"),O682+ROW()/1000000,0)</f>
        <v/>
      </c>
    </row>
    <row r="683">
      <c r="A683" s="35" t="inlineStr">
        <is>
          <t>LN100682</t>
        </is>
      </c>
      <c r="B683" s="35" t="inlineStr">
        <is>
          <t>Kabir Sahoo</t>
        </is>
      </c>
      <c r="C683" s="35" t="inlineStr">
        <is>
          <t>CHN-01</t>
        </is>
      </c>
      <c r="D683" s="36">
        <f>INDEX(Branches!$C$2:$C$15,MATCH(C683,Branches!$A$2:$A$15,0))</f>
        <v/>
      </c>
      <c r="E683" s="35" t="inlineStr">
        <is>
          <t>Gold Loan</t>
        </is>
      </c>
      <c r="F683" s="37" t="n">
        <v>45157</v>
      </c>
      <c r="G683" s="38" t="n">
        <v>398000</v>
      </c>
      <c r="H683" s="39" t="n">
        <v>0.0994</v>
      </c>
      <c r="I683" s="35" t="n">
        <v>12</v>
      </c>
      <c r="J683" s="35" t="n">
        <v>634</v>
      </c>
      <c r="K683" s="35" t="n">
        <v>0</v>
      </c>
      <c r="L683" s="40">
        <f>ROUND(PMT(H683/12,I683,-G683),0)</f>
        <v/>
      </c>
      <c r="M683" s="41">
        <f>MAX(0,(YEAR(AsOfDate)-YEAR(F683))*12+MONTH(AsOfDate)-MONTH(F683))</f>
        <v/>
      </c>
      <c r="N683" s="41">
        <f>MAX(0,MIN(I683,M683)-INT(K683/30))</f>
        <v/>
      </c>
      <c r="O683" s="40">
        <f>IF(N683&gt;=I683,0,ROUND(PV(H683/12,I683-N683,-L683),0))</f>
        <v/>
      </c>
      <c r="P683" s="40">
        <f>MIN(I683,M683)*L683-N683*L683</f>
        <v/>
      </c>
      <c r="Q683" s="41">
        <f>INDEX(DPD_Bucket,MATCH(K683,DPD_From,1))</f>
        <v/>
      </c>
      <c r="R683" s="41">
        <f>INDEX(DPD_Class,MATCH(K683,DPD_From,1))</f>
        <v/>
      </c>
      <c r="S683" s="41">
        <f>INDEX(DPD_NPA,MATCH(K683,DPD_From,1))</f>
        <v/>
      </c>
      <c r="T683" s="42">
        <f>INDEX(DPD_Prov,MATCH(K683,DPD_From,1))</f>
        <v/>
      </c>
      <c r="U683" s="40">
        <f>ROUND(O683*T683,0)</f>
        <v/>
      </c>
      <c r="V683" s="41">
        <f>INDEX(CIBIL_Grade,MATCH(J683,CIBIL_From,1))</f>
        <v/>
      </c>
      <c r="W683" s="41">
        <f>YEAR(F683)&amp;"-Q"&amp;ROUNDUP(MONTH(F683)/3,0)</f>
        <v/>
      </c>
      <c r="X683" s="41">
        <f>IF(AND(OR(Dashboard!$C$4="All",D683=Dashboard!$C$4),OR(Dashboard!$C$5="All",E683=Dashboard!$C$5)),1,0)</f>
        <v/>
      </c>
      <c r="Y683" s="43">
        <f>IF(AND(X683=1,S683="Yes"),O683+ROW()/1000000,0)</f>
        <v/>
      </c>
    </row>
    <row r="684">
      <c r="A684" s="35" t="inlineStr">
        <is>
          <t>LN100683</t>
        </is>
      </c>
      <c r="B684" s="35" t="inlineStr">
        <is>
          <t>Rohan Menon</t>
        </is>
      </c>
      <c r="C684" s="35" t="inlineStr">
        <is>
          <t>BBS-01</t>
        </is>
      </c>
      <c r="D684" s="36">
        <f>INDEX(Branches!$C$2:$C$15,MATCH(C684,Branches!$A$2:$A$15,0))</f>
        <v/>
      </c>
      <c r="E684" s="35" t="inlineStr">
        <is>
          <t>Business Loan</t>
        </is>
      </c>
      <c r="F684" s="37" t="n">
        <v>45690</v>
      </c>
      <c r="G684" s="38" t="n">
        <v>4769000</v>
      </c>
      <c r="H684" s="39" t="n">
        <v>0.1522</v>
      </c>
      <c r="I684" s="35" t="n">
        <v>60</v>
      </c>
      <c r="J684" s="35" t="n">
        <v>770</v>
      </c>
      <c r="K684" s="35" t="n">
        <v>300</v>
      </c>
      <c r="L684" s="40">
        <f>ROUND(PMT(H684/12,I684,-G684),0)</f>
        <v/>
      </c>
      <c r="M684" s="41">
        <f>MAX(0,(YEAR(AsOfDate)-YEAR(F684))*12+MONTH(AsOfDate)-MONTH(F684))</f>
        <v/>
      </c>
      <c r="N684" s="41">
        <f>MAX(0,MIN(I684,M684)-INT(K684/30))</f>
        <v/>
      </c>
      <c r="O684" s="40">
        <f>IF(N684&gt;=I684,0,ROUND(PV(H684/12,I684-N684,-L684),0))</f>
        <v/>
      </c>
      <c r="P684" s="40">
        <f>MIN(I684,M684)*L684-N684*L684</f>
        <v/>
      </c>
      <c r="Q684" s="41">
        <f>INDEX(DPD_Bucket,MATCH(K684,DPD_From,1))</f>
        <v/>
      </c>
      <c r="R684" s="41">
        <f>INDEX(DPD_Class,MATCH(K684,DPD_From,1))</f>
        <v/>
      </c>
      <c r="S684" s="41">
        <f>INDEX(DPD_NPA,MATCH(K684,DPD_From,1))</f>
        <v/>
      </c>
      <c r="T684" s="42">
        <f>INDEX(DPD_Prov,MATCH(K684,DPD_From,1))</f>
        <v/>
      </c>
      <c r="U684" s="40">
        <f>ROUND(O684*T684,0)</f>
        <v/>
      </c>
      <c r="V684" s="41">
        <f>INDEX(CIBIL_Grade,MATCH(J684,CIBIL_From,1))</f>
        <v/>
      </c>
      <c r="W684" s="41">
        <f>YEAR(F684)&amp;"-Q"&amp;ROUNDUP(MONTH(F684)/3,0)</f>
        <v/>
      </c>
      <c r="X684" s="41">
        <f>IF(AND(OR(Dashboard!$C$4="All",D684=Dashboard!$C$4),OR(Dashboard!$C$5="All",E684=Dashboard!$C$5)),1,0)</f>
        <v/>
      </c>
      <c r="Y684" s="43">
        <f>IF(AND(X684=1,S684="Yes"),O684+ROW()/1000000,0)</f>
        <v/>
      </c>
    </row>
    <row r="685">
      <c r="A685" s="35" t="inlineStr">
        <is>
          <t>LN100684</t>
        </is>
      </c>
      <c r="B685" s="35" t="inlineStr">
        <is>
          <t>Harsh Reddy</t>
        </is>
      </c>
      <c r="C685" s="35" t="inlineStr">
        <is>
          <t>PUN-01</t>
        </is>
      </c>
      <c r="D685" s="36">
        <f>INDEX(Branches!$C$2:$C$15,MATCH(C685,Branches!$A$2:$A$15,0))</f>
        <v/>
      </c>
      <c r="E685" s="35" t="inlineStr">
        <is>
          <t>Personal Loan</t>
        </is>
      </c>
      <c r="F685" s="37" t="n">
        <v>45605</v>
      </c>
      <c r="G685" s="38" t="n">
        <v>765000</v>
      </c>
      <c r="H685" s="39" t="n">
        <v>0.1326</v>
      </c>
      <c r="I685" s="35" t="n">
        <v>24</v>
      </c>
      <c r="J685" s="35" t="n">
        <v>719</v>
      </c>
      <c r="K685" s="35" t="n">
        <v>0</v>
      </c>
      <c r="L685" s="40">
        <f>ROUND(PMT(H685/12,I685,-G685),0)</f>
        <v/>
      </c>
      <c r="M685" s="41">
        <f>MAX(0,(YEAR(AsOfDate)-YEAR(F685))*12+MONTH(AsOfDate)-MONTH(F685))</f>
        <v/>
      </c>
      <c r="N685" s="41">
        <f>MAX(0,MIN(I685,M685)-INT(K685/30))</f>
        <v/>
      </c>
      <c r="O685" s="40">
        <f>IF(N685&gt;=I685,0,ROUND(PV(H685/12,I685-N685,-L685),0))</f>
        <v/>
      </c>
      <c r="P685" s="40">
        <f>MIN(I685,M685)*L685-N685*L685</f>
        <v/>
      </c>
      <c r="Q685" s="41">
        <f>INDEX(DPD_Bucket,MATCH(K685,DPD_From,1))</f>
        <v/>
      </c>
      <c r="R685" s="41">
        <f>INDEX(DPD_Class,MATCH(K685,DPD_From,1))</f>
        <v/>
      </c>
      <c r="S685" s="41">
        <f>INDEX(DPD_NPA,MATCH(K685,DPD_From,1))</f>
        <v/>
      </c>
      <c r="T685" s="42">
        <f>INDEX(DPD_Prov,MATCH(K685,DPD_From,1))</f>
        <v/>
      </c>
      <c r="U685" s="40">
        <f>ROUND(O685*T685,0)</f>
        <v/>
      </c>
      <c r="V685" s="41">
        <f>INDEX(CIBIL_Grade,MATCH(J685,CIBIL_From,1))</f>
        <v/>
      </c>
      <c r="W685" s="41">
        <f>YEAR(F685)&amp;"-Q"&amp;ROUNDUP(MONTH(F685)/3,0)</f>
        <v/>
      </c>
      <c r="X685" s="41">
        <f>IF(AND(OR(Dashboard!$C$4="All",D685=Dashboard!$C$4),OR(Dashboard!$C$5="All",E685=Dashboard!$C$5)),1,0)</f>
        <v/>
      </c>
      <c r="Y685" s="43">
        <f>IF(AND(X685=1,S685="Yes"),O685+ROW()/1000000,0)</f>
        <v/>
      </c>
    </row>
    <row r="686">
      <c r="A686" s="35" t="inlineStr">
        <is>
          <t>LN100685</t>
        </is>
      </c>
      <c r="B686" s="35" t="inlineStr">
        <is>
          <t>Rohan Banerjee</t>
        </is>
      </c>
      <c r="C686" s="35" t="inlineStr">
        <is>
          <t>MUM-01</t>
        </is>
      </c>
      <c r="D686" s="36">
        <f>INDEX(Branches!$C$2:$C$15,MATCH(C686,Branches!$A$2:$A$15,0))</f>
        <v/>
      </c>
      <c r="E686" s="35" t="inlineStr">
        <is>
          <t>Auto Loan</t>
        </is>
      </c>
      <c r="F686" s="37" t="n">
        <v>46062</v>
      </c>
      <c r="G686" s="38" t="n">
        <v>1422000</v>
      </c>
      <c r="H686" s="39" t="n">
        <v>0.1107</v>
      </c>
      <c r="I686" s="35" t="n">
        <v>36</v>
      </c>
      <c r="J686" s="35" t="n">
        <v>699</v>
      </c>
      <c r="K686" s="35" t="n">
        <v>0</v>
      </c>
      <c r="L686" s="40">
        <f>ROUND(PMT(H686/12,I686,-G686),0)</f>
        <v/>
      </c>
      <c r="M686" s="41">
        <f>MAX(0,(YEAR(AsOfDate)-YEAR(F686))*12+MONTH(AsOfDate)-MONTH(F686))</f>
        <v/>
      </c>
      <c r="N686" s="41">
        <f>MAX(0,MIN(I686,M686)-INT(K686/30))</f>
        <v/>
      </c>
      <c r="O686" s="40">
        <f>IF(N686&gt;=I686,0,ROUND(PV(H686/12,I686-N686,-L686),0))</f>
        <v/>
      </c>
      <c r="P686" s="40">
        <f>MIN(I686,M686)*L686-N686*L686</f>
        <v/>
      </c>
      <c r="Q686" s="41">
        <f>INDEX(DPD_Bucket,MATCH(K686,DPD_From,1))</f>
        <v/>
      </c>
      <c r="R686" s="41">
        <f>INDEX(DPD_Class,MATCH(K686,DPD_From,1))</f>
        <v/>
      </c>
      <c r="S686" s="41">
        <f>INDEX(DPD_NPA,MATCH(K686,DPD_From,1))</f>
        <v/>
      </c>
      <c r="T686" s="42">
        <f>INDEX(DPD_Prov,MATCH(K686,DPD_From,1))</f>
        <v/>
      </c>
      <c r="U686" s="40">
        <f>ROUND(O686*T686,0)</f>
        <v/>
      </c>
      <c r="V686" s="41">
        <f>INDEX(CIBIL_Grade,MATCH(J686,CIBIL_From,1))</f>
        <v/>
      </c>
      <c r="W686" s="41">
        <f>YEAR(F686)&amp;"-Q"&amp;ROUNDUP(MONTH(F686)/3,0)</f>
        <v/>
      </c>
      <c r="X686" s="41">
        <f>IF(AND(OR(Dashboard!$C$4="All",D686=Dashboard!$C$4),OR(Dashboard!$C$5="All",E686=Dashboard!$C$5)),1,0)</f>
        <v/>
      </c>
      <c r="Y686" s="43">
        <f>IF(AND(X686=1,S686="Yes"),O686+ROW()/1000000,0)</f>
        <v/>
      </c>
    </row>
    <row r="687">
      <c r="A687" s="35" t="inlineStr">
        <is>
          <t>LN100686</t>
        </is>
      </c>
      <c r="B687" s="35" t="inlineStr">
        <is>
          <t>Kavya Sharma</t>
        </is>
      </c>
      <c r="C687" s="35" t="inlineStr">
        <is>
          <t>AMD-01</t>
        </is>
      </c>
      <c r="D687" s="36">
        <f>INDEX(Branches!$C$2:$C$15,MATCH(C687,Branches!$A$2:$A$15,0))</f>
        <v/>
      </c>
      <c r="E687" s="35" t="inlineStr">
        <is>
          <t>Gold Loan</t>
        </is>
      </c>
      <c r="F687" s="37" t="n">
        <v>45689</v>
      </c>
      <c r="G687" s="38" t="n">
        <v>467000</v>
      </c>
      <c r="H687" s="39" t="n">
        <v>0.1175</v>
      </c>
      <c r="I687" s="35" t="n">
        <v>6</v>
      </c>
      <c r="J687" s="35" t="n">
        <v>644</v>
      </c>
      <c r="K687" s="35" t="n">
        <v>0</v>
      </c>
      <c r="L687" s="40">
        <f>ROUND(PMT(H687/12,I687,-G687),0)</f>
        <v/>
      </c>
      <c r="M687" s="41">
        <f>MAX(0,(YEAR(AsOfDate)-YEAR(F687))*12+MONTH(AsOfDate)-MONTH(F687))</f>
        <v/>
      </c>
      <c r="N687" s="41">
        <f>MAX(0,MIN(I687,M687)-INT(K687/30))</f>
        <v/>
      </c>
      <c r="O687" s="40">
        <f>IF(N687&gt;=I687,0,ROUND(PV(H687/12,I687-N687,-L687),0))</f>
        <v/>
      </c>
      <c r="P687" s="40">
        <f>MIN(I687,M687)*L687-N687*L687</f>
        <v/>
      </c>
      <c r="Q687" s="41">
        <f>INDEX(DPD_Bucket,MATCH(K687,DPD_From,1))</f>
        <v/>
      </c>
      <c r="R687" s="41">
        <f>INDEX(DPD_Class,MATCH(K687,DPD_From,1))</f>
        <v/>
      </c>
      <c r="S687" s="41">
        <f>INDEX(DPD_NPA,MATCH(K687,DPD_From,1))</f>
        <v/>
      </c>
      <c r="T687" s="42">
        <f>INDEX(DPD_Prov,MATCH(K687,DPD_From,1))</f>
        <v/>
      </c>
      <c r="U687" s="40">
        <f>ROUND(O687*T687,0)</f>
        <v/>
      </c>
      <c r="V687" s="41">
        <f>INDEX(CIBIL_Grade,MATCH(J687,CIBIL_From,1))</f>
        <v/>
      </c>
      <c r="W687" s="41">
        <f>YEAR(F687)&amp;"-Q"&amp;ROUNDUP(MONTH(F687)/3,0)</f>
        <v/>
      </c>
      <c r="X687" s="41">
        <f>IF(AND(OR(Dashboard!$C$4="All",D687=Dashboard!$C$4),OR(Dashboard!$C$5="All",E687=Dashboard!$C$5)),1,0)</f>
        <v/>
      </c>
      <c r="Y687" s="43">
        <f>IF(AND(X687=1,S687="Yes"),O687+ROW()/1000000,0)</f>
        <v/>
      </c>
    </row>
    <row r="688">
      <c r="A688" s="35" t="inlineStr">
        <is>
          <t>LN100687</t>
        </is>
      </c>
      <c r="B688" s="35" t="inlineStr">
        <is>
          <t>Lakshmi Rao</t>
        </is>
      </c>
      <c r="C688" s="35" t="inlineStr">
        <is>
          <t>PAT-01</t>
        </is>
      </c>
      <c r="D688" s="36">
        <f>INDEX(Branches!$C$2:$C$15,MATCH(C688,Branches!$A$2:$A$15,0))</f>
        <v/>
      </c>
      <c r="E688" s="35" t="inlineStr">
        <is>
          <t>Auto Loan</t>
        </is>
      </c>
      <c r="F688" s="37" t="n">
        <v>45564</v>
      </c>
      <c r="G688" s="38" t="n">
        <v>1627000</v>
      </c>
      <c r="H688" s="39" t="n">
        <v>0.1016</v>
      </c>
      <c r="I688" s="35" t="n">
        <v>48</v>
      </c>
      <c r="J688" s="35" t="n">
        <v>763</v>
      </c>
      <c r="K688" s="35" t="n">
        <v>0</v>
      </c>
      <c r="L688" s="40">
        <f>ROUND(PMT(H688/12,I688,-G688),0)</f>
        <v/>
      </c>
      <c r="M688" s="41">
        <f>MAX(0,(YEAR(AsOfDate)-YEAR(F688))*12+MONTH(AsOfDate)-MONTH(F688))</f>
        <v/>
      </c>
      <c r="N688" s="41">
        <f>MAX(0,MIN(I688,M688)-INT(K688/30))</f>
        <v/>
      </c>
      <c r="O688" s="40">
        <f>IF(N688&gt;=I688,0,ROUND(PV(H688/12,I688-N688,-L688),0))</f>
        <v/>
      </c>
      <c r="P688" s="40">
        <f>MIN(I688,M688)*L688-N688*L688</f>
        <v/>
      </c>
      <c r="Q688" s="41">
        <f>INDEX(DPD_Bucket,MATCH(K688,DPD_From,1))</f>
        <v/>
      </c>
      <c r="R688" s="41">
        <f>INDEX(DPD_Class,MATCH(K688,DPD_From,1))</f>
        <v/>
      </c>
      <c r="S688" s="41">
        <f>INDEX(DPD_NPA,MATCH(K688,DPD_From,1))</f>
        <v/>
      </c>
      <c r="T688" s="42">
        <f>INDEX(DPD_Prov,MATCH(K688,DPD_From,1))</f>
        <v/>
      </c>
      <c r="U688" s="40">
        <f>ROUND(O688*T688,0)</f>
        <v/>
      </c>
      <c r="V688" s="41">
        <f>INDEX(CIBIL_Grade,MATCH(J688,CIBIL_From,1))</f>
        <v/>
      </c>
      <c r="W688" s="41">
        <f>YEAR(F688)&amp;"-Q"&amp;ROUNDUP(MONTH(F688)/3,0)</f>
        <v/>
      </c>
      <c r="X688" s="41">
        <f>IF(AND(OR(Dashboard!$C$4="All",D688=Dashboard!$C$4),OR(Dashboard!$C$5="All",E688=Dashboard!$C$5)),1,0)</f>
        <v/>
      </c>
      <c r="Y688" s="43">
        <f>IF(AND(X688=1,S688="Yes"),O688+ROW()/1000000,0)</f>
        <v/>
      </c>
    </row>
    <row r="689">
      <c r="A689" s="35" t="inlineStr">
        <is>
          <t>LN100688</t>
        </is>
      </c>
      <c r="B689" s="35" t="inlineStr">
        <is>
          <t>Meera Rao</t>
        </is>
      </c>
      <c r="C689" s="35" t="inlineStr">
        <is>
          <t>BBS-01</t>
        </is>
      </c>
      <c r="D689" s="36">
        <f>INDEX(Branches!$C$2:$C$15,MATCH(C689,Branches!$A$2:$A$15,0))</f>
        <v/>
      </c>
      <c r="E689" s="35" t="inlineStr">
        <is>
          <t>Home Loan</t>
        </is>
      </c>
      <c r="F689" s="37" t="n">
        <v>45167</v>
      </c>
      <c r="G689" s="38" t="n">
        <v>7491000</v>
      </c>
      <c r="H689" s="39" t="n">
        <v>0.0969</v>
      </c>
      <c r="I689" s="35" t="n">
        <v>120</v>
      </c>
      <c r="J689" s="35" t="n">
        <v>847</v>
      </c>
      <c r="K689" s="35" t="n">
        <v>0</v>
      </c>
      <c r="L689" s="40">
        <f>ROUND(PMT(H689/12,I689,-G689),0)</f>
        <v/>
      </c>
      <c r="M689" s="41">
        <f>MAX(0,(YEAR(AsOfDate)-YEAR(F689))*12+MONTH(AsOfDate)-MONTH(F689))</f>
        <v/>
      </c>
      <c r="N689" s="41">
        <f>MAX(0,MIN(I689,M689)-INT(K689/30))</f>
        <v/>
      </c>
      <c r="O689" s="40">
        <f>IF(N689&gt;=I689,0,ROUND(PV(H689/12,I689-N689,-L689),0))</f>
        <v/>
      </c>
      <c r="P689" s="40">
        <f>MIN(I689,M689)*L689-N689*L689</f>
        <v/>
      </c>
      <c r="Q689" s="41">
        <f>INDEX(DPD_Bucket,MATCH(K689,DPD_From,1))</f>
        <v/>
      </c>
      <c r="R689" s="41">
        <f>INDEX(DPD_Class,MATCH(K689,DPD_From,1))</f>
        <v/>
      </c>
      <c r="S689" s="41">
        <f>INDEX(DPD_NPA,MATCH(K689,DPD_From,1))</f>
        <v/>
      </c>
      <c r="T689" s="42">
        <f>INDEX(DPD_Prov,MATCH(K689,DPD_From,1))</f>
        <v/>
      </c>
      <c r="U689" s="40">
        <f>ROUND(O689*T689,0)</f>
        <v/>
      </c>
      <c r="V689" s="41">
        <f>INDEX(CIBIL_Grade,MATCH(J689,CIBIL_From,1))</f>
        <v/>
      </c>
      <c r="W689" s="41">
        <f>YEAR(F689)&amp;"-Q"&amp;ROUNDUP(MONTH(F689)/3,0)</f>
        <v/>
      </c>
      <c r="X689" s="41">
        <f>IF(AND(OR(Dashboard!$C$4="All",D689=Dashboard!$C$4),OR(Dashboard!$C$5="All",E689=Dashboard!$C$5)),1,0)</f>
        <v/>
      </c>
      <c r="Y689" s="43">
        <f>IF(AND(X689=1,S689="Yes"),O689+ROW()/1000000,0)</f>
        <v/>
      </c>
    </row>
    <row r="690">
      <c r="A690" s="35" t="inlineStr">
        <is>
          <t>LN100689</t>
        </is>
      </c>
      <c r="B690" s="35" t="inlineStr">
        <is>
          <t>Tanvi Kulkarni</t>
        </is>
      </c>
      <c r="C690" s="35" t="inlineStr">
        <is>
          <t>BBS-01</t>
        </is>
      </c>
      <c r="D690" s="36">
        <f>INDEX(Branches!$C$2:$C$15,MATCH(C690,Branches!$A$2:$A$15,0))</f>
        <v/>
      </c>
      <c r="E690" s="35" t="inlineStr">
        <is>
          <t>Home Loan</t>
        </is>
      </c>
      <c r="F690" s="37" t="n">
        <v>45639</v>
      </c>
      <c r="G690" s="38" t="n">
        <v>6248000</v>
      </c>
      <c r="H690" s="39" t="n">
        <v>0.09370000000000001</v>
      </c>
      <c r="I690" s="35" t="n">
        <v>120</v>
      </c>
      <c r="J690" s="35" t="n">
        <v>683</v>
      </c>
      <c r="K690" s="35" t="n">
        <v>0</v>
      </c>
      <c r="L690" s="40">
        <f>ROUND(PMT(H690/12,I690,-G690),0)</f>
        <v/>
      </c>
      <c r="M690" s="41">
        <f>MAX(0,(YEAR(AsOfDate)-YEAR(F690))*12+MONTH(AsOfDate)-MONTH(F690))</f>
        <v/>
      </c>
      <c r="N690" s="41">
        <f>MAX(0,MIN(I690,M690)-INT(K690/30))</f>
        <v/>
      </c>
      <c r="O690" s="40">
        <f>IF(N690&gt;=I690,0,ROUND(PV(H690/12,I690-N690,-L690),0))</f>
        <v/>
      </c>
      <c r="P690" s="40">
        <f>MIN(I690,M690)*L690-N690*L690</f>
        <v/>
      </c>
      <c r="Q690" s="41">
        <f>INDEX(DPD_Bucket,MATCH(K690,DPD_From,1))</f>
        <v/>
      </c>
      <c r="R690" s="41">
        <f>INDEX(DPD_Class,MATCH(K690,DPD_From,1))</f>
        <v/>
      </c>
      <c r="S690" s="41">
        <f>INDEX(DPD_NPA,MATCH(K690,DPD_From,1))</f>
        <v/>
      </c>
      <c r="T690" s="42">
        <f>INDEX(DPD_Prov,MATCH(K690,DPD_From,1))</f>
        <v/>
      </c>
      <c r="U690" s="40">
        <f>ROUND(O690*T690,0)</f>
        <v/>
      </c>
      <c r="V690" s="41">
        <f>INDEX(CIBIL_Grade,MATCH(J690,CIBIL_From,1))</f>
        <v/>
      </c>
      <c r="W690" s="41">
        <f>YEAR(F690)&amp;"-Q"&amp;ROUNDUP(MONTH(F690)/3,0)</f>
        <v/>
      </c>
      <c r="X690" s="41">
        <f>IF(AND(OR(Dashboard!$C$4="All",D690=Dashboard!$C$4),OR(Dashboard!$C$5="All",E690=Dashboard!$C$5)),1,0)</f>
        <v/>
      </c>
      <c r="Y690" s="43">
        <f>IF(AND(X690=1,S690="Yes"),O690+ROW()/1000000,0)</f>
        <v/>
      </c>
    </row>
    <row r="691">
      <c r="A691" s="35" t="inlineStr">
        <is>
          <t>LN100690</t>
        </is>
      </c>
      <c r="B691" s="35" t="inlineStr">
        <is>
          <t>Sai Sharma</t>
        </is>
      </c>
      <c r="C691" s="35" t="inlineStr">
        <is>
          <t>AMD-01</t>
        </is>
      </c>
      <c r="D691" s="36">
        <f>INDEX(Branches!$C$2:$C$15,MATCH(C691,Branches!$A$2:$A$15,0))</f>
        <v/>
      </c>
      <c r="E691" s="35" t="inlineStr">
        <is>
          <t>Business Loan</t>
        </is>
      </c>
      <c r="F691" s="37" t="n">
        <v>45265</v>
      </c>
      <c r="G691" s="38" t="n">
        <v>1400000</v>
      </c>
      <c r="H691" s="39" t="n">
        <v>0.1514</v>
      </c>
      <c r="I691" s="35" t="n">
        <v>24</v>
      </c>
      <c r="J691" s="35" t="n">
        <v>732</v>
      </c>
      <c r="K691" s="35" t="n">
        <v>0</v>
      </c>
      <c r="L691" s="40">
        <f>ROUND(PMT(H691/12,I691,-G691),0)</f>
        <v/>
      </c>
      <c r="M691" s="41">
        <f>MAX(0,(YEAR(AsOfDate)-YEAR(F691))*12+MONTH(AsOfDate)-MONTH(F691))</f>
        <v/>
      </c>
      <c r="N691" s="41">
        <f>MAX(0,MIN(I691,M691)-INT(K691/30))</f>
        <v/>
      </c>
      <c r="O691" s="40">
        <f>IF(N691&gt;=I691,0,ROUND(PV(H691/12,I691-N691,-L691),0))</f>
        <v/>
      </c>
      <c r="P691" s="40">
        <f>MIN(I691,M691)*L691-N691*L691</f>
        <v/>
      </c>
      <c r="Q691" s="41">
        <f>INDEX(DPD_Bucket,MATCH(K691,DPD_From,1))</f>
        <v/>
      </c>
      <c r="R691" s="41">
        <f>INDEX(DPD_Class,MATCH(K691,DPD_From,1))</f>
        <v/>
      </c>
      <c r="S691" s="41">
        <f>INDEX(DPD_NPA,MATCH(K691,DPD_From,1))</f>
        <v/>
      </c>
      <c r="T691" s="42">
        <f>INDEX(DPD_Prov,MATCH(K691,DPD_From,1))</f>
        <v/>
      </c>
      <c r="U691" s="40">
        <f>ROUND(O691*T691,0)</f>
        <v/>
      </c>
      <c r="V691" s="41">
        <f>INDEX(CIBIL_Grade,MATCH(J691,CIBIL_From,1))</f>
        <v/>
      </c>
      <c r="W691" s="41">
        <f>YEAR(F691)&amp;"-Q"&amp;ROUNDUP(MONTH(F691)/3,0)</f>
        <v/>
      </c>
      <c r="X691" s="41">
        <f>IF(AND(OR(Dashboard!$C$4="All",D691=Dashboard!$C$4),OR(Dashboard!$C$5="All",E691=Dashboard!$C$5)),1,0)</f>
        <v/>
      </c>
      <c r="Y691" s="43">
        <f>IF(AND(X691=1,S691="Yes"),O691+ROW()/1000000,0)</f>
        <v/>
      </c>
    </row>
    <row r="692">
      <c r="A692" s="35" t="inlineStr">
        <is>
          <t>LN100691</t>
        </is>
      </c>
      <c r="B692" s="35" t="inlineStr">
        <is>
          <t>Lakshmi Reddy</t>
        </is>
      </c>
      <c r="C692" s="35" t="inlineStr">
        <is>
          <t>GUW-01</t>
        </is>
      </c>
      <c r="D692" s="36">
        <f>INDEX(Branches!$C$2:$C$15,MATCH(C692,Branches!$A$2:$A$15,0))</f>
        <v/>
      </c>
      <c r="E692" s="35" t="inlineStr">
        <is>
          <t>Personal Loan</t>
        </is>
      </c>
      <c r="F692" s="37" t="n">
        <v>45850</v>
      </c>
      <c r="G692" s="38" t="n">
        <v>932000</v>
      </c>
      <c r="H692" s="39" t="n">
        <v>0.1358</v>
      </c>
      <c r="I692" s="35" t="n">
        <v>12</v>
      </c>
      <c r="J692" s="35" t="n">
        <v>735</v>
      </c>
      <c r="K692" s="35" t="n">
        <v>0</v>
      </c>
      <c r="L692" s="40">
        <f>ROUND(PMT(H692/12,I692,-G692),0)</f>
        <v/>
      </c>
      <c r="M692" s="41">
        <f>MAX(0,(YEAR(AsOfDate)-YEAR(F692))*12+MONTH(AsOfDate)-MONTH(F692))</f>
        <v/>
      </c>
      <c r="N692" s="41">
        <f>MAX(0,MIN(I692,M692)-INT(K692/30))</f>
        <v/>
      </c>
      <c r="O692" s="40">
        <f>IF(N692&gt;=I692,0,ROUND(PV(H692/12,I692-N692,-L692),0))</f>
        <v/>
      </c>
      <c r="P692" s="40">
        <f>MIN(I692,M692)*L692-N692*L692</f>
        <v/>
      </c>
      <c r="Q692" s="41">
        <f>INDEX(DPD_Bucket,MATCH(K692,DPD_From,1))</f>
        <v/>
      </c>
      <c r="R692" s="41">
        <f>INDEX(DPD_Class,MATCH(K692,DPD_From,1))</f>
        <v/>
      </c>
      <c r="S692" s="41">
        <f>INDEX(DPD_NPA,MATCH(K692,DPD_From,1))</f>
        <v/>
      </c>
      <c r="T692" s="42">
        <f>INDEX(DPD_Prov,MATCH(K692,DPD_From,1))</f>
        <v/>
      </c>
      <c r="U692" s="40">
        <f>ROUND(O692*T692,0)</f>
        <v/>
      </c>
      <c r="V692" s="41">
        <f>INDEX(CIBIL_Grade,MATCH(J692,CIBIL_From,1))</f>
        <v/>
      </c>
      <c r="W692" s="41">
        <f>YEAR(F692)&amp;"-Q"&amp;ROUNDUP(MONTH(F692)/3,0)</f>
        <v/>
      </c>
      <c r="X692" s="41">
        <f>IF(AND(OR(Dashboard!$C$4="All",D692=Dashboard!$C$4),OR(Dashboard!$C$5="All",E692=Dashboard!$C$5)),1,0)</f>
        <v/>
      </c>
      <c r="Y692" s="43">
        <f>IF(AND(X692=1,S692="Yes"),O692+ROW()/1000000,0)</f>
        <v/>
      </c>
    </row>
    <row r="693">
      <c r="A693" s="35" t="inlineStr">
        <is>
          <t>LN100692</t>
        </is>
      </c>
      <c r="B693" s="35" t="inlineStr">
        <is>
          <t>Sai Gupta</t>
        </is>
      </c>
      <c r="C693" s="35" t="inlineStr">
        <is>
          <t>HYD-01</t>
        </is>
      </c>
      <c r="D693" s="36">
        <f>INDEX(Branches!$C$2:$C$15,MATCH(C693,Branches!$A$2:$A$15,0))</f>
        <v/>
      </c>
      <c r="E693" s="35" t="inlineStr">
        <is>
          <t>Gold Loan</t>
        </is>
      </c>
      <c r="F693" s="37" t="n">
        <v>45194</v>
      </c>
      <c r="G693" s="38" t="n">
        <v>359000</v>
      </c>
      <c r="H693" s="39" t="n">
        <v>0.1148</v>
      </c>
      <c r="I693" s="35" t="n">
        <v>12</v>
      </c>
      <c r="J693" s="35" t="n">
        <v>821</v>
      </c>
      <c r="K693" s="35" t="n">
        <v>0</v>
      </c>
      <c r="L693" s="40">
        <f>ROUND(PMT(H693/12,I693,-G693),0)</f>
        <v/>
      </c>
      <c r="M693" s="41">
        <f>MAX(0,(YEAR(AsOfDate)-YEAR(F693))*12+MONTH(AsOfDate)-MONTH(F693))</f>
        <v/>
      </c>
      <c r="N693" s="41">
        <f>MAX(0,MIN(I693,M693)-INT(K693/30))</f>
        <v/>
      </c>
      <c r="O693" s="40">
        <f>IF(N693&gt;=I693,0,ROUND(PV(H693/12,I693-N693,-L693),0))</f>
        <v/>
      </c>
      <c r="P693" s="40">
        <f>MIN(I693,M693)*L693-N693*L693</f>
        <v/>
      </c>
      <c r="Q693" s="41">
        <f>INDEX(DPD_Bucket,MATCH(K693,DPD_From,1))</f>
        <v/>
      </c>
      <c r="R693" s="41">
        <f>INDEX(DPD_Class,MATCH(K693,DPD_From,1))</f>
        <v/>
      </c>
      <c r="S693" s="41">
        <f>INDEX(DPD_NPA,MATCH(K693,DPD_From,1))</f>
        <v/>
      </c>
      <c r="T693" s="42">
        <f>INDEX(DPD_Prov,MATCH(K693,DPD_From,1))</f>
        <v/>
      </c>
      <c r="U693" s="40">
        <f>ROUND(O693*T693,0)</f>
        <v/>
      </c>
      <c r="V693" s="41">
        <f>INDEX(CIBIL_Grade,MATCH(J693,CIBIL_From,1))</f>
        <v/>
      </c>
      <c r="W693" s="41">
        <f>YEAR(F693)&amp;"-Q"&amp;ROUNDUP(MONTH(F693)/3,0)</f>
        <v/>
      </c>
      <c r="X693" s="41">
        <f>IF(AND(OR(Dashboard!$C$4="All",D693=Dashboard!$C$4),OR(Dashboard!$C$5="All",E693=Dashboard!$C$5)),1,0)</f>
        <v/>
      </c>
      <c r="Y693" s="43">
        <f>IF(AND(X693=1,S693="Yes"),O693+ROW()/1000000,0)</f>
        <v/>
      </c>
    </row>
    <row r="694">
      <c r="A694" s="35" t="inlineStr">
        <is>
          <t>LN100693</t>
        </is>
      </c>
      <c r="B694" s="35" t="inlineStr">
        <is>
          <t>Tanvi Mishra</t>
        </is>
      </c>
      <c r="C694" s="35" t="inlineStr">
        <is>
          <t>KOC-01</t>
        </is>
      </c>
      <c r="D694" s="36">
        <f>INDEX(Branches!$C$2:$C$15,MATCH(C694,Branches!$A$2:$A$15,0))</f>
        <v/>
      </c>
      <c r="E694" s="35" t="inlineStr">
        <is>
          <t>Business Loan</t>
        </is>
      </c>
      <c r="F694" s="37" t="n">
        <v>46001</v>
      </c>
      <c r="G694" s="38" t="n">
        <v>593000</v>
      </c>
      <c r="H694" s="39" t="n">
        <v>0.1316</v>
      </c>
      <c r="I694" s="35" t="n">
        <v>24</v>
      </c>
      <c r="J694" s="35" t="n">
        <v>705</v>
      </c>
      <c r="K694" s="35" t="n">
        <v>0</v>
      </c>
      <c r="L694" s="40">
        <f>ROUND(PMT(H694/12,I694,-G694),0)</f>
        <v/>
      </c>
      <c r="M694" s="41">
        <f>MAX(0,(YEAR(AsOfDate)-YEAR(F694))*12+MONTH(AsOfDate)-MONTH(F694))</f>
        <v/>
      </c>
      <c r="N694" s="41">
        <f>MAX(0,MIN(I694,M694)-INT(K694/30))</f>
        <v/>
      </c>
      <c r="O694" s="40">
        <f>IF(N694&gt;=I694,0,ROUND(PV(H694/12,I694-N694,-L694),0))</f>
        <v/>
      </c>
      <c r="P694" s="40">
        <f>MIN(I694,M694)*L694-N694*L694</f>
        <v/>
      </c>
      <c r="Q694" s="41">
        <f>INDEX(DPD_Bucket,MATCH(K694,DPD_From,1))</f>
        <v/>
      </c>
      <c r="R694" s="41">
        <f>INDEX(DPD_Class,MATCH(K694,DPD_From,1))</f>
        <v/>
      </c>
      <c r="S694" s="41">
        <f>INDEX(DPD_NPA,MATCH(K694,DPD_From,1))</f>
        <v/>
      </c>
      <c r="T694" s="42">
        <f>INDEX(DPD_Prov,MATCH(K694,DPD_From,1))</f>
        <v/>
      </c>
      <c r="U694" s="40">
        <f>ROUND(O694*T694,0)</f>
        <v/>
      </c>
      <c r="V694" s="41">
        <f>INDEX(CIBIL_Grade,MATCH(J694,CIBIL_From,1))</f>
        <v/>
      </c>
      <c r="W694" s="41">
        <f>YEAR(F694)&amp;"-Q"&amp;ROUNDUP(MONTH(F694)/3,0)</f>
        <v/>
      </c>
      <c r="X694" s="41">
        <f>IF(AND(OR(Dashboard!$C$4="All",D694=Dashboard!$C$4),OR(Dashboard!$C$5="All",E694=Dashboard!$C$5)),1,0)</f>
        <v/>
      </c>
      <c r="Y694" s="43">
        <f>IF(AND(X694=1,S694="Yes"),O694+ROW()/1000000,0)</f>
        <v/>
      </c>
    </row>
    <row r="695">
      <c r="A695" s="35" t="inlineStr">
        <is>
          <t>LN100694</t>
        </is>
      </c>
      <c r="B695" s="35" t="inlineStr">
        <is>
          <t>Riya Das</t>
        </is>
      </c>
      <c r="C695" s="35" t="inlineStr">
        <is>
          <t>MUM-01</t>
        </is>
      </c>
      <c r="D695" s="36">
        <f>INDEX(Branches!$C$2:$C$15,MATCH(C695,Branches!$A$2:$A$15,0))</f>
        <v/>
      </c>
      <c r="E695" s="35" t="inlineStr">
        <is>
          <t>Personal Loan</t>
        </is>
      </c>
      <c r="F695" s="37" t="n">
        <v>45705</v>
      </c>
      <c r="G695" s="38" t="n">
        <v>1082000</v>
      </c>
      <c r="H695" s="39" t="n">
        <v>0.1177</v>
      </c>
      <c r="I695" s="35" t="n">
        <v>60</v>
      </c>
      <c r="J695" s="35" t="n">
        <v>752</v>
      </c>
      <c r="K695" s="35" t="n">
        <v>0</v>
      </c>
      <c r="L695" s="40">
        <f>ROUND(PMT(H695/12,I695,-G695),0)</f>
        <v/>
      </c>
      <c r="M695" s="41">
        <f>MAX(0,(YEAR(AsOfDate)-YEAR(F695))*12+MONTH(AsOfDate)-MONTH(F695))</f>
        <v/>
      </c>
      <c r="N695" s="41">
        <f>MAX(0,MIN(I695,M695)-INT(K695/30))</f>
        <v/>
      </c>
      <c r="O695" s="40">
        <f>IF(N695&gt;=I695,0,ROUND(PV(H695/12,I695-N695,-L695),0))</f>
        <v/>
      </c>
      <c r="P695" s="40">
        <f>MIN(I695,M695)*L695-N695*L695</f>
        <v/>
      </c>
      <c r="Q695" s="41">
        <f>INDEX(DPD_Bucket,MATCH(K695,DPD_From,1))</f>
        <v/>
      </c>
      <c r="R695" s="41">
        <f>INDEX(DPD_Class,MATCH(K695,DPD_From,1))</f>
        <v/>
      </c>
      <c r="S695" s="41">
        <f>INDEX(DPD_NPA,MATCH(K695,DPD_From,1))</f>
        <v/>
      </c>
      <c r="T695" s="42">
        <f>INDEX(DPD_Prov,MATCH(K695,DPD_From,1))</f>
        <v/>
      </c>
      <c r="U695" s="40">
        <f>ROUND(O695*T695,0)</f>
        <v/>
      </c>
      <c r="V695" s="41">
        <f>INDEX(CIBIL_Grade,MATCH(J695,CIBIL_From,1))</f>
        <v/>
      </c>
      <c r="W695" s="41">
        <f>YEAR(F695)&amp;"-Q"&amp;ROUNDUP(MONTH(F695)/3,0)</f>
        <v/>
      </c>
      <c r="X695" s="41">
        <f>IF(AND(OR(Dashboard!$C$4="All",D695=Dashboard!$C$4),OR(Dashboard!$C$5="All",E695=Dashboard!$C$5)),1,0)</f>
        <v/>
      </c>
      <c r="Y695" s="43">
        <f>IF(AND(X695=1,S695="Yes"),O695+ROW()/1000000,0)</f>
        <v/>
      </c>
    </row>
    <row r="696">
      <c r="A696" s="35" t="inlineStr">
        <is>
          <t>LN100695</t>
        </is>
      </c>
      <c r="B696" s="35" t="inlineStr">
        <is>
          <t>Karthik Nair</t>
        </is>
      </c>
      <c r="C696" s="35" t="inlineStr">
        <is>
          <t>BLR-01</t>
        </is>
      </c>
      <c r="D696" s="36">
        <f>INDEX(Branches!$C$2:$C$15,MATCH(C696,Branches!$A$2:$A$15,0))</f>
        <v/>
      </c>
      <c r="E696" s="35" t="inlineStr">
        <is>
          <t>Auto Loan</t>
        </is>
      </c>
      <c r="F696" s="37" t="n">
        <v>45641</v>
      </c>
      <c r="G696" s="38" t="n">
        <v>1550000</v>
      </c>
      <c r="H696" s="39" t="n">
        <v>0.1025</v>
      </c>
      <c r="I696" s="35" t="n">
        <v>84</v>
      </c>
      <c r="J696" s="35" t="n">
        <v>816</v>
      </c>
      <c r="K696" s="35" t="n">
        <v>0</v>
      </c>
      <c r="L696" s="40">
        <f>ROUND(PMT(H696/12,I696,-G696),0)</f>
        <v/>
      </c>
      <c r="M696" s="41">
        <f>MAX(0,(YEAR(AsOfDate)-YEAR(F696))*12+MONTH(AsOfDate)-MONTH(F696))</f>
        <v/>
      </c>
      <c r="N696" s="41">
        <f>MAX(0,MIN(I696,M696)-INT(K696/30))</f>
        <v/>
      </c>
      <c r="O696" s="40">
        <f>IF(N696&gt;=I696,0,ROUND(PV(H696/12,I696-N696,-L696),0))</f>
        <v/>
      </c>
      <c r="P696" s="40">
        <f>MIN(I696,M696)*L696-N696*L696</f>
        <v/>
      </c>
      <c r="Q696" s="41">
        <f>INDEX(DPD_Bucket,MATCH(K696,DPD_From,1))</f>
        <v/>
      </c>
      <c r="R696" s="41">
        <f>INDEX(DPD_Class,MATCH(K696,DPD_From,1))</f>
        <v/>
      </c>
      <c r="S696" s="41">
        <f>INDEX(DPD_NPA,MATCH(K696,DPD_From,1))</f>
        <v/>
      </c>
      <c r="T696" s="42">
        <f>INDEX(DPD_Prov,MATCH(K696,DPD_From,1))</f>
        <v/>
      </c>
      <c r="U696" s="40">
        <f>ROUND(O696*T696,0)</f>
        <v/>
      </c>
      <c r="V696" s="41">
        <f>INDEX(CIBIL_Grade,MATCH(J696,CIBIL_From,1))</f>
        <v/>
      </c>
      <c r="W696" s="41">
        <f>YEAR(F696)&amp;"-Q"&amp;ROUNDUP(MONTH(F696)/3,0)</f>
        <v/>
      </c>
      <c r="X696" s="41">
        <f>IF(AND(OR(Dashboard!$C$4="All",D696=Dashboard!$C$4),OR(Dashboard!$C$5="All",E696=Dashboard!$C$5)),1,0)</f>
        <v/>
      </c>
      <c r="Y696" s="43">
        <f>IF(AND(X696=1,S696="Yes"),O696+ROW()/1000000,0)</f>
        <v/>
      </c>
    </row>
    <row r="697">
      <c r="A697" s="35" t="inlineStr">
        <is>
          <t>LN100696</t>
        </is>
      </c>
      <c r="B697" s="35" t="inlineStr">
        <is>
          <t>Farhan Das</t>
        </is>
      </c>
      <c r="C697" s="35" t="inlineStr">
        <is>
          <t>KOC-01</t>
        </is>
      </c>
      <c r="D697" s="36">
        <f>INDEX(Branches!$C$2:$C$15,MATCH(C697,Branches!$A$2:$A$15,0))</f>
        <v/>
      </c>
      <c r="E697" s="35" t="inlineStr">
        <is>
          <t>Gold Loan</t>
        </is>
      </c>
      <c r="F697" s="37" t="n">
        <v>45161</v>
      </c>
      <c r="G697" s="38" t="n">
        <v>476000</v>
      </c>
      <c r="H697" s="39" t="n">
        <v>0.1144</v>
      </c>
      <c r="I697" s="35" t="n">
        <v>12</v>
      </c>
      <c r="J697" s="35" t="n">
        <v>846</v>
      </c>
      <c r="K697" s="35" t="n">
        <v>0</v>
      </c>
      <c r="L697" s="40">
        <f>ROUND(PMT(H697/12,I697,-G697),0)</f>
        <v/>
      </c>
      <c r="M697" s="41">
        <f>MAX(0,(YEAR(AsOfDate)-YEAR(F697))*12+MONTH(AsOfDate)-MONTH(F697))</f>
        <v/>
      </c>
      <c r="N697" s="41">
        <f>MAX(0,MIN(I697,M697)-INT(K697/30))</f>
        <v/>
      </c>
      <c r="O697" s="40">
        <f>IF(N697&gt;=I697,0,ROUND(PV(H697/12,I697-N697,-L697),0))</f>
        <v/>
      </c>
      <c r="P697" s="40">
        <f>MIN(I697,M697)*L697-N697*L697</f>
        <v/>
      </c>
      <c r="Q697" s="41">
        <f>INDEX(DPD_Bucket,MATCH(K697,DPD_From,1))</f>
        <v/>
      </c>
      <c r="R697" s="41">
        <f>INDEX(DPD_Class,MATCH(K697,DPD_From,1))</f>
        <v/>
      </c>
      <c r="S697" s="41">
        <f>INDEX(DPD_NPA,MATCH(K697,DPD_From,1))</f>
        <v/>
      </c>
      <c r="T697" s="42">
        <f>INDEX(DPD_Prov,MATCH(K697,DPD_From,1))</f>
        <v/>
      </c>
      <c r="U697" s="40">
        <f>ROUND(O697*T697,0)</f>
        <v/>
      </c>
      <c r="V697" s="41">
        <f>INDEX(CIBIL_Grade,MATCH(J697,CIBIL_From,1))</f>
        <v/>
      </c>
      <c r="W697" s="41">
        <f>YEAR(F697)&amp;"-Q"&amp;ROUNDUP(MONTH(F697)/3,0)</f>
        <v/>
      </c>
      <c r="X697" s="41">
        <f>IF(AND(OR(Dashboard!$C$4="All",D697=Dashboard!$C$4),OR(Dashboard!$C$5="All",E697=Dashboard!$C$5)),1,0)</f>
        <v/>
      </c>
      <c r="Y697" s="43">
        <f>IF(AND(X697=1,S697="Yes"),O697+ROW()/1000000,0)</f>
        <v/>
      </c>
    </row>
    <row r="698">
      <c r="A698" s="35" t="inlineStr">
        <is>
          <t>LN100697</t>
        </is>
      </c>
      <c r="B698" s="35" t="inlineStr">
        <is>
          <t>Tanvi Singh</t>
        </is>
      </c>
      <c r="C698" s="35" t="inlineStr">
        <is>
          <t>BBS-01</t>
        </is>
      </c>
      <c r="D698" s="36">
        <f>INDEX(Branches!$C$2:$C$15,MATCH(C698,Branches!$A$2:$A$15,0))</f>
        <v/>
      </c>
      <c r="E698" s="35" t="inlineStr">
        <is>
          <t>Auto Loan</t>
        </is>
      </c>
      <c r="F698" s="37" t="n">
        <v>45391</v>
      </c>
      <c r="G698" s="38" t="n">
        <v>1484000</v>
      </c>
      <c r="H698" s="39" t="n">
        <v>0.102</v>
      </c>
      <c r="I698" s="35" t="n">
        <v>84</v>
      </c>
      <c r="J698" s="35" t="n">
        <v>809</v>
      </c>
      <c r="K698" s="35" t="n">
        <v>0</v>
      </c>
      <c r="L698" s="40">
        <f>ROUND(PMT(H698/12,I698,-G698),0)</f>
        <v/>
      </c>
      <c r="M698" s="41">
        <f>MAX(0,(YEAR(AsOfDate)-YEAR(F698))*12+MONTH(AsOfDate)-MONTH(F698))</f>
        <v/>
      </c>
      <c r="N698" s="41">
        <f>MAX(0,MIN(I698,M698)-INT(K698/30))</f>
        <v/>
      </c>
      <c r="O698" s="40">
        <f>IF(N698&gt;=I698,0,ROUND(PV(H698/12,I698-N698,-L698),0))</f>
        <v/>
      </c>
      <c r="P698" s="40">
        <f>MIN(I698,M698)*L698-N698*L698</f>
        <v/>
      </c>
      <c r="Q698" s="41">
        <f>INDEX(DPD_Bucket,MATCH(K698,DPD_From,1))</f>
        <v/>
      </c>
      <c r="R698" s="41">
        <f>INDEX(DPD_Class,MATCH(K698,DPD_From,1))</f>
        <v/>
      </c>
      <c r="S698" s="41">
        <f>INDEX(DPD_NPA,MATCH(K698,DPD_From,1))</f>
        <v/>
      </c>
      <c r="T698" s="42">
        <f>INDEX(DPD_Prov,MATCH(K698,DPD_From,1))</f>
        <v/>
      </c>
      <c r="U698" s="40">
        <f>ROUND(O698*T698,0)</f>
        <v/>
      </c>
      <c r="V698" s="41">
        <f>INDEX(CIBIL_Grade,MATCH(J698,CIBIL_From,1))</f>
        <v/>
      </c>
      <c r="W698" s="41">
        <f>YEAR(F698)&amp;"-Q"&amp;ROUNDUP(MONTH(F698)/3,0)</f>
        <v/>
      </c>
      <c r="X698" s="41">
        <f>IF(AND(OR(Dashboard!$C$4="All",D698=Dashboard!$C$4),OR(Dashboard!$C$5="All",E698=Dashboard!$C$5)),1,0)</f>
        <v/>
      </c>
      <c r="Y698" s="43">
        <f>IF(AND(X698=1,S698="Yes"),O698+ROW()/1000000,0)</f>
        <v/>
      </c>
    </row>
    <row r="699">
      <c r="A699" s="35" t="inlineStr">
        <is>
          <t>LN100698</t>
        </is>
      </c>
      <c r="B699" s="35" t="inlineStr">
        <is>
          <t>Ananya Mohanty</t>
        </is>
      </c>
      <c r="C699" s="35" t="inlineStr">
        <is>
          <t>JAI-01</t>
        </is>
      </c>
      <c r="D699" s="36">
        <f>INDEX(Branches!$C$2:$C$15,MATCH(C699,Branches!$A$2:$A$15,0))</f>
        <v/>
      </c>
      <c r="E699" s="35" t="inlineStr">
        <is>
          <t>Auto Loan</t>
        </is>
      </c>
      <c r="F699" s="37" t="n">
        <v>46115</v>
      </c>
      <c r="G699" s="38" t="n">
        <v>1122000</v>
      </c>
      <c r="H699" s="39" t="n">
        <v>0.09669999999999999</v>
      </c>
      <c r="I699" s="35" t="n">
        <v>48</v>
      </c>
      <c r="J699" s="35" t="n">
        <v>814</v>
      </c>
      <c r="K699" s="35" t="n">
        <v>0</v>
      </c>
      <c r="L699" s="40">
        <f>ROUND(PMT(H699/12,I699,-G699),0)</f>
        <v/>
      </c>
      <c r="M699" s="41">
        <f>MAX(0,(YEAR(AsOfDate)-YEAR(F699))*12+MONTH(AsOfDate)-MONTH(F699))</f>
        <v/>
      </c>
      <c r="N699" s="41">
        <f>MAX(0,MIN(I699,M699)-INT(K699/30))</f>
        <v/>
      </c>
      <c r="O699" s="40">
        <f>IF(N699&gt;=I699,0,ROUND(PV(H699/12,I699-N699,-L699),0))</f>
        <v/>
      </c>
      <c r="P699" s="40">
        <f>MIN(I699,M699)*L699-N699*L699</f>
        <v/>
      </c>
      <c r="Q699" s="41">
        <f>INDEX(DPD_Bucket,MATCH(K699,DPD_From,1))</f>
        <v/>
      </c>
      <c r="R699" s="41">
        <f>INDEX(DPD_Class,MATCH(K699,DPD_From,1))</f>
        <v/>
      </c>
      <c r="S699" s="41">
        <f>INDEX(DPD_NPA,MATCH(K699,DPD_From,1))</f>
        <v/>
      </c>
      <c r="T699" s="42">
        <f>INDEX(DPD_Prov,MATCH(K699,DPD_From,1))</f>
        <v/>
      </c>
      <c r="U699" s="40">
        <f>ROUND(O699*T699,0)</f>
        <v/>
      </c>
      <c r="V699" s="41">
        <f>INDEX(CIBIL_Grade,MATCH(J699,CIBIL_From,1))</f>
        <v/>
      </c>
      <c r="W699" s="41">
        <f>YEAR(F699)&amp;"-Q"&amp;ROUNDUP(MONTH(F699)/3,0)</f>
        <v/>
      </c>
      <c r="X699" s="41">
        <f>IF(AND(OR(Dashboard!$C$4="All",D699=Dashboard!$C$4),OR(Dashboard!$C$5="All",E699=Dashboard!$C$5)),1,0)</f>
        <v/>
      </c>
      <c r="Y699" s="43">
        <f>IF(AND(X699=1,S699="Yes"),O699+ROW()/1000000,0)</f>
        <v/>
      </c>
    </row>
    <row r="700">
      <c r="A700" s="35" t="inlineStr">
        <is>
          <t>LN100699</t>
        </is>
      </c>
      <c r="B700" s="35" t="inlineStr">
        <is>
          <t>Farhan Banerjee</t>
        </is>
      </c>
      <c r="C700" s="35" t="inlineStr">
        <is>
          <t>KOL-01</t>
        </is>
      </c>
      <c r="D700" s="36">
        <f>INDEX(Branches!$C$2:$C$15,MATCH(C700,Branches!$A$2:$A$15,0))</f>
        <v/>
      </c>
      <c r="E700" s="35" t="inlineStr">
        <is>
          <t>Personal Loan</t>
        </is>
      </c>
      <c r="F700" s="37" t="n">
        <v>45998</v>
      </c>
      <c r="G700" s="38" t="n">
        <v>397000</v>
      </c>
      <c r="H700" s="39" t="n">
        <v>0.1338</v>
      </c>
      <c r="I700" s="35" t="n">
        <v>48</v>
      </c>
      <c r="J700" s="35" t="n">
        <v>764</v>
      </c>
      <c r="K700" s="35" t="n">
        <v>0</v>
      </c>
      <c r="L700" s="40">
        <f>ROUND(PMT(H700/12,I700,-G700),0)</f>
        <v/>
      </c>
      <c r="M700" s="41">
        <f>MAX(0,(YEAR(AsOfDate)-YEAR(F700))*12+MONTH(AsOfDate)-MONTH(F700))</f>
        <v/>
      </c>
      <c r="N700" s="41">
        <f>MAX(0,MIN(I700,M700)-INT(K700/30))</f>
        <v/>
      </c>
      <c r="O700" s="40">
        <f>IF(N700&gt;=I700,0,ROUND(PV(H700/12,I700-N700,-L700),0))</f>
        <v/>
      </c>
      <c r="P700" s="40">
        <f>MIN(I700,M700)*L700-N700*L700</f>
        <v/>
      </c>
      <c r="Q700" s="41">
        <f>INDEX(DPD_Bucket,MATCH(K700,DPD_From,1))</f>
        <v/>
      </c>
      <c r="R700" s="41">
        <f>INDEX(DPD_Class,MATCH(K700,DPD_From,1))</f>
        <v/>
      </c>
      <c r="S700" s="41">
        <f>INDEX(DPD_NPA,MATCH(K700,DPD_From,1))</f>
        <v/>
      </c>
      <c r="T700" s="42">
        <f>INDEX(DPD_Prov,MATCH(K700,DPD_From,1))</f>
        <v/>
      </c>
      <c r="U700" s="40">
        <f>ROUND(O700*T700,0)</f>
        <v/>
      </c>
      <c r="V700" s="41">
        <f>INDEX(CIBIL_Grade,MATCH(J700,CIBIL_From,1))</f>
        <v/>
      </c>
      <c r="W700" s="41">
        <f>YEAR(F700)&amp;"-Q"&amp;ROUNDUP(MONTH(F700)/3,0)</f>
        <v/>
      </c>
      <c r="X700" s="41">
        <f>IF(AND(OR(Dashboard!$C$4="All",D700=Dashboard!$C$4),OR(Dashboard!$C$5="All",E700=Dashboard!$C$5)),1,0)</f>
        <v/>
      </c>
      <c r="Y700" s="43">
        <f>IF(AND(X700=1,S700="Yes"),O700+ROW()/1000000,0)</f>
        <v/>
      </c>
    </row>
    <row r="701">
      <c r="A701" s="35" t="inlineStr">
        <is>
          <t>LN100700</t>
        </is>
      </c>
      <c r="B701" s="35" t="inlineStr">
        <is>
          <t>Deepa Sahoo</t>
        </is>
      </c>
      <c r="C701" s="35" t="inlineStr">
        <is>
          <t>BBS-01</t>
        </is>
      </c>
      <c r="D701" s="36">
        <f>INDEX(Branches!$C$2:$C$15,MATCH(C701,Branches!$A$2:$A$15,0))</f>
        <v/>
      </c>
      <c r="E701" s="35" t="inlineStr">
        <is>
          <t>Personal Loan</t>
        </is>
      </c>
      <c r="F701" s="37" t="n">
        <v>45649</v>
      </c>
      <c r="G701" s="38" t="n">
        <v>1148000</v>
      </c>
      <c r="H701" s="39" t="n">
        <v>0.1084</v>
      </c>
      <c r="I701" s="35" t="n">
        <v>60</v>
      </c>
      <c r="J701" s="35" t="n">
        <v>736</v>
      </c>
      <c r="K701" s="35" t="n">
        <v>211</v>
      </c>
      <c r="L701" s="40">
        <f>ROUND(PMT(H701/12,I701,-G701),0)</f>
        <v/>
      </c>
      <c r="M701" s="41">
        <f>MAX(0,(YEAR(AsOfDate)-YEAR(F701))*12+MONTH(AsOfDate)-MONTH(F701))</f>
        <v/>
      </c>
      <c r="N701" s="41">
        <f>MAX(0,MIN(I701,M701)-INT(K701/30))</f>
        <v/>
      </c>
      <c r="O701" s="40">
        <f>IF(N701&gt;=I701,0,ROUND(PV(H701/12,I701-N701,-L701),0))</f>
        <v/>
      </c>
      <c r="P701" s="40">
        <f>MIN(I701,M701)*L701-N701*L701</f>
        <v/>
      </c>
      <c r="Q701" s="41">
        <f>INDEX(DPD_Bucket,MATCH(K701,DPD_From,1))</f>
        <v/>
      </c>
      <c r="R701" s="41">
        <f>INDEX(DPD_Class,MATCH(K701,DPD_From,1))</f>
        <v/>
      </c>
      <c r="S701" s="41">
        <f>INDEX(DPD_NPA,MATCH(K701,DPD_From,1))</f>
        <v/>
      </c>
      <c r="T701" s="42">
        <f>INDEX(DPD_Prov,MATCH(K701,DPD_From,1))</f>
        <v/>
      </c>
      <c r="U701" s="40">
        <f>ROUND(O701*T701,0)</f>
        <v/>
      </c>
      <c r="V701" s="41">
        <f>INDEX(CIBIL_Grade,MATCH(J701,CIBIL_From,1))</f>
        <v/>
      </c>
      <c r="W701" s="41">
        <f>YEAR(F701)&amp;"-Q"&amp;ROUNDUP(MONTH(F701)/3,0)</f>
        <v/>
      </c>
      <c r="X701" s="41">
        <f>IF(AND(OR(Dashboard!$C$4="All",D701=Dashboard!$C$4),OR(Dashboard!$C$5="All",E701=Dashboard!$C$5)),1,0)</f>
        <v/>
      </c>
      <c r="Y701" s="43">
        <f>IF(AND(X701=1,S701="Yes"),O701+ROW()/1000000,0)</f>
        <v/>
      </c>
    </row>
    <row r="702">
      <c r="A702" s="35" t="inlineStr">
        <is>
          <t>LN100701</t>
        </is>
      </c>
      <c r="B702" s="35" t="inlineStr">
        <is>
          <t>Swati Kulkarni</t>
        </is>
      </c>
      <c r="C702" s="35" t="inlineStr">
        <is>
          <t>BLR-01</t>
        </is>
      </c>
      <c r="D702" s="36">
        <f>INDEX(Branches!$C$2:$C$15,MATCH(C702,Branches!$A$2:$A$15,0))</f>
        <v/>
      </c>
      <c r="E702" s="35" t="inlineStr">
        <is>
          <t>Auto Loan</t>
        </is>
      </c>
      <c r="F702" s="37" t="n">
        <v>45554</v>
      </c>
      <c r="G702" s="38" t="n">
        <v>1329000</v>
      </c>
      <c r="H702" s="39" t="n">
        <v>0.09710000000000001</v>
      </c>
      <c r="I702" s="35" t="n">
        <v>84</v>
      </c>
      <c r="J702" s="35" t="n">
        <v>816</v>
      </c>
      <c r="K702" s="35" t="n">
        <v>0</v>
      </c>
      <c r="L702" s="40">
        <f>ROUND(PMT(H702/12,I702,-G702),0)</f>
        <v/>
      </c>
      <c r="M702" s="41">
        <f>MAX(0,(YEAR(AsOfDate)-YEAR(F702))*12+MONTH(AsOfDate)-MONTH(F702))</f>
        <v/>
      </c>
      <c r="N702" s="41">
        <f>MAX(0,MIN(I702,M702)-INT(K702/30))</f>
        <v/>
      </c>
      <c r="O702" s="40">
        <f>IF(N702&gt;=I702,0,ROUND(PV(H702/12,I702-N702,-L702),0))</f>
        <v/>
      </c>
      <c r="P702" s="40">
        <f>MIN(I702,M702)*L702-N702*L702</f>
        <v/>
      </c>
      <c r="Q702" s="41">
        <f>INDEX(DPD_Bucket,MATCH(K702,DPD_From,1))</f>
        <v/>
      </c>
      <c r="R702" s="41">
        <f>INDEX(DPD_Class,MATCH(K702,DPD_From,1))</f>
        <v/>
      </c>
      <c r="S702" s="41">
        <f>INDEX(DPD_NPA,MATCH(K702,DPD_From,1))</f>
        <v/>
      </c>
      <c r="T702" s="42">
        <f>INDEX(DPD_Prov,MATCH(K702,DPD_From,1))</f>
        <v/>
      </c>
      <c r="U702" s="40">
        <f>ROUND(O702*T702,0)</f>
        <v/>
      </c>
      <c r="V702" s="41">
        <f>INDEX(CIBIL_Grade,MATCH(J702,CIBIL_From,1))</f>
        <v/>
      </c>
      <c r="W702" s="41">
        <f>YEAR(F702)&amp;"-Q"&amp;ROUNDUP(MONTH(F702)/3,0)</f>
        <v/>
      </c>
      <c r="X702" s="41">
        <f>IF(AND(OR(Dashboard!$C$4="All",D702=Dashboard!$C$4),OR(Dashboard!$C$5="All",E702=Dashboard!$C$5)),1,0)</f>
        <v/>
      </c>
      <c r="Y702" s="43">
        <f>IF(AND(X702=1,S702="Yes"),O702+ROW()/1000000,0)</f>
        <v/>
      </c>
    </row>
    <row r="703">
      <c r="A703" s="35" t="inlineStr">
        <is>
          <t>LN100702</t>
        </is>
      </c>
      <c r="B703" s="35" t="inlineStr">
        <is>
          <t>Priya Chatterjee</t>
        </is>
      </c>
      <c r="C703" s="35" t="inlineStr">
        <is>
          <t>AMD-01</t>
        </is>
      </c>
      <c r="D703" s="36">
        <f>INDEX(Branches!$C$2:$C$15,MATCH(C703,Branches!$A$2:$A$15,0))</f>
        <v/>
      </c>
      <c r="E703" s="35" t="inlineStr">
        <is>
          <t>Personal Loan</t>
        </is>
      </c>
      <c r="F703" s="37" t="n">
        <v>45215</v>
      </c>
      <c r="G703" s="38" t="n">
        <v>299000</v>
      </c>
      <c r="H703" s="39" t="n">
        <v>0.1138</v>
      </c>
      <c r="I703" s="35" t="n">
        <v>36</v>
      </c>
      <c r="J703" s="35" t="n">
        <v>723</v>
      </c>
      <c r="K703" s="35" t="n">
        <v>0</v>
      </c>
      <c r="L703" s="40">
        <f>ROUND(PMT(H703/12,I703,-G703),0)</f>
        <v/>
      </c>
      <c r="M703" s="41">
        <f>MAX(0,(YEAR(AsOfDate)-YEAR(F703))*12+MONTH(AsOfDate)-MONTH(F703))</f>
        <v/>
      </c>
      <c r="N703" s="41">
        <f>MAX(0,MIN(I703,M703)-INT(K703/30))</f>
        <v/>
      </c>
      <c r="O703" s="40">
        <f>IF(N703&gt;=I703,0,ROUND(PV(H703/12,I703-N703,-L703),0))</f>
        <v/>
      </c>
      <c r="P703" s="40">
        <f>MIN(I703,M703)*L703-N703*L703</f>
        <v/>
      </c>
      <c r="Q703" s="41">
        <f>INDEX(DPD_Bucket,MATCH(K703,DPD_From,1))</f>
        <v/>
      </c>
      <c r="R703" s="41">
        <f>INDEX(DPD_Class,MATCH(K703,DPD_From,1))</f>
        <v/>
      </c>
      <c r="S703" s="41">
        <f>INDEX(DPD_NPA,MATCH(K703,DPD_From,1))</f>
        <v/>
      </c>
      <c r="T703" s="42">
        <f>INDEX(DPD_Prov,MATCH(K703,DPD_From,1))</f>
        <v/>
      </c>
      <c r="U703" s="40">
        <f>ROUND(O703*T703,0)</f>
        <v/>
      </c>
      <c r="V703" s="41">
        <f>INDEX(CIBIL_Grade,MATCH(J703,CIBIL_From,1))</f>
        <v/>
      </c>
      <c r="W703" s="41">
        <f>YEAR(F703)&amp;"-Q"&amp;ROUNDUP(MONTH(F703)/3,0)</f>
        <v/>
      </c>
      <c r="X703" s="41">
        <f>IF(AND(OR(Dashboard!$C$4="All",D703=Dashboard!$C$4),OR(Dashboard!$C$5="All",E703=Dashboard!$C$5)),1,0)</f>
        <v/>
      </c>
      <c r="Y703" s="43">
        <f>IF(AND(X703=1,S703="Yes"),O703+ROW()/1000000,0)</f>
        <v/>
      </c>
    </row>
    <row r="704">
      <c r="A704" s="35" t="inlineStr">
        <is>
          <t>LN100703</t>
        </is>
      </c>
      <c r="B704" s="35" t="inlineStr">
        <is>
          <t>Harsh Khan</t>
        </is>
      </c>
      <c r="C704" s="35" t="inlineStr">
        <is>
          <t>MUM-01</t>
        </is>
      </c>
      <c r="D704" s="36">
        <f>INDEX(Branches!$C$2:$C$15,MATCH(C704,Branches!$A$2:$A$15,0))</f>
        <v/>
      </c>
      <c r="E704" s="35" t="inlineStr">
        <is>
          <t>Home Loan</t>
        </is>
      </c>
      <c r="F704" s="37" t="n">
        <v>45151</v>
      </c>
      <c r="G704" s="38" t="n">
        <v>13736000</v>
      </c>
      <c r="H704" s="39" t="n">
        <v>0.0877</v>
      </c>
      <c r="I704" s="35" t="n">
        <v>120</v>
      </c>
      <c r="J704" s="35" t="n">
        <v>807</v>
      </c>
      <c r="K704" s="35" t="n">
        <v>0</v>
      </c>
      <c r="L704" s="40">
        <f>ROUND(PMT(H704/12,I704,-G704),0)</f>
        <v/>
      </c>
      <c r="M704" s="41">
        <f>MAX(0,(YEAR(AsOfDate)-YEAR(F704))*12+MONTH(AsOfDate)-MONTH(F704))</f>
        <v/>
      </c>
      <c r="N704" s="41">
        <f>MAX(0,MIN(I704,M704)-INT(K704/30))</f>
        <v/>
      </c>
      <c r="O704" s="40">
        <f>IF(N704&gt;=I704,0,ROUND(PV(H704/12,I704-N704,-L704),0))</f>
        <v/>
      </c>
      <c r="P704" s="40">
        <f>MIN(I704,M704)*L704-N704*L704</f>
        <v/>
      </c>
      <c r="Q704" s="41">
        <f>INDEX(DPD_Bucket,MATCH(K704,DPD_From,1))</f>
        <v/>
      </c>
      <c r="R704" s="41">
        <f>INDEX(DPD_Class,MATCH(K704,DPD_From,1))</f>
        <v/>
      </c>
      <c r="S704" s="41">
        <f>INDEX(DPD_NPA,MATCH(K704,DPD_From,1))</f>
        <v/>
      </c>
      <c r="T704" s="42">
        <f>INDEX(DPD_Prov,MATCH(K704,DPD_From,1))</f>
        <v/>
      </c>
      <c r="U704" s="40">
        <f>ROUND(O704*T704,0)</f>
        <v/>
      </c>
      <c r="V704" s="41">
        <f>INDEX(CIBIL_Grade,MATCH(J704,CIBIL_From,1))</f>
        <v/>
      </c>
      <c r="W704" s="41">
        <f>YEAR(F704)&amp;"-Q"&amp;ROUNDUP(MONTH(F704)/3,0)</f>
        <v/>
      </c>
      <c r="X704" s="41">
        <f>IF(AND(OR(Dashboard!$C$4="All",D704=Dashboard!$C$4),OR(Dashboard!$C$5="All",E704=Dashboard!$C$5)),1,0)</f>
        <v/>
      </c>
      <c r="Y704" s="43">
        <f>IF(AND(X704=1,S704="Yes"),O704+ROW()/1000000,0)</f>
        <v/>
      </c>
    </row>
    <row r="705">
      <c r="A705" s="35" t="inlineStr">
        <is>
          <t>LN100704</t>
        </is>
      </c>
      <c r="B705" s="35" t="inlineStr">
        <is>
          <t>Swati Patel</t>
        </is>
      </c>
      <c r="C705" s="35" t="inlineStr">
        <is>
          <t>PUN-01</t>
        </is>
      </c>
      <c r="D705" s="36">
        <f>INDEX(Branches!$C$2:$C$15,MATCH(C705,Branches!$A$2:$A$15,0))</f>
        <v/>
      </c>
      <c r="E705" s="35" t="inlineStr">
        <is>
          <t>Business Loan</t>
        </is>
      </c>
      <c r="F705" s="37" t="n">
        <v>45115</v>
      </c>
      <c r="G705" s="38" t="n">
        <v>3816000</v>
      </c>
      <c r="H705" s="39" t="n">
        <v>0.1644</v>
      </c>
      <c r="I705" s="35" t="n">
        <v>36</v>
      </c>
      <c r="J705" s="35" t="n">
        <v>659</v>
      </c>
      <c r="K705" s="35" t="n">
        <v>0</v>
      </c>
      <c r="L705" s="40">
        <f>ROUND(PMT(H705/12,I705,-G705),0)</f>
        <v/>
      </c>
      <c r="M705" s="41">
        <f>MAX(0,(YEAR(AsOfDate)-YEAR(F705))*12+MONTH(AsOfDate)-MONTH(F705))</f>
        <v/>
      </c>
      <c r="N705" s="41">
        <f>MAX(0,MIN(I705,M705)-INT(K705/30))</f>
        <v/>
      </c>
      <c r="O705" s="40">
        <f>IF(N705&gt;=I705,0,ROUND(PV(H705/12,I705-N705,-L705),0))</f>
        <v/>
      </c>
      <c r="P705" s="40">
        <f>MIN(I705,M705)*L705-N705*L705</f>
        <v/>
      </c>
      <c r="Q705" s="41">
        <f>INDEX(DPD_Bucket,MATCH(K705,DPD_From,1))</f>
        <v/>
      </c>
      <c r="R705" s="41">
        <f>INDEX(DPD_Class,MATCH(K705,DPD_From,1))</f>
        <v/>
      </c>
      <c r="S705" s="41">
        <f>INDEX(DPD_NPA,MATCH(K705,DPD_From,1))</f>
        <v/>
      </c>
      <c r="T705" s="42">
        <f>INDEX(DPD_Prov,MATCH(K705,DPD_From,1))</f>
        <v/>
      </c>
      <c r="U705" s="40">
        <f>ROUND(O705*T705,0)</f>
        <v/>
      </c>
      <c r="V705" s="41">
        <f>INDEX(CIBIL_Grade,MATCH(J705,CIBIL_From,1))</f>
        <v/>
      </c>
      <c r="W705" s="41">
        <f>YEAR(F705)&amp;"-Q"&amp;ROUNDUP(MONTH(F705)/3,0)</f>
        <v/>
      </c>
      <c r="X705" s="41">
        <f>IF(AND(OR(Dashboard!$C$4="All",D705=Dashboard!$C$4),OR(Dashboard!$C$5="All",E705=Dashboard!$C$5)),1,0)</f>
        <v/>
      </c>
      <c r="Y705" s="43">
        <f>IF(AND(X705=1,S705="Yes"),O705+ROW()/1000000,0)</f>
        <v/>
      </c>
    </row>
    <row r="706">
      <c r="A706" s="35" t="inlineStr">
        <is>
          <t>LN100705</t>
        </is>
      </c>
      <c r="B706" s="35" t="inlineStr">
        <is>
          <t>Pooja Gupta</t>
        </is>
      </c>
      <c r="C706" s="35" t="inlineStr">
        <is>
          <t>HYD-01</t>
        </is>
      </c>
      <c r="D706" s="36">
        <f>INDEX(Branches!$C$2:$C$15,MATCH(C706,Branches!$A$2:$A$15,0))</f>
        <v/>
      </c>
      <c r="E706" s="35" t="inlineStr">
        <is>
          <t>Gold Loan</t>
        </is>
      </c>
      <c r="F706" s="37" t="n">
        <v>46065</v>
      </c>
      <c r="G706" s="38" t="n">
        <v>368000</v>
      </c>
      <c r="H706" s="39" t="n">
        <v>0.1031</v>
      </c>
      <c r="I706" s="35" t="n">
        <v>12</v>
      </c>
      <c r="J706" s="35" t="n">
        <v>741</v>
      </c>
      <c r="K706" s="35" t="n">
        <v>0</v>
      </c>
      <c r="L706" s="40">
        <f>ROUND(PMT(H706/12,I706,-G706),0)</f>
        <v/>
      </c>
      <c r="M706" s="41">
        <f>MAX(0,(YEAR(AsOfDate)-YEAR(F706))*12+MONTH(AsOfDate)-MONTH(F706))</f>
        <v/>
      </c>
      <c r="N706" s="41">
        <f>MAX(0,MIN(I706,M706)-INT(K706/30))</f>
        <v/>
      </c>
      <c r="O706" s="40">
        <f>IF(N706&gt;=I706,0,ROUND(PV(H706/12,I706-N706,-L706),0))</f>
        <v/>
      </c>
      <c r="P706" s="40">
        <f>MIN(I706,M706)*L706-N706*L706</f>
        <v/>
      </c>
      <c r="Q706" s="41">
        <f>INDEX(DPD_Bucket,MATCH(K706,DPD_From,1))</f>
        <v/>
      </c>
      <c r="R706" s="41">
        <f>INDEX(DPD_Class,MATCH(K706,DPD_From,1))</f>
        <v/>
      </c>
      <c r="S706" s="41">
        <f>INDEX(DPD_NPA,MATCH(K706,DPD_From,1))</f>
        <v/>
      </c>
      <c r="T706" s="42">
        <f>INDEX(DPD_Prov,MATCH(K706,DPD_From,1))</f>
        <v/>
      </c>
      <c r="U706" s="40">
        <f>ROUND(O706*T706,0)</f>
        <v/>
      </c>
      <c r="V706" s="41">
        <f>INDEX(CIBIL_Grade,MATCH(J706,CIBIL_From,1))</f>
        <v/>
      </c>
      <c r="W706" s="41">
        <f>YEAR(F706)&amp;"-Q"&amp;ROUNDUP(MONTH(F706)/3,0)</f>
        <v/>
      </c>
      <c r="X706" s="41">
        <f>IF(AND(OR(Dashboard!$C$4="All",D706=Dashboard!$C$4),OR(Dashboard!$C$5="All",E706=Dashboard!$C$5)),1,0)</f>
        <v/>
      </c>
      <c r="Y706" s="43">
        <f>IF(AND(X706=1,S706="Yes"),O706+ROW()/1000000,0)</f>
        <v/>
      </c>
    </row>
    <row r="707">
      <c r="A707" s="35" t="inlineStr">
        <is>
          <t>LN100706</t>
        </is>
      </c>
      <c r="B707" s="35" t="inlineStr">
        <is>
          <t>Farhan Kulkarni</t>
        </is>
      </c>
      <c r="C707" s="35" t="inlineStr">
        <is>
          <t>DEL-01</t>
        </is>
      </c>
      <c r="D707" s="36">
        <f>INDEX(Branches!$C$2:$C$15,MATCH(C707,Branches!$A$2:$A$15,0))</f>
        <v/>
      </c>
      <c r="E707" s="35" t="inlineStr">
        <is>
          <t>Gold Loan</t>
        </is>
      </c>
      <c r="F707" s="37" t="n">
        <v>46090</v>
      </c>
      <c r="G707" s="38" t="n">
        <v>256000</v>
      </c>
      <c r="H707" s="39" t="n">
        <v>0.0934</v>
      </c>
      <c r="I707" s="35" t="n">
        <v>12</v>
      </c>
      <c r="J707" s="35" t="n">
        <v>752</v>
      </c>
      <c r="K707" s="35" t="n">
        <v>0</v>
      </c>
      <c r="L707" s="40">
        <f>ROUND(PMT(H707/12,I707,-G707),0)</f>
        <v/>
      </c>
      <c r="M707" s="41">
        <f>MAX(0,(YEAR(AsOfDate)-YEAR(F707))*12+MONTH(AsOfDate)-MONTH(F707))</f>
        <v/>
      </c>
      <c r="N707" s="41">
        <f>MAX(0,MIN(I707,M707)-INT(K707/30))</f>
        <v/>
      </c>
      <c r="O707" s="40">
        <f>IF(N707&gt;=I707,0,ROUND(PV(H707/12,I707-N707,-L707),0))</f>
        <v/>
      </c>
      <c r="P707" s="40">
        <f>MIN(I707,M707)*L707-N707*L707</f>
        <v/>
      </c>
      <c r="Q707" s="41">
        <f>INDEX(DPD_Bucket,MATCH(K707,DPD_From,1))</f>
        <v/>
      </c>
      <c r="R707" s="41">
        <f>INDEX(DPD_Class,MATCH(K707,DPD_From,1))</f>
        <v/>
      </c>
      <c r="S707" s="41">
        <f>INDEX(DPD_NPA,MATCH(K707,DPD_From,1))</f>
        <v/>
      </c>
      <c r="T707" s="42">
        <f>INDEX(DPD_Prov,MATCH(K707,DPD_From,1))</f>
        <v/>
      </c>
      <c r="U707" s="40">
        <f>ROUND(O707*T707,0)</f>
        <v/>
      </c>
      <c r="V707" s="41">
        <f>INDEX(CIBIL_Grade,MATCH(J707,CIBIL_From,1))</f>
        <v/>
      </c>
      <c r="W707" s="41">
        <f>YEAR(F707)&amp;"-Q"&amp;ROUNDUP(MONTH(F707)/3,0)</f>
        <v/>
      </c>
      <c r="X707" s="41">
        <f>IF(AND(OR(Dashboard!$C$4="All",D707=Dashboard!$C$4),OR(Dashboard!$C$5="All",E707=Dashboard!$C$5)),1,0)</f>
        <v/>
      </c>
      <c r="Y707" s="43">
        <f>IF(AND(X707=1,S707="Yes"),O707+ROW()/1000000,0)</f>
        <v/>
      </c>
    </row>
    <row r="708">
      <c r="A708" s="35" t="inlineStr">
        <is>
          <t>LN100707</t>
        </is>
      </c>
      <c r="B708" s="35" t="inlineStr">
        <is>
          <t>Tanvi Patel</t>
        </is>
      </c>
      <c r="C708" s="35" t="inlineStr">
        <is>
          <t>BBS-01</t>
        </is>
      </c>
      <c r="D708" s="36">
        <f>INDEX(Branches!$C$2:$C$15,MATCH(C708,Branches!$A$2:$A$15,0))</f>
        <v/>
      </c>
      <c r="E708" s="35" t="inlineStr">
        <is>
          <t>Business Loan</t>
        </is>
      </c>
      <c r="F708" s="37" t="n">
        <v>45920</v>
      </c>
      <c r="G708" s="38" t="n">
        <v>2789000</v>
      </c>
      <c r="H708" s="39" t="n">
        <v>0.1491</v>
      </c>
      <c r="I708" s="35" t="n">
        <v>24</v>
      </c>
      <c r="J708" s="35" t="n">
        <v>713</v>
      </c>
      <c r="K708" s="35" t="n">
        <v>0</v>
      </c>
      <c r="L708" s="40">
        <f>ROUND(PMT(H708/12,I708,-G708),0)</f>
        <v/>
      </c>
      <c r="M708" s="41">
        <f>MAX(0,(YEAR(AsOfDate)-YEAR(F708))*12+MONTH(AsOfDate)-MONTH(F708))</f>
        <v/>
      </c>
      <c r="N708" s="41">
        <f>MAX(0,MIN(I708,M708)-INT(K708/30))</f>
        <v/>
      </c>
      <c r="O708" s="40">
        <f>IF(N708&gt;=I708,0,ROUND(PV(H708/12,I708-N708,-L708),0))</f>
        <v/>
      </c>
      <c r="P708" s="40">
        <f>MIN(I708,M708)*L708-N708*L708</f>
        <v/>
      </c>
      <c r="Q708" s="41">
        <f>INDEX(DPD_Bucket,MATCH(K708,DPD_From,1))</f>
        <v/>
      </c>
      <c r="R708" s="41">
        <f>INDEX(DPD_Class,MATCH(K708,DPD_From,1))</f>
        <v/>
      </c>
      <c r="S708" s="41">
        <f>INDEX(DPD_NPA,MATCH(K708,DPD_From,1))</f>
        <v/>
      </c>
      <c r="T708" s="42">
        <f>INDEX(DPD_Prov,MATCH(K708,DPD_From,1))</f>
        <v/>
      </c>
      <c r="U708" s="40">
        <f>ROUND(O708*T708,0)</f>
        <v/>
      </c>
      <c r="V708" s="41">
        <f>INDEX(CIBIL_Grade,MATCH(J708,CIBIL_From,1))</f>
        <v/>
      </c>
      <c r="W708" s="41">
        <f>YEAR(F708)&amp;"-Q"&amp;ROUNDUP(MONTH(F708)/3,0)</f>
        <v/>
      </c>
      <c r="X708" s="41">
        <f>IF(AND(OR(Dashboard!$C$4="All",D708=Dashboard!$C$4),OR(Dashboard!$C$5="All",E708=Dashboard!$C$5)),1,0)</f>
        <v/>
      </c>
      <c r="Y708" s="43">
        <f>IF(AND(X708=1,S708="Yes"),O708+ROW()/1000000,0)</f>
        <v/>
      </c>
    </row>
    <row r="709">
      <c r="A709" s="35" t="inlineStr">
        <is>
          <t>LN100708</t>
        </is>
      </c>
      <c r="B709" s="35" t="inlineStr">
        <is>
          <t>Karthik Patel</t>
        </is>
      </c>
      <c r="C709" s="35" t="inlineStr">
        <is>
          <t>AMD-01</t>
        </is>
      </c>
      <c r="D709" s="36">
        <f>INDEX(Branches!$C$2:$C$15,MATCH(C709,Branches!$A$2:$A$15,0))</f>
        <v/>
      </c>
      <c r="E709" s="35" t="inlineStr">
        <is>
          <t>Gold Loan</t>
        </is>
      </c>
      <c r="F709" s="37" t="n">
        <v>46165</v>
      </c>
      <c r="G709" s="38" t="n">
        <v>464000</v>
      </c>
      <c r="H709" s="39" t="n">
        <v>0.0974</v>
      </c>
      <c r="I709" s="35" t="n">
        <v>6</v>
      </c>
      <c r="J709" s="35" t="n">
        <v>765</v>
      </c>
      <c r="K709" s="35" t="n">
        <v>0</v>
      </c>
      <c r="L709" s="40">
        <f>ROUND(PMT(H709/12,I709,-G709),0)</f>
        <v/>
      </c>
      <c r="M709" s="41">
        <f>MAX(0,(YEAR(AsOfDate)-YEAR(F709))*12+MONTH(AsOfDate)-MONTH(F709))</f>
        <v/>
      </c>
      <c r="N709" s="41">
        <f>MAX(0,MIN(I709,M709)-INT(K709/30))</f>
        <v/>
      </c>
      <c r="O709" s="40">
        <f>IF(N709&gt;=I709,0,ROUND(PV(H709/12,I709-N709,-L709),0))</f>
        <v/>
      </c>
      <c r="P709" s="40">
        <f>MIN(I709,M709)*L709-N709*L709</f>
        <v/>
      </c>
      <c r="Q709" s="41">
        <f>INDEX(DPD_Bucket,MATCH(K709,DPD_From,1))</f>
        <v/>
      </c>
      <c r="R709" s="41">
        <f>INDEX(DPD_Class,MATCH(K709,DPD_From,1))</f>
        <v/>
      </c>
      <c r="S709" s="41">
        <f>INDEX(DPD_NPA,MATCH(K709,DPD_From,1))</f>
        <v/>
      </c>
      <c r="T709" s="42">
        <f>INDEX(DPD_Prov,MATCH(K709,DPD_From,1))</f>
        <v/>
      </c>
      <c r="U709" s="40">
        <f>ROUND(O709*T709,0)</f>
        <v/>
      </c>
      <c r="V709" s="41">
        <f>INDEX(CIBIL_Grade,MATCH(J709,CIBIL_From,1))</f>
        <v/>
      </c>
      <c r="W709" s="41">
        <f>YEAR(F709)&amp;"-Q"&amp;ROUNDUP(MONTH(F709)/3,0)</f>
        <v/>
      </c>
      <c r="X709" s="41">
        <f>IF(AND(OR(Dashboard!$C$4="All",D709=Dashboard!$C$4),OR(Dashboard!$C$5="All",E709=Dashboard!$C$5)),1,0)</f>
        <v/>
      </c>
      <c r="Y709" s="43">
        <f>IF(AND(X709=1,S709="Yes"),O709+ROW()/1000000,0)</f>
        <v/>
      </c>
    </row>
    <row r="710">
      <c r="A710" s="35" t="inlineStr">
        <is>
          <t>LN100709</t>
        </is>
      </c>
      <c r="B710" s="35" t="inlineStr">
        <is>
          <t>Kavya Menon</t>
        </is>
      </c>
      <c r="C710" s="35" t="inlineStr">
        <is>
          <t>JAI-01</t>
        </is>
      </c>
      <c r="D710" s="36">
        <f>INDEX(Branches!$C$2:$C$15,MATCH(C710,Branches!$A$2:$A$15,0))</f>
        <v/>
      </c>
      <c r="E710" s="35" t="inlineStr">
        <is>
          <t>Personal Loan</t>
        </is>
      </c>
      <c r="F710" s="37" t="n">
        <v>45500</v>
      </c>
      <c r="G710" s="38" t="n">
        <v>1401000</v>
      </c>
      <c r="H710" s="39" t="n">
        <v>0.113</v>
      </c>
      <c r="I710" s="35" t="n">
        <v>12</v>
      </c>
      <c r="J710" s="35" t="n">
        <v>817</v>
      </c>
      <c r="K710" s="35" t="n">
        <v>0</v>
      </c>
      <c r="L710" s="40">
        <f>ROUND(PMT(H710/12,I710,-G710),0)</f>
        <v/>
      </c>
      <c r="M710" s="41">
        <f>MAX(0,(YEAR(AsOfDate)-YEAR(F710))*12+MONTH(AsOfDate)-MONTH(F710))</f>
        <v/>
      </c>
      <c r="N710" s="41">
        <f>MAX(0,MIN(I710,M710)-INT(K710/30))</f>
        <v/>
      </c>
      <c r="O710" s="40">
        <f>IF(N710&gt;=I710,0,ROUND(PV(H710/12,I710-N710,-L710),0))</f>
        <v/>
      </c>
      <c r="P710" s="40">
        <f>MIN(I710,M710)*L710-N710*L710</f>
        <v/>
      </c>
      <c r="Q710" s="41">
        <f>INDEX(DPD_Bucket,MATCH(K710,DPD_From,1))</f>
        <v/>
      </c>
      <c r="R710" s="41">
        <f>INDEX(DPD_Class,MATCH(K710,DPD_From,1))</f>
        <v/>
      </c>
      <c r="S710" s="41">
        <f>INDEX(DPD_NPA,MATCH(K710,DPD_From,1))</f>
        <v/>
      </c>
      <c r="T710" s="42">
        <f>INDEX(DPD_Prov,MATCH(K710,DPD_From,1))</f>
        <v/>
      </c>
      <c r="U710" s="40">
        <f>ROUND(O710*T710,0)</f>
        <v/>
      </c>
      <c r="V710" s="41">
        <f>INDEX(CIBIL_Grade,MATCH(J710,CIBIL_From,1))</f>
        <v/>
      </c>
      <c r="W710" s="41">
        <f>YEAR(F710)&amp;"-Q"&amp;ROUNDUP(MONTH(F710)/3,0)</f>
        <v/>
      </c>
      <c r="X710" s="41">
        <f>IF(AND(OR(Dashboard!$C$4="All",D710=Dashboard!$C$4),OR(Dashboard!$C$5="All",E710=Dashboard!$C$5)),1,0)</f>
        <v/>
      </c>
      <c r="Y710" s="43">
        <f>IF(AND(X710=1,S710="Yes"),O710+ROW()/1000000,0)</f>
        <v/>
      </c>
    </row>
    <row r="711">
      <c r="A711" s="35" t="inlineStr">
        <is>
          <t>LN100710</t>
        </is>
      </c>
      <c r="B711" s="35" t="inlineStr">
        <is>
          <t>Farhan Pillai</t>
        </is>
      </c>
      <c r="C711" s="35" t="inlineStr">
        <is>
          <t>DEL-01</t>
        </is>
      </c>
      <c r="D711" s="36">
        <f>INDEX(Branches!$C$2:$C$15,MATCH(C711,Branches!$A$2:$A$15,0))</f>
        <v/>
      </c>
      <c r="E711" s="35" t="inlineStr">
        <is>
          <t>Auto Loan</t>
        </is>
      </c>
      <c r="F711" s="37" t="n">
        <v>46007</v>
      </c>
      <c r="G711" s="38" t="n">
        <v>1405000</v>
      </c>
      <c r="H711" s="39" t="n">
        <v>0.0973</v>
      </c>
      <c r="I711" s="35" t="n">
        <v>36</v>
      </c>
      <c r="J711" s="35" t="n">
        <v>748</v>
      </c>
      <c r="K711" s="35" t="n">
        <v>0</v>
      </c>
      <c r="L711" s="40">
        <f>ROUND(PMT(H711/12,I711,-G711),0)</f>
        <v/>
      </c>
      <c r="M711" s="41">
        <f>MAX(0,(YEAR(AsOfDate)-YEAR(F711))*12+MONTH(AsOfDate)-MONTH(F711))</f>
        <v/>
      </c>
      <c r="N711" s="41">
        <f>MAX(0,MIN(I711,M711)-INT(K711/30))</f>
        <v/>
      </c>
      <c r="O711" s="40">
        <f>IF(N711&gt;=I711,0,ROUND(PV(H711/12,I711-N711,-L711),0))</f>
        <v/>
      </c>
      <c r="P711" s="40">
        <f>MIN(I711,M711)*L711-N711*L711</f>
        <v/>
      </c>
      <c r="Q711" s="41">
        <f>INDEX(DPD_Bucket,MATCH(K711,DPD_From,1))</f>
        <v/>
      </c>
      <c r="R711" s="41">
        <f>INDEX(DPD_Class,MATCH(K711,DPD_From,1))</f>
        <v/>
      </c>
      <c r="S711" s="41">
        <f>INDEX(DPD_NPA,MATCH(K711,DPD_From,1))</f>
        <v/>
      </c>
      <c r="T711" s="42">
        <f>INDEX(DPD_Prov,MATCH(K711,DPD_From,1))</f>
        <v/>
      </c>
      <c r="U711" s="40">
        <f>ROUND(O711*T711,0)</f>
        <v/>
      </c>
      <c r="V711" s="41">
        <f>INDEX(CIBIL_Grade,MATCH(J711,CIBIL_From,1))</f>
        <v/>
      </c>
      <c r="W711" s="41">
        <f>YEAR(F711)&amp;"-Q"&amp;ROUNDUP(MONTH(F711)/3,0)</f>
        <v/>
      </c>
      <c r="X711" s="41">
        <f>IF(AND(OR(Dashboard!$C$4="All",D711=Dashboard!$C$4),OR(Dashboard!$C$5="All",E711=Dashboard!$C$5)),1,0)</f>
        <v/>
      </c>
      <c r="Y711" s="43">
        <f>IF(AND(X711=1,S711="Yes"),O711+ROW()/1000000,0)</f>
        <v/>
      </c>
    </row>
    <row r="712">
      <c r="A712" s="35" t="inlineStr">
        <is>
          <t>LN100711</t>
        </is>
      </c>
      <c r="B712" s="35" t="inlineStr">
        <is>
          <t>Zoya Mishra</t>
        </is>
      </c>
      <c r="C712" s="35" t="inlineStr">
        <is>
          <t>HYD-01</t>
        </is>
      </c>
      <c r="D712" s="36">
        <f>INDEX(Branches!$C$2:$C$15,MATCH(C712,Branches!$A$2:$A$15,0))</f>
        <v/>
      </c>
      <c r="E712" s="35" t="inlineStr">
        <is>
          <t>Personal Loan</t>
        </is>
      </c>
      <c r="F712" s="37" t="n">
        <v>46084</v>
      </c>
      <c r="G712" s="38" t="n">
        <v>396000</v>
      </c>
      <c r="H712" s="39" t="n">
        <v>0.1087</v>
      </c>
      <c r="I712" s="35" t="n">
        <v>36</v>
      </c>
      <c r="J712" s="35" t="n">
        <v>659</v>
      </c>
      <c r="K712" s="35" t="n">
        <v>0</v>
      </c>
      <c r="L712" s="40">
        <f>ROUND(PMT(H712/12,I712,-G712),0)</f>
        <v/>
      </c>
      <c r="M712" s="41">
        <f>MAX(0,(YEAR(AsOfDate)-YEAR(F712))*12+MONTH(AsOfDate)-MONTH(F712))</f>
        <v/>
      </c>
      <c r="N712" s="41">
        <f>MAX(0,MIN(I712,M712)-INT(K712/30))</f>
        <v/>
      </c>
      <c r="O712" s="40">
        <f>IF(N712&gt;=I712,0,ROUND(PV(H712/12,I712-N712,-L712),0))</f>
        <v/>
      </c>
      <c r="P712" s="40">
        <f>MIN(I712,M712)*L712-N712*L712</f>
        <v/>
      </c>
      <c r="Q712" s="41">
        <f>INDEX(DPD_Bucket,MATCH(K712,DPD_From,1))</f>
        <v/>
      </c>
      <c r="R712" s="41">
        <f>INDEX(DPD_Class,MATCH(K712,DPD_From,1))</f>
        <v/>
      </c>
      <c r="S712" s="41">
        <f>INDEX(DPD_NPA,MATCH(K712,DPD_From,1))</f>
        <v/>
      </c>
      <c r="T712" s="42">
        <f>INDEX(DPD_Prov,MATCH(K712,DPD_From,1))</f>
        <v/>
      </c>
      <c r="U712" s="40">
        <f>ROUND(O712*T712,0)</f>
        <v/>
      </c>
      <c r="V712" s="41">
        <f>INDEX(CIBIL_Grade,MATCH(J712,CIBIL_From,1))</f>
        <v/>
      </c>
      <c r="W712" s="41">
        <f>YEAR(F712)&amp;"-Q"&amp;ROUNDUP(MONTH(F712)/3,0)</f>
        <v/>
      </c>
      <c r="X712" s="41">
        <f>IF(AND(OR(Dashboard!$C$4="All",D712=Dashboard!$C$4),OR(Dashboard!$C$5="All",E712=Dashboard!$C$5)),1,0)</f>
        <v/>
      </c>
      <c r="Y712" s="43">
        <f>IF(AND(X712=1,S712="Yes"),O712+ROW()/1000000,0)</f>
        <v/>
      </c>
    </row>
    <row r="713">
      <c r="A713" s="35" t="inlineStr">
        <is>
          <t>LN100712</t>
        </is>
      </c>
      <c r="B713" s="35" t="inlineStr">
        <is>
          <t>Rohan Sahoo</t>
        </is>
      </c>
      <c r="C713" s="35" t="inlineStr">
        <is>
          <t>AMD-01</t>
        </is>
      </c>
      <c r="D713" s="36">
        <f>INDEX(Branches!$C$2:$C$15,MATCH(C713,Branches!$A$2:$A$15,0))</f>
        <v/>
      </c>
      <c r="E713" s="35" t="inlineStr">
        <is>
          <t>Personal Loan</t>
        </is>
      </c>
      <c r="F713" s="37" t="n">
        <v>46060</v>
      </c>
      <c r="G713" s="38" t="n">
        <v>230000</v>
      </c>
      <c r="H713" s="39" t="n">
        <v>0.1241</v>
      </c>
      <c r="I713" s="35" t="n">
        <v>36</v>
      </c>
      <c r="J713" s="35" t="n">
        <v>622</v>
      </c>
      <c r="K713" s="35" t="n">
        <v>0</v>
      </c>
      <c r="L713" s="40">
        <f>ROUND(PMT(H713/12,I713,-G713),0)</f>
        <v/>
      </c>
      <c r="M713" s="41">
        <f>MAX(0,(YEAR(AsOfDate)-YEAR(F713))*12+MONTH(AsOfDate)-MONTH(F713))</f>
        <v/>
      </c>
      <c r="N713" s="41">
        <f>MAX(0,MIN(I713,M713)-INT(K713/30))</f>
        <v/>
      </c>
      <c r="O713" s="40">
        <f>IF(N713&gt;=I713,0,ROUND(PV(H713/12,I713-N713,-L713),0))</f>
        <v/>
      </c>
      <c r="P713" s="40">
        <f>MIN(I713,M713)*L713-N713*L713</f>
        <v/>
      </c>
      <c r="Q713" s="41">
        <f>INDEX(DPD_Bucket,MATCH(K713,DPD_From,1))</f>
        <v/>
      </c>
      <c r="R713" s="41">
        <f>INDEX(DPD_Class,MATCH(K713,DPD_From,1))</f>
        <v/>
      </c>
      <c r="S713" s="41">
        <f>INDEX(DPD_NPA,MATCH(K713,DPD_From,1))</f>
        <v/>
      </c>
      <c r="T713" s="42">
        <f>INDEX(DPD_Prov,MATCH(K713,DPD_From,1))</f>
        <v/>
      </c>
      <c r="U713" s="40">
        <f>ROUND(O713*T713,0)</f>
        <v/>
      </c>
      <c r="V713" s="41">
        <f>INDEX(CIBIL_Grade,MATCH(J713,CIBIL_From,1))</f>
        <v/>
      </c>
      <c r="W713" s="41">
        <f>YEAR(F713)&amp;"-Q"&amp;ROUNDUP(MONTH(F713)/3,0)</f>
        <v/>
      </c>
      <c r="X713" s="41">
        <f>IF(AND(OR(Dashboard!$C$4="All",D713=Dashboard!$C$4),OR(Dashboard!$C$5="All",E713=Dashboard!$C$5)),1,0)</f>
        <v/>
      </c>
      <c r="Y713" s="43">
        <f>IF(AND(X713=1,S713="Yes"),O713+ROW()/1000000,0)</f>
        <v/>
      </c>
    </row>
    <row r="714">
      <c r="A714" s="35" t="inlineStr">
        <is>
          <t>LN100713</t>
        </is>
      </c>
      <c r="B714" s="35" t="inlineStr">
        <is>
          <t>Kavya Singh</t>
        </is>
      </c>
      <c r="C714" s="35" t="inlineStr">
        <is>
          <t>KOL-01</t>
        </is>
      </c>
      <c r="D714" s="36">
        <f>INDEX(Branches!$C$2:$C$15,MATCH(C714,Branches!$A$2:$A$15,0))</f>
        <v/>
      </c>
      <c r="E714" s="35" t="inlineStr">
        <is>
          <t>Auto Loan</t>
        </is>
      </c>
      <c r="F714" s="37" t="n">
        <v>45991</v>
      </c>
      <c r="G714" s="38" t="n">
        <v>1604000</v>
      </c>
      <c r="H714" s="39" t="n">
        <v>0.1093</v>
      </c>
      <c r="I714" s="35" t="n">
        <v>84</v>
      </c>
      <c r="J714" s="35" t="n">
        <v>772</v>
      </c>
      <c r="K714" s="35" t="n">
        <v>0</v>
      </c>
      <c r="L714" s="40">
        <f>ROUND(PMT(H714/12,I714,-G714),0)</f>
        <v/>
      </c>
      <c r="M714" s="41">
        <f>MAX(0,(YEAR(AsOfDate)-YEAR(F714))*12+MONTH(AsOfDate)-MONTH(F714))</f>
        <v/>
      </c>
      <c r="N714" s="41">
        <f>MAX(0,MIN(I714,M714)-INT(K714/30))</f>
        <v/>
      </c>
      <c r="O714" s="40">
        <f>IF(N714&gt;=I714,0,ROUND(PV(H714/12,I714-N714,-L714),0))</f>
        <v/>
      </c>
      <c r="P714" s="40">
        <f>MIN(I714,M714)*L714-N714*L714</f>
        <v/>
      </c>
      <c r="Q714" s="41">
        <f>INDEX(DPD_Bucket,MATCH(K714,DPD_From,1))</f>
        <v/>
      </c>
      <c r="R714" s="41">
        <f>INDEX(DPD_Class,MATCH(K714,DPD_From,1))</f>
        <v/>
      </c>
      <c r="S714" s="41">
        <f>INDEX(DPD_NPA,MATCH(K714,DPD_From,1))</f>
        <v/>
      </c>
      <c r="T714" s="42">
        <f>INDEX(DPD_Prov,MATCH(K714,DPD_From,1))</f>
        <v/>
      </c>
      <c r="U714" s="40">
        <f>ROUND(O714*T714,0)</f>
        <v/>
      </c>
      <c r="V714" s="41">
        <f>INDEX(CIBIL_Grade,MATCH(J714,CIBIL_From,1))</f>
        <v/>
      </c>
      <c r="W714" s="41">
        <f>YEAR(F714)&amp;"-Q"&amp;ROUNDUP(MONTH(F714)/3,0)</f>
        <v/>
      </c>
      <c r="X714" s="41">
        <f>IF(AND(OR(Dashboard!$C$4="All",D714=Dashboard!$C$4),OR(Dashboard!$C$5="All",E714=Dashboard!$C$5)),1,0)</f>
        <v/>
      </c>
      <c r="Y714" s="43">
        <f>IF(AND(X714=1,S714="Yes"),O714+ROW()/1000000,0)</f>
        <v/>
      </c>
    </row>
    <row r="715">
      <c r="A715" s="35" t="inlineStr">
        <is>
          <t>LN100714</t>
        </is>
      </c>
      <c r="B715" s="35" t="inlineStr">
        <is>
          <t>Harsh Singh</t>
        </is>
      </c>
      <c r="C715" s="35" t="inlineStr">
        <is>
          <t>KOL-01</t>
        </is>
      </c>
      <c r="D715" s="36">
        <f>INDEX(Branches!$C$2:$C$15,MATCH(C715,Branches!$A$2:$A$15,0))</f>
        <v/>
      </c>
      <c r="E715" s="35" t="inlineStr">
        <is>
          <t>Home Loan</t>
        </is>
      </c>
      <c r="F715" s="37" t="n">
        <v>45288</v>
      </c>
      <c r="G715" s="38" t="n">
        <v>9846000</v>
      </c>
      <c r="H715" s="39" t="n">
        <v>0.089</v>
      </c>
      <c r="I715" s="35" t="n">
        <v>180</v>
      </c>
      <c r="J715" s="35" t="n">
        <v>739</v>
      </c>
      <c r="K715" s="35" t="n">
        <v>0</v>
      </c>
      <c r="L715" s="40">
        <f>ROUND(PMT(H715/12,I715,-G715),0)</f>
        <v/>
      </c>
      <c r="M715" s="41">
        <f>MAX(0,(YEAR(AsOfDate)-YEAR(F715))*12+MONTH(AsOfDate)-MONTH(F715))</f>
        <v/>
      </c>
      <c r="N715" s="41">
        <f>MAX(0,MIN(I715,M715)-INT(K715/30))</f>
        <v/>
      </c>
      <c r="O715" s="40">
        <f>IF(N715&gt;=I715,0,ROUND(PV(H715/12,I715-N715,-L715),0))</f>
        <v/>
      </c>
      <c r="P715" s="40">
        <f>MIN(I715,M715)*L715-N715*L715</f>
        <v/>
      </c>
      <c r="Q715" s="41">
        <f>INDEX(DPD_Bucket,MATCH(K715,DPD_From,1))</f>
        <v/>
      </c>
      <c r="R715" s="41">
        <f>INDEX(DPD_Class,MATCH(K715,DPD_From,1))</f>
        <v/>
      </c>
      <c r="S715" s="41">
        <f>INDEX(DPD_NPA,MATCH(K715,DPD_From,1))</f>
        <v/>
      </c>
      <c r="T715" s="42">
        <f>INDEX(DPD_Prov,MATCH(K715,DPD_From,1))</f>
        <v/>
      </c>
      <c r="U715" s="40">
        <f>ROUND(O715*T715,0)</f>
        <v/>
      </c>
      <c r="V715" s="41">
        <f>INDEX(CIBIL_Grade,MATCH(J715,CIBIL_From,1))</f>
        <v/>
      </c>
      <c r="W715" s="41">
        <f>YEAR(F715)&amp;"-Q"&amp;ROUNDUP(MONTH(F715)/3,0)</f>
        <v/>
      </c>
      <c r="X715" s="41">
        <f>IF(AND(OR(Dashboard!$C$4="All",D715=Dashboard!$C$4),OR(Dashboard!$C$5="All",E715=Dashboard!$C$5)),1,0)</f>
        <v/>
      </c>
      <c r="Y715" s="43">
        <f>IF(AND(X715=1,S715="Yes"),O715+ROW()/1000000,0)</f>
        <v/>
      </c>
    </row>
    <row r="716">
      <c r="A716" s="35" t="inlineStr">
        <is>
          <t>LN100715</t>
        </is>
      </c>
      <c r="B716" s="35" t="inlineStr">
        <is>
          <t>Ananya Mishra</t>
        </is>
      </c>
      <c r="C716" s="35" t="inlineStr">
        <is>
          <t>JAI-01</t>
        </is>
      </c>
      <c r="D716" s="36">
        <f>INDEX(Branches!$C$2:$C$15,MATCH(C716,Branches!$A$2:$A$15,0))</f>
        <v/>
      </c>
      <c r="E716" s="35" t="inlineStr">
        <is>
          <t>Home Loan</t>
        </is>
      </c>
      <c r="F716" s="37" t="n">
        <v>45124</v>
      </c>
      <c r="G716" s="38" t="n">
        <v>7500000</v>
      </c>
      <c r="H716" s="39" t="n">
        <v>0.0946</v>
      </c>
      <c r="I716" s="35" t="n">
        <v>180</v>
      </c>
      <c r="J716" s="35" t="n">
        <v>753</v>
      </c>
      <c r="K716" s="35" t="n">
        <v>0</v>
      </c>
      <c r="L716" s="40">
        <f>ROUND(PMT(H716/12,I716,-G716),0)</f>
        <v/>
      </c>
      <c r="M716" s="41">
        <f>MAX(0,(YEAR(AsOfDate)-YEAR(F716))*12+MONTH(AsOfDate)-MONTH(F716))</f>
        <v/>
      </c>
      <c r="N716" s="41">
        <f>MAX(0,MIN(I716,M716)-INT(K716/30))</f>
        <v/>
      </c>
      <c r="O716" s="40">
        <f>IF(N716&gt;=I716,0,ROUND(PV(H716/12,I716-N716,-L716),0))</f>
        <v/>
      </c>
      <c r="P716" s="40">
        <f>MIN(I716,M716)*L716-N716*L716</f>
        <v/>
      </c>
      <c r="Q716" s="41">
        <f>INDEX(DPD_Bucket,MATCH(K716,DPD_From,1))</f>
        <v/>
      </c>
      <c r="R716" s="41">
        <f>INDEX(DPD_Class,MATCH(K716,DPD_From,1))</f>
        <v/>
      </c>
      <c r="S716" s="41">
        <f>INDEX(DPD_NPA,MATCH(K716,DPD_From,1))</f>
        <v/>
      </c>
      <c r="T716" s="42">
        <f>INDEX(DPD_Prov,MATCH(K716,DPD_From,1))</f>
        <v/>
      </c>
      <c r="U716" s="40">
        <f>ROUND(O716*T716,0)</f>
        <v/>
      </c>
      <c r="V716" s="41">
        <f>INDEX(CIBIL_Grade,MATCH(J716,CIBIL_From,1))</f>
        <v/>
      </c>
      <c r="W716" s="41">
        <f>YEAR(F716)&amp;"-Q"&amp;ROUNDUP(MONTH(F716)/3,0)</f>
        <v/>
      </c>
      <c r="X716" s="41">
        <f>IF(AND(OR(Dashboard!$C$4="All",D716=Dashboard!$C$4),OR(Dashboard!$C$5="All",E716=Dashboard!$C$5)),1,0)</f>
        <v/>
      </c>
      <c r="Y716" s="43">
        <f>IF(AND(X716=1,S716="Yes"),O716+ROW()/1000000,0)</f>
        <v/>
      </c>
    </row>
    <row r="717">
      <c r="A717" s="35" t="inlineStr">
        <is>
          <t>LN100716</t>
        </is>
      </c>
      <c r="B717" s="35" t="inlineStr">
        <is>
          <t>Aditya Verma</t>
        </is>
      </c>
      <c r="C717" s="35" t="inlineStr">
        <is>
          <t>LKO-01</t>
        </is>
      </c>
      <c r="D717" s="36">
        <f>INDEX(Branches!$C$2:$C$15,MATCH(C717,Branches!$A$2:$A$15,0))</f>
        <v/>
      </c>
      <c r="E717" s="35" t="inlineStr">
        <is>
          <t>Business Loan</t>
        </is>
      </c>
      <c r="F717" s="37" t="n">
        <v>45284</v>
      </c>
      <c r="G717" s="38" t="n">
        <v>2038000</v>
      </c>
      <c r="H717" s="39" t="n">
        <v>0.1624</v>
      </c>
      <c r="I717" s="35" t="n">
        <v>24</v>
      </c>
      <c r="J717" s="35" t="n">
        <v>791</v>
      </c>
      <c r="K717" s="35" t="n">
        <v>0</v>
      </c>
      <c r="L717" s="40">
        <f>ROUND(PMT(H717/12,I717,-G717),0)</f>
        <v/>
      </c>
      <c r="M717" s="41">
        <f>MAX(0,(YEAR(AsOfDate)-YEAR(F717))*12+MONTH(AsOfDate)-MONTH(F717))</f>
        <v/>
      </c>
      <c r="N717" s="41">
        <f>MAX(0,MIN(I717,M717)-INT(K717/30))</f>
        <v/>
      </c>
      <c r="O717" s="40">
        <f>IF(N717&gt;=I717,0,ROUND(PV(H717/12,I717-N717,-L717),0))</f>
        <v/>
      </c>
      <c r="P717" s="40">
        <f>MIN(I717,M717)*L717-N717*L717</f>
        <v/>
      </c>
      <c r="Q717" s="41">
        <f>INDEX(DPD_Bucket,MATCH(K717,DPD_From,1))</f>
        <v/>
      </c>
      <c r="R717" s="41">
        <f>INDEX(DPD_Class,MATCH(K717,DPD_From,1))</f>
        <v/>
      </c>
      <c r="S717" s="41">
        <f>INDEX(DPD_NPA,MATCH(K717,DPD_From,1))</f>
        <v/>
      </c>
      <c r="T717" s="42">
        <f>INDEX(DPD_Prov,MATCH(K717,DPD_From,1))</f>
        <v/>
      </c>
      <c r="U717" s="40">
        <f>ROUND(O717*T717,0)</f>
        <v/>
      </c>
      <c r="V717" s="41">
        <f>INDEX(CIBIL_Grade,MATCH(J717,CIBIL_From,1))</f>
        <v/>
      </c>
      <c r="W717" s="41">
        <f>YEAR(F717)&amp;"-Q"&amp;ROUNDUP(MONTH(F717)/3,0)</f>
        <v/>
      </c>
      <c r="X717" s="41">
        <f>IF(AND(OR(Dashboard!$C$4="All",D717=Dashboard!$C$4),OR(Dashboard!$C$5="All",E717=Dashboard!$C$5)),1,0)</f>
        <v/>
      </c>
      <c r="Y717" s="43">
        <f>IF(AND(X717=1,S717="Yes"),O717+ROW()/1000000,0)</f>
        <v/>
      </c>
    </row>
    <row r="718">
      <c r="A718" s="35" t="inlineStr">
        <is>
          <t>LN100717</t>
        </is>
      </c>
      <c r="B718" s="35" t="inlineStr">
        <is>
          <t>Swati Singh</t>
        </is>
      </c>
      <c r="C718" s="35" t="inlineStr">
        <is>
          <t>GUW-01</t>
        </is>
      </c>
      <c r="D718" s="36">
        <f>INDEX(Branches!$C$2:$C$15,MATCH(C718,Branches!$A$2:$A$15,0))</f>
        <v/>
      </c>
      <c r="E718" s="35" t="inlineStr">
        <is>
          <t>Auto Loan</t>
        </is>
      </c>
      <c r="F718" s="37" t="n">
        <v>45159</v>
      </c>
      <c r="G718" s="38" t="n">
        <v>798000</v>
      </c>
      <c r="H718" s="39" t="n">
        <v>0.1023</v>
      </c>
      <c r="I718" s="35" t="n">
        <v>48</v>
      </c>
      <c r="J718" s="35" t="n">
        <v>656</v>
      </c>
      <c r="K718" s="35" t="n">
        <v>442</v>
      </c>
      <c r="L718" s="40">
        <f>ROUND(PMT(H718/12,I718,-G718),0)</f>
        <v/>
      </c>
      <c r="M718" s="41">
        <f>MAX(0,(YEAR(AsOfDate)-YEAR(F718))*12+MONTH(AsOfDate)-MONTH(F718))</f>
        <v/>
      </c>
      <c r="N718" s="41">
        <f>MAX(0,MIN(I718,M718)-INT(K718/30))</f>
        <v/>
      </c>
      <c r="O718" s="40">
        <f>IF(N718&gt;=I718,0,ROUND(PV(H718/12,I718-N718,-L718),0))</f>
        <v/>
      </c>
      <c r="P718" s="40">
        <f>MIN(I718,M718)*L718-N718*L718</f>
        <v/>
      </c>
      <c r="Q718" s="41">
        <f>INDEX(DPD_Bucket,MATCH(K718,DPD_From,1))</f>
        <v/>
      </c>
      <c r="R718" s="41">
        <f>INDEX(DPD_Class,MATCH(K718,DPD_From,1))</f>
        <v/>
      </c>
      <c r="S718" s="41">
        <f>INDEX(DPD_NPA,MATCH(K718,DPD_From,1))</f>
        <v/>
      </c>
      <c r="T718" s="42">
        <f>INDEX(DPD_Prov,MATCH(K718,DPD_From,1))</f>
        <v/>
      </c>
      <c r="U718" s="40">
        <f>ROUND(O718*T718,0)</f>
        <v/>
      </c>
      <c r="V718" s="41">
        <f>INDEX(CIBIL_Grade,MATCH(J718,CIBIL_From,1))</f>
        <v/>
      </c>
      <c r="W718" s="41">
        <f>YEAR(F718)&amp;"-Q"&amp;ROUNDUP(MONTH(F718)/3,0)</f>
        <v/>
      </c>
      <c r="X718" s="41">
        <f>IF(AND(OR(Dashboard!$C$4="All",D718=Dashboard!$C$4),OR(Dashboard!$C$5="All",E718=Dashboard!$C$5)),1,0)</f>
        <v/>
      </c>
      <c r="Y718" s="43">
        <f>IF(AND(X718=1,S718="Yes"),O718+ROW()/1000000,0)</f>
        <v/>
      </c>
    </row>
    <row r="719">
      <c r="A719" s="35" t="inlineStr">
        <is>
          <t>LN100718</t>
        </is>
      </c>
      <c r="B719" s="35" t="inlineStr">
        <is>
          <t>Rahul Nair</t>
        </is>
      </c>
      <c r="C719" s="35" t="inlineStr">
        <is>
          <t>LKO-01</t>
        </is>
      </c>
      <c r="D719" s="36">
        <f>INDEX(Branches!$C$2:$C$15,MATCH(C719,Branches!$A$2:$A$15,0))</f>
        <v/>
      </c>
      <c r="E719" s="35" t="inlineStr">
        <is>
          <t>Personal Loan</t>
        </is>
      </c>
      <c r="F719" s="37" t="n">
        <v>46017</v>
      </c>
      <c r="G719" s="38" t="n">
        <v>695000</v>
      </c>
      <c r="H719" s="39" t="n">
        <v>0.1121</v>
      </c>
      <c r="I719" s="35" t="n">
        <v>60</v>
      </c>
      <c r="J719" s="35" t="n">
        <v>721</v>
      </c>
      <c r="K719" s="35" t="n">
        <v>0</v>
      </c>
      <c r="L719" s="40">
        <f>ROUND(PMT(H719/12,I719,-G719),0)</f>
        <v/>
      </c>
      <c r="M719" s="41">
        <f>MAX(0,(YEAR(AsOfDate)-YEAR(F719))*12+MONTH(AsOfDate)-MONTH(F719))</f>
        <v/>
      </c>
      <c r="N719" s="41">
        <f>MAX(0,MIN(I719,M719)-INT(K719/30))</f>
        <v/>
      </c>
      <c r="O719" s="40">
        <f>IF(N719&gt;=I719,0,ROUND(PV(H719/12,I719-N719,-L719),0))</f>
        <v/>
      </c>
      <c r="P719" s="40">
        <f>MIN(I719,M719)*L719-N719*L719</f>
        <v/>
      </c>
      <c r="Q719" s="41">
        <f>INDEX(DPD_Bucket,MATCH(K719,DPD_From,1))</f>
        <v/>
      </c>
      <c r="R719" s="41">
        <f>INDEX(DPD_Class,MATCH(K719,DPD_From,1))</f>
        <v/>
      </c>
      <c r="S719" s="41">
        <f>INDEX(DPD_NPA,MATCH(K719,DPD_From,1))</f>
        <v/>
      </c>
      <c r="T719" s="42">
        <f>INDEX(DPD_Prov,MATCH(K719,DPD_From,1))</f>
        <v/>
      </c>
      <c r="U719" s="40">
        <f>ROUND(O719*T719,0)</f>
        <v/>
      </c>
      <c r="V719" s="41">
        <f>INDEX(CIBIL_Grade,MATCH(J719,CIBIL_From,1))</f>
        <v/>
      </c>
      <c r="W719" s="41">
        <f>YEAR(F719)&amp;"-Q"&amp;ROUNDUP(MONTH(F719)/3,0)</f>
        <v/>
      </c>
      <c r="X719" s="41">
        <f>IF(AND(OR(Dashboard!$C$4="All",D719=Dashboard!$C$4),OR(Dashboard!$C$5="All",E719=Dashboard!$C$5)),1,0)</f>
        <v/>
      </c>
      <c r="Y719" s="43">
        <f>IF(AND(X719=1,S719="Yes"),O719+ROW()/1000000,0)</f>
        <v/>
      </c>
    </row>
    <row r="720">
      <c r="A720" s="35" t="inlineStr">
        <is>
          <t>LN100719</t>
        </is>
      </c>
      <c r="B720" s="35" t="inlineStr">
        <is>
          <t>Aarav Nair</t>
        </is>
      </c>
      <c r="C720" s="35" t="inlineStr">
        <is>
          <t>BBS-01</t>
        </is>
      </c>
      <c r="D720" s="36">
        <f>INDEX(Branches!$C$2:$C$15,MATCH(C720,Branches!$A$2:$A$15,0))</f>
        <v/>
      </c>
      <c r="E720" s="35" t="inlineStr">
        <is>
          <t>Personal Loan</t>
        </is>
      </c>
      <c r="F720" s="37" t="n">
        <v>45655</v>
      </c>
      <c r="G720" s="38" t="n">
        <v>1026000</v>
      </c>
      <c r="H720" s="39" t="n">
        <v>0.1185</v>
      </c>
      <c r="I720" s="35" t="n">
        <v>60</v>
      </c>
      <c r="J720" s="35" t="n">
        <v>690</v>
      </c>
      <c r="K720" s="35" t="n">
        <v>0</v>
      </c>
      <c r="L720" s="40">
        <f>ROUND(PMT(H720/12,I720,-G720),0)</f>
        <v/>
      </c>
      <c r="M720" s="41">
        <f>MAX(0,(YEAR(AsOfDate)-YEAR(F720))*12+MONTH(AsOfDate)-MONTH(F720))</f>
        <v/>
      </c>
      <c r="N720" s="41">
        <f>MAX(0,MIN(I720,M720)-INT(K720/30))</f>
        <v/>
      </c>
      <c r="O720" s="40">
        <f>IF(N720&gt;=I720,0,ROUND(PV(H720/12,I720-N720,-L720),0))</f>
        <v/>
      </c>
      <c r="P720" s="40">
        <f>MIN(I720,M720)*L720-N720*L720</f>
        <v/>
      </c>
      <c r="Q720" s="41">
        <f>INDEX(DPD_Bucket,MATCH(K720,DPD_From,1))</f>
        <v/>
      </c>
      <c r="R720" s="41">
        <f>INDEX(DPD_Class,MATCH(K720,DPD_From,1))</f>
        <v/>
      </c>
      <c r="S720" s="41">
        <f>INDEX(DPD_NPA,MATCH(K720,DPD_From,1))</f>
        <v/>
      </c>
      <c r="T720" s="42">
        <f>INDEX(DPD_Prov,MATCH(K720,DPD_From,1))</f>
        <v/>
      </c>
      <c r="U720" s="40">
        <f>ROUND(O720*T720,0)</f>
        <v/>
      </c>
      <c r="V720" s="41">
        <f>INDEX(CIBIL_Grade,MATCH(J720,CIBIL_From,1))</f>
        <v/>
      </c>
      <c r="W720" s="41">
        <f>YEAR(F720)&amp;"-Q"&amp;ROUNDUP(MONTH(F720)/3,0)</f>
        <v/>
      </c>
      <c r="X720" s="41">
        <f>IF(AND(OR(Dashboard!$C$4="All",D720=Dashboard!$C$4),OR(Dashboard!$C$5="All",E720=Dashboard!$C$5)),1,0)</f>
        <v/>
      </c>
      <c r="Y720" s="43">
        <f>IF(AND(X720=1,S720="Yes"),O720+ROW()/1000000,0)</f>
        <v/>
      </c>
    </row>
    <row r="721">
      <c r="A721" s="35" t="inlineStr">
        <is>
          <t>LN100720</t>
        </is>
      </c>
      <c r="B721" s="35" t="inlineStr">
        <is>
          <t>Swati Singh</t>
        </is>
      </c>
      <c r="C721" s="35" t="inlineStr">
        <is>
          <t>PUN-01</t>
        </is>
      </c>
      <c r="D721" s="36">
        <f>INDEX(Branches!$C$2:$C$15,MATCH(C721,Branches!$A$2:$A$15,0))</f>
        <v/>
      </c>
      <c r="E721" s="35" t="inlineStr">
        <is>
          <t>Home Loan</t>
        </is>
      </c>
      <c r="F721" s="37" t="n">
        <v>46081</v>
      </c>
      <c r="G721" s="38" t="n">
        <v>9634000</v>
      </c>
      <c r="H721" s="39" t="n">
        <v>0.09039999999999999</v>
      </c>
      <c r="I721" s="35" t="n">
        <v>180</v>
      </c>
      <c r="J721" s="35" t="n">
        <v>792</v>
      </c>
      <c r="K721" s="35" t="n">
        <v>0</v>
      </c>
      <c r="L721" s="40">
        <f>ROUND(PMT(H721/12,I721,-G721),0)</f>
        <v/>
      </c>
      <c r="M721" s="41">
        <f>MAX(0,(YEAR(AsOfDate)-YEAR(F721))*12+MONTH(AsOfDate)-MONTH(F721))</f>
        <v/>
      </c>
      <c r="N721" s="41">
        <f>MAX(0,MIN(I721,M721)-INT(K721/30))</f>
        <v/>
      </c>
      <c r="O721" s="40">
        <f>IF(N721&gt;=I721,0,ROUND(PV(H721/12,I721-N721,-L721),0))</f>
        <v/>
      </c>
      <c r="P721" s="40">
        <f>MIN(I721,M721)*L721-N721*L721</f>
        <v/>
      </c>
      <c r="Q721" s="41">
        <f>INDEX(DPD_Bucket,MATCH(K721,DPD_From,1))</f>
        <v/>
      </c>
      <c r="R721" s="41">
        <f>INDEX(DPD_Class,MATCH(K721,DPD_From,1))</f>
        <v/>
      </c>
      <c r="S721" s="41">
        <f>INDEX(DPD_NPA,MATCH(K721,DPD_From,1))</f>
        <v/>
      </c>
      <c r="T721" s="42">
        <f>INDEX(DPD_Prov,MATCH(K721,DPD_From,1))</f>
        <v/>
      </c>
      <c r="U721" s="40">
        <f>ROUND(O721*T721,0)</f>
        <v/>
      </c>
      <c r="V721" s="41">
        <f>INDEX(CIBIL_Grade,MATCH(J721,CIBIL_From,1))</f>
        <v/>
      </c>
      <c r="W721" s="41">
        <f>YEAR(F721)&amp;"-Q"&amp;ROUNDUP(MONTH(F721)/3,0)</f>
        <v/>
      </c>
      <c r="X721" s="41">
        <f>IF(AND(OR(Dashboard!$C$4="All",D721=Dashboard!$C$4),OR(Dashboard!$C$5="All",E721=Dashboard!$C$5)),1,0)</f>
        <v/>
      </c>
      <c r="Y721" s="43">
        <f>IF(AND(X721=1,S721="Yes"),O721+ROW()/1000000,0)</f>
        <v/>
      </c>
    </row>
    <row r="722">
      <c r="A722" s="35" t="inlineStr">
        <is>
          <t>LN100721</t>
        </is>
      </c>
      <c r="B722" s="35" t="inlineStr">
        <is>
          <t>Ishaan Patel</t>
        </is>
      </c>
      <c r="C722" s="35" t="inlineStr">
        <is>
          <t>CHN-01</t>
        </is>
      </c>
      <c r="D722" s="36">
        <f>INDEX(Branches!$C$2:$C$15,MATCH(C722,Branches!$A$2:$A$15,0))</f>
        <v/>
      </c>
      <c r="E722" s="35" t="inlineStr">
        <is>
          <t>Personal Loan</t>
        </is>
      </c>
      <c r="F722" s="37" t="n">
        <v>45631</v>
      </c>
      <c r="G722" s="38" t="n">
        <v>1146000</v>
      </c>
      <c r="H722" s="39" t="n">
        <v>0.1503</v>
      </c>
      <c r="I722" s="35" t="n">
        <v>60</v>
      </c>
      <c r="J722" s="35" t="n">
        <v>668</v>
      </c>
      <c r="K722" s="35" t="n">
        <v>0</v>
      </c>
      <c r="L722" s="40">
        <f>ROUND(PMT(H722/12,I722,-G722),0)</f>
        <v/>
      </c>
      <c r="M722" s="41">
        <f>MAX(0,(YEAR(AsOfDate)-YEAR(F722))*12+MONTH(AsOfDate)-MONTH(F722))</f>
        <v/>
      </c>
      <c r="N722" s="41">
        <f>MAX(0,MIN(I722,M722)-INT(K722/30))</f>
        <v/>
      </c>
      <c r="O722" s="40">
        <f>IF(N722&gt;=I722,0,ROUND(PV(H722/12,I722-N722,-L722),0))</f>
        <v/>
      </c>
      <c r="P722" s="40">
        <f>MIN(I722,M722)*L722-N722*L722</f>
        <v/>
      </c>
      <c r="Q722" s="41">
        <f>INDEX(DPD_Bucket,MATCH(K722,DPD_From,1))</f>
        <v/>
      </c>
      <c r="R722" s="41">
        <f>INDEX(DPD_Class,MATCH(K722,DPD_From,1))</f>
        <v/>
      </c>
      <c r="S722" s="41">
        <f>INDEX(DPD_NPA,MATCH(K722,DPD_From,1))</f>
        <v/>
      </c>
      <c r="T722" s="42">
        <f>INDEX(DPD_Prov,MATCH(K722,DPD_From,1))</f>
        <v/>
      </c>
      <c r="U722" s="40">
        <f>ROUND(O722*T722,0)</f>
        <v/>
      </c>
      <c r="V722" s="41">
        <f>INDEX(CIBIL_Grade,MATCH(J722,CIBIL_From,1))</f>
        <v/>
      </c>
      <c r="W722" s="41">
        <f>YEAR(F722)&amp;"-Q"&amp;ROUNDUP(MONTH(F722)/3,0)</f>
        <v/>
      </c>
      <c r="X722" s="41">
        <f>IF(AND(OR(Dashboard!$C$4="All",D722=Dashboard!$C$4),OR(Dashboard!$C$5="All",E722=Dashboard!$C$5)),1,0)</f>
        <v/>
      </c>
      <c r="Y722" s="43">
        <f>IF(AND(X722=1,S722="Yes"),O722+ROW()/1000000,0)</f>
        <v/>
      </c>
    </row>
    <row r="723">
      <c r="A723" s="35" t="inlineStr">
        <is>
          <t>LN100722</t>
        </is>
      </c>
      <c r="B723" s="35" t="inlineStr">
        <is>
          <t>Aarav Banerjee</t>
        </is>
      </c>
      <c r="C723" s="35" t="inlineStr">
        <is>
          <t>CHN-01</t>
        </is>
      </c>
      <c r="D723" s="36">
        <f>INDEX(Branches!$C$2:$C$15,MATCH(C723,Branches!$A$2:$A$15,0))</f>
        <v/>
      </c>
      <c r="E723" s="35" t="inlineStr">
        <is>
          <t>Business Loan</t>
        </is>
      </c>
      <c r="F723" s="37" t="n">
        <v>45285</v>
      </c>
      <c r="G723" s="38" t="n">
        <v>560000</v>
      </c>
      <c r="H723" s="39" t="n">
        <v>0.1759</v>
      </c>
      <c r="I723" s="35" t="n">
        <v>12</v>
      </c>
      <c r="J723" s="35" t="n">
        <v>838</v>
      </c>
      <c r="K723" s="35" t="n">
        <v>0</v>
      </c>
      <c r="L723" s="40">
        <f>ROUND(PMT(H723/12,I723,-G723),0)</f>
        <v/>
      </c>
      <c r="M723" s="41">
        <f>MAX(0,(YEAR(AsOfDate)-YEAR(F723))*12+MONTH(AsOfDate)-MONTH(F723))</f>
        <v/>
      </c>
      <c r="N723" s="41">
        <f>MAX(0,MIN(I723,M723)-INT(K723/30))</f>
        <v/>
      </c>
      <c r="O723" s="40">
        <f>IF(N723&gt;=I723,0,ROUND(PV(H723/12,I723-N723,-L723),0))</f>
        <v/>
      </c>
      <c r="P723" s="40">
        <f>MIN(I723,M723)*L723-N723*L723</f>
        <v/>
      </c>
      <c r="Q723" s="41">
        <f>INDEX(DPD_Bucket,MATCH(K723,DPD_From,1))</f>
        <v/>
      </c>
      <c r="R723" s="41">
        <f>INDEX(DPD_Class,MATCH(K723,DPD_From,1))</f>
        <v/>
      </c>
      <c r="S723" s="41">
        <f>INDEX(DPD_NPA,MATCH(K723,DPD_From,1))</f>
        <v/>
      </c>
      <c r="T723" s="42">
        <f>INDEX(DPD_Prov,MATCH(K723,DPD_From,1))</f>
        <v/>
      </c>
      <c r="U723" s="40">
        <f>ROUND(O723*T723,0)</f>
        <v/>
      </c>
      <c r="V723" s="41">
        <f>INDEX(CIBIL_Grade,MATCH(J723,CIBIL_From,1))</f>
        <v/>
      </c>
      <c r="W723" s="41">
        <f>YEAR(F723)&amp;"-Q"&amp;ROUNDUP(MONTH(F723)/3,0)</f>
        <v/>
      </c>
      <c r="X723" s="41">
        <f>IF(AND(OR(Dashboard!$C$4="All",D723=Dashboard!$C$4),OR(Dashboard!$C$5="All",E723=Dashboard!$C$5)),1,0)</f>
        <v/>
      </c>
      <c r="Y723" s="43">
        <f>IF(AND(X723=1,S723="Yes"),O723+ROW()/1000000,0)</f>
        <v/>
      </c>
    </row>
    <row r="724">
      <c r="A724" s="35" t="inlineStr">
        <is>
          <t>LN100723</t>
        </is>
      </c>
      <c r="B724" s="35" t="inlineStr">
        <is>
          <t>Farhan Banerjee</t>
        </is>
      </c>
      <c r="C724" s="35" t="inlineStr">
        <is>
          <t>PAT-01</t>
        </is>
      </c>
      <c r="D724" s="36">
        <f>INDEX(Branches!$C$2:$C$15,MATCH(C724,Branches!$A$2:$A$15,0))</f>
        <v/>
      </c>
      <c r="E724" s="35" t="inlineStr">
        <is>
          <t>Personal Loan</t>
        </is>
      </c>
      <c r="F724" s="37" t="n">
        <v>45177</v>
      </c>
      <c r="G724" s="38" t="n">
        <v>524000</v>
      </c>
      <c r="H724" s="39" t="n">
        <v>0.1144</v>
      </c>
      <c r="I724" s="35" t="n">
        <v>48</v>
      </c>
      <c r="J724" s="35" t="n">
        <v>702</v>
      </c>
      <c r="K724" s="35" t="n">
        <v>0</v>
      </c>
      <c r="L724" s="40">
        <f>ROUND(PMT(H724/12,I724,-G724),0)</f>
        <v/>
      </c>
      <c r="M724" s="41">
        <f>MAX(0,(YEAR(AsOfDate)-YEAR(F724))*12+MONTH(AsOfDate)-MONTH(F724))</f>
        <v/>
      </c>
      <c r="N724" s="41">
        <f>MAX(0,MIN(I724,M724)-INT(K724/30))</f>
        <v/>
      </c>
      <c r="O724" s="40">
        <f>IF(N724&gt;=I724,0,ROUND(PV(H724/12,I724-N724,-L724),0))</f>
        <v/>
      </c>
      <c r="P724" s="40">
        <f>MIN(I724,M724)*L724-N724*L724</f>
        <v/>
      </c>
      <c r="Q724" s="41">
        <f>INDEX(DPD_Bucket,MATCH(K724,DPD_From,1))</f>
        <v/>
      </c>
      <c r="R724" s="41">
        <f>INDEX(DPD_Class,MATCH(K724,DPD_From,1))</f>
        <v/>
      </c>
      <c r="S724" s="41">
        <f>INDEX(DPD_NPA,MATCH(K724,DPD_From,1))</f>
        <v/>
      </c>
      <c r="T724" s="42">
        <f>INDEX(DPD_Prov,MATCH(K724,DPD_From,1))</f>
        <v/>
      </c>
      <c r="U724" s="40">
        <f>ROUND(O724*T724,0)</f>
        <v/>
      </c>
      <c r="V724" s="41">
        <f>INDEX(CIBIL_Grade,MATCH(J724,CIBIL_From,1))</f>
        <v/>
      </c>
      <c r="W724" s="41">
        <f>YEAR(F724)&amp;"-Q"&amp;ROUNDUP(MONTH(F724)/3,0)</f>
        <v/>
      </c>
      <c r="X724" s="41">
        <f>IF(AND(OR(Dashboard!$C$4="All",D724=Dashboard!$C$4),OR(Dashboard!$C$5="All",E724=Dashboard!$C$5)),1,0)</f>
        <v/>
      </c>
      <c r="Y724" s="43">
        <f>IF(AND(X724=1,S724="Yes"),O724+ROW()/1000000,0)</f>
        <v/>
      </c>
    </row>
    <row r="725">
      <c r="A725" s="35" t="inlineStr">
        <is>
          <t>LN100724</t>
        </is>
      </c>
      <c r="B725" s="35" t="inlineStr">
        <is>
          <t>Ishaan Sharma</t>
        </is>
      </c>
      <c r="C725" s="35" t="inlineStr">
        <is>
          <t>KOC-01</t>
        </is>
      </c>
      <c r="D725" s="36">
        <f>INDEX(Branches!$C$2:$C$15,MATCH(C725,Branches!$A$2:$A$15,0))</f>
        <v/>
      </c>
      <c r="E725" s="35" t="inlineStr">
        <is>
          <t>Home Loan</t>
        </is>
      </c>
      <c r="F725" s="37" t="n">
        <v>46141</v>
      </c>
      <c r="G725" s="38" t="n">
        <v>8255000</v>
      </c>
      <c r="H725" s="39" t="n">
        <v>0.08599999999999999</v>
      </c>
      <c r="I725" s="35" t="n">
        <v>120</v>
      </c>
      <c r="J725" s="35" t="n">
        <v>830</v>
      </c>
      <c r="K725" s="35" t="n">
        <v>0</v>
      </c>
      <c r="L725" s="40">
        <f>ROUND(PMT(H725/12,I725,-G725),0)</f>
        <v/>
      </c>
      <c r="M725" s="41">
        <f>MAX(0,(YEAR(AsOfDate)-YEAR(F725))*12+MONTH(AsOfDate)-MONTH(F725))</f>
        <v/>
      </c>
      <c r="N725" s="41">
        <f>MAX(0,MIN(I725,M725)-INT(K725/30))</f>
        <v/>
      </c>
      <c r="O725" s="40">
        <f>IF(N725&gt;=I725,0,ROUND(PV(H725/12,I725-N725,-L725),0))</f>
        <v/>
      </c>
      <c r="P725" s="40">
        <f>MIN(I725,M725)*L725-N725*L725</f>
        <v/>
      </c>
      <c r="Q725" s="41">
        <f>INDEX(DPD_Bucket,MATCH(K725,DPD_From,1))</f>
        <v/>
      </c>
      <c r="R725" s="41">
        <f>INDEX(DPD_Class,MATCH(K725,DPD_From,1))</f>
        <v/>
      </c>
      <c r="S725" s="41">
        <f>INDEX(DPD_NPA,MATCH(K725,DPD_From,1))</f>
        <v/>
      </c>
      <c r="T725" s="42">
        <f>INDEX(DPD_Prov,MATCH(K725,DPD_From,1))</f>
        <v/>
      </c>
      <c r="U725" s="40">
        <f>ROUND(O725*T725,0)</f>
        <v/>
      </c>
      <c r="V725" s="41">
        <f>INDEX(CIBIL_Grade,MATCH(J725,CIBIL_From,1))</f>
        <v/>
      </c>
      <c r="W725" s="41">
        <f>YEAR(F725)&amp;"-Q"&amp;ROUNDUP(MONTH(F725)/3,0)</f>
        <v/>
      </c>
      <c r="X725" s="41">
        <f>IF(AND(OR(Dashboard!$C$4="All",D725=Dashboard!$C$4),OR(Dashboard!$C$5="All",E725=Dashboard!$C$5)),1,0)</f>
        <v/>
      </c>
      <c r="Y725" s="43">
        <f>IF(AND(X725=1,S725="Yes"),O725+ROW()/1000000,0)</f>
        <v/>
      </c>
    </row>
    <row r="726">
      <c r="A726" s="35" t="inlineStr">
        <is>
          <t>LN100725</t>
        </is>
      </c>
      <c r="B726" s="35" t="inlineStr">
        <is>
          <t>Aarav Nair</t>
        </is>
      </c>
      <c r="C726" s="35" t="inlineStr">
        <is>
          <t>HYD-01</t>
        </is>
      </c>
      <c r="D726" s="36">
        <f>INDEX(Branches!$C$2:$C$15,MATCH(C726,Branches!$A$2:$A$15,0))</f>
        <v/>
      </c>
      <c r="E726" s="35" t="inlineStr">
        <is>
          <t>Auto Loan</t>
        </is>
      </c>
      <c r="F726" s="37" t="n">
        <v>45997</v>
      </c>
      <c r="G726" s="38" t="n">
        <v>1844000</v>
      </c>
      <c r="H726" s="39" t="n">
        <v>0.1119</v>
      </c>
      <c r="I726" s="35" t="n">
        <v>48</v>
      </c>
      <c r="J726" s="35" t="n">
        <v>715</v>
      </c>
      <c r="K726" s="35" t="n">
        <v>0</v>
      </c>
      <c r="L726" s="40">
        <f>ROUND(PMT(H726/12,I726,-G726),0)</f>
        <v/>
      </c>
      <c r="M726" s="41">
        <f>MAX(0,(YEAR(AsOfDate)-YEAR(F726))*12+MONTH(AsOfDate)-MONTH(F726))</f>
        <v/>
      </c>
      <c r="N726" s="41">
        <f>MAX(0,MIN(I726,M726)-INT(K726/30))</f>
        <v/>
      </c>
      <c r="O726" s="40">
        <f>IF(N726&gt;=I726,0,ROUND(PV(H726/12,I726-N726,-L726),0))</f>
        <v/>
      </c>
      <c r="P726" s="40">
        <f>MIN(I726,M726)*L726-N726*L726</f>
        <v/>
      </c>
      <c r="Q726" s="41">
        <f>INDEX(DPD_Bucket,MATCH(K726,DPD_From,1))</f>
        <v/>
      </c>
      <c r="R726" s="41">
        <f>INDEX(DPD_Class,MATCH(K726,DPD_From,1))</f>
        <v/>
      </c>
      <c r="S726" s="41">
        <f>INDEX(DPD_NPA,MATCH(K726,DPD_From,1))</f>
        <v/>
      </c>
      <c r="T726" s="42">
        <f>INDEX(DPD_Prov,MATCH(K726,DPD_From,1))</f>
        <v/>
      </c>
      <c r="U726" s="40">
        <f>ROUND(O726*T726,0)</f>
        <v/>
      </c>
      <c r="V726" s="41">
        <f>INDEX(CIBIL_Grade,MATCH(J726,CIBIL_From,1))</f>
        <v/>
      </c>
      <c r="W726" s="41">
        <f>YEAR(F726)&amp;"-Q"&amp;ROUNDUP(MONTH(F726)/3,0)</f>
        <v/>
      </c>
      <c r="X726" s="41">
        <f>IF(AND(OR(Dashboard!$C$4="All",D726=Dashboard!$C$4),OR(Dashboard!$C$5="All",E726=Dashboard!$C$5)),1,0)</f>
        <v/>
      </c>
      <c r="Y726" s="43">
        <f>IF(AND(X726=1,S726="Yes"),O726+ROW()/1000000,0)</f>
        <v/>
      </c>
    </row>
    <row r="727">
      <c r="A727" s="35" t="inlineStr">
        <is>
          <t>LN100726</t>
        </is>
      </c>
      <c r="B727" s="35" t="inlineStr">
        <is>
          <t>Priya Sharma</t>
        </is>
      </c>
      <c r="C727" s="35" t="inlineStr">
        <is>
          <t>CHN-01</t>
        </is>
      </c>
      <c r="D727" s="36">
        <f>INDEX(Branches!$C$2:$C$15,MATCH(C727,Branches!$A$2:$A$15,0))</f>
        <v/>
      </c>
      <c r="E727" s="35" t="inlineStr">
        <is>
          <t>Personal Loan</t>
        </is>
      </c>
      <c r="F727" s="37" t="n">
        <v>45208</v>
      </c>
      <c r="G727" s="38" t="n">
        <v>983000</v>
      </c>
      <c r="H727" s="39" t="n">
        <v>0.1585</v>
      </c>
      <c r="I727" s="35" t="n">
        <v>48</v>
      </c>
      <c r="J727" s="35" t="n">
        <v>793</v>
      </c>
      <c r="K727" s="35" t="n">
        <v>15</v>
      </c>
      <c r="L727" s="40">
        <f>ROUND(PMT(H727/12,I727,-G727),0)</f>
        <v/>
      </c>
      <c r="M727" s="41">
        <f>MAX(0,(YEAR(AsOfDate)-YEAR(F727))*12+MONTH(AsOfDate)-MONTH(F727))</f>
        <v/>
      </c>
      <c r="N727" s="41">
        <f>MAX(0,MIN(I727,M727)-INT(K727/30))</f>
        <v/>
      </c>
      <c r="O727" s="40">
        <f>IF(N727&gt;=I727,0,ROUND(PV(H727/12,I727-N727,-L727),0))</f>
        <v/>
      </c>
      <c r="P727" s="40">
        <f>MIN(I727,M727)*L727-N727*L727</f>
        <v/>
      </c>
      <c r="Q727" s="41">
        <f>INDEX(DPD_Bucket,MATCH(K727,DPD_From,1))</f>
        <v/>
      </c>
      <c r="R727" s="41">
        <f>INDEX(DPD_Class,MATCH(K727,DPD_From,1))</f>
        <v/>
      </c>
      <c r="S727" s="41">
        <f>INDEX(DPD_NPA,MATCH(K727,DPD_From,1))</f>
        <v/>
      </c>
      <c r="T727" s="42">
        <f>INDEX(DPD_Prov,MATCH(K727,DPD_From,1))</f>
        <v/>
      </c>
      <c r="U727" s="40">
        <f>ROUND(O727*T727,0)</f>
        <v/>
      </c>
      <c r="V727" s="41">
        <f>INDEX(CIBIL_Grade,MATCH(J727,CIBIL_From,1))</f>
        <v/>
      </c>
      <c r="W727" s="41">
        <f>YEAR(F727)&amp;"-Q"&amp;ROUNDUP(MONTH(F727)/3,0)</f>
        <v/>
      </c>
      <c r="X727" s="41">
        <f>IF(AND(OR(Dashboard!$C$4="All",D727=Dashboard!$C$4),OR(Dashboard!$C$5="All",E727=Dashboard!$C$5)),1,0)</f>
        <v/>
      </c>
      <c r="Y727" s="43">
        <f>IF(AND(X727=1,S727="Yes"),O727+ROW()/1000000,0)</f>
        <v/>
      </c>
    </row>
    <row r="728">
      <c r="A728" s="35" t="inlineStr">
        <is>
          <t>LN100727</t>
        </is>
      </c>
      <c r="B728" s="35" t="inlineStr">
        <is>
          <t>Zoya Sahoo</t>
        </is>
      </c>
      <c r="C728" s="35" t="inlineStr">
        <is>
          <t>KOL-01</t>
        </is>
      </c>
      <c r="D728" s="36">
        <f>INDEX(Branches!$C$2:$C$15,MATCH(C728,Branches!$A$2:$A$15,0))</f>
        <v/>
      </c>
      <c r="E728" s="35" t="inlineStr">
        <is>
          <t>Gold Loan</t>
        </is>
      </c>
      <c r="F728" s="37" t="n">
        <v>45578</v>
      </c>
      <c r="G728" s="38" t="n">
        <v>457000</v>
      </c>
      <c r="H728" s="39" t="n">
        <v>0.116</v>
      </c>
      <c r="I728" s="35" t="n">
        <v>12</v>
      </c>
      <c r="J728" s="35" t="n">
        <v>789</v>
      </c>
      <c r="K728" s="35" t="n">
        <v>0</v>
      </c>
      <c r="L728" s="40">
        <f>ROUND(PMT(H728/12,I728,-G728),0)</f>
        <v/>
      </c>
      <c r="M728" s="41">
        <f>MAX(0,(YEAR(AsOfDate)-YEAR(F728))*12+MONTH(AsOfDate)-MONTH(F728))</f>
        <v/>
      </c>
      <c r="N728" s="41">
        <f>MAX(0,MIN(I728,M728)-INT(K728/30))</f>
        <v/>
      </c>
      <c r="O728" s="40">
        <f>IF(N728&gt;=I728,0,ROUND(PV(H728/12,I728-N728,-L728),0))</f>
        <v/>
      </c>
      <c r="P728" s="40">
        <f>MIN(I728,M728)*L728-N728*L728</f>
        <v/>
      </c>
      <c r="Q728" s="41">
        <f>INDEX(DPD_Bucket,MATCH(K728,DPD_From,1))</f>
        <v/>
      </c>
      <c r="R728" s="41">
        <f>INDEX(DPD_Class,MATCH(K728,DPD_From,1))</f>
        <v/>
      </c>
      <c r="S728" s="41">
        <f>INDEX(DPD_NPA,MATCH(K728,DPD_From,1))</f>
        <v/>
      </c>
      <c r="T728" s="42">
        <f>INDEX(DPD_Prov,MATCH(K728,DPD_From,1))</f>
        <v/>
      </c>
      <c r="U728" s="40">
        <f>ROUND(O728*T728,0)</f>
        <v/>
      </c>
      <c r="V728" s="41">
        <f>INDEX(CIBIL_Grade,MATCH(J728,CIBIL_From,1))</f>
        <v/>
      </c>
      <c r="W728" s="41">
        <f>YEAR(F728)&amp;"-Q"&amp;ROUNDUP(MONTH(F728)/3,0)</f>
        <v/>
      </c>
      <c r="X728" s="41">
        <f>IF(AND(OR(Dashboard!$C$4="All",D728=Dashboard!$C$4),OR(Dashboard!$C$5="All",E728=Dashboard!$C$5)),1,0)</f>
        <v/>
      </c>
      <c r="Y728" s="43">
        <f>IF(AND(X728=1,S728="Yes"),O728+ROW()/1000000,0)</f>
        <v/>
      </c>
    </row>
    <row r="729">
      <c r="A729" s="35" t="inlineStr">
        <is>
          <t>LN100728</t>
        </is>
      </c>
      <c r="B729" s="35" t="inlineStr">
        <is>
          <t>Priya Kulkarni</t>
        </is>
      </c>
      <c r="C729" s="35" t="inlineStr">
        <is>
          <t>CHN-01</t>
        </is>
      </c>
      <c r="D729" s="36">
        <f>INDEX(Branches!$C$2:$C$15,MATCH(C729,Branches!$A$2:$A$15,0))</f>
        <v/>
      </c>
      <c r="E729" s="35" t="inlineStr">
        <is>
          <t>Auto Loan</t>
        </is>
      </c>
      <c r="F729" s="37" t="n">
        <v>46135</v>
      </c>
      <c r="G729" s="38" t="n">
        <v>829000</v>
      </c>
      <c r="H729" s="39" t="n">
        <v>0.1091</v>
      </c>
      <c r="I729" s="35" t="n">
        <v>36</v>
      </c>
      <c r="J729" s="35" t="n">
        <v>747</v>
      </c>
      <c r="K729" s="35" t="n">
        <v>0</v>
      </c>
      <c r="L729" s="40">
        <f>ROUND(PMT(H729/12,I729,-G729),0)</f>
        <v/>
      </c>
      <c r="M729" s="41">
        <f>MAX(0,(YEAR(AsOfDate)-YEAR(F729))*12+MONTH(AsOfDate)-MONTH(F729))</f>
        <v/>
      </c>
      <c r="N729" s="41">
        <f>MAX(0,MIN(I729,M729)-INT(K729/30))</f>
        <v/>
      </c>
      <c r="O729" s="40">
        <f>IF(N729&gt;=I729,0,ROUND(PV(H729/12,I729-N729,-L729),0))</f>
        <v/>
      </c>
      <c r="P729" s="40">
        <f>MIN(I729,M729)*L729-N729*L729</f>
        <v/>
      </c>
      <c r="Q729" s="41">
        <f>INDEX(DPD_Bucket,MATCH(K729,DPD_From,1))</f>
        <v/>
      </c>
      <c r="R729" s="41">
        <f>INDEX(DPD_Class,MATCH(K729,DPD_From,1))</f>
        <v/>
      </c>
      <c r="S729" s="41">
        <f>INDEX(DPD_NPA,MATCH(K729,DPD_From,1))</f>
        <v/>
      </c>
      <c r="T729" s="42">
        <f>INDEX(DPD_Prov,MATCH(K729,DPD_From,1))</f>
        <v/>
      </c>
      <c r="U729" s="40">
        <f>ROUND(O729*T729,0)</f>
        <v/>
      </c>
      <c r="V729" s="41">
        <f>INDEX(CIBIL_Grade,MATCH(J729,CIBIL_From,1))</f>
        <v/>
      </c>
      <c r="W729" s="41">
        <f>YEAR(F729)&amp;"-Q"&amp;ROUNDUP(MONTH(F729)/3,0)</f>
        <v/>
      </c>
      <c r="X729" s="41">
        <f>IF(AND(OR(Dashboard!$C$4="All",D729=Dashboard!$C$4),OR(Dashboard!$C$5="All",E729=Dashboard!$C$5)),1,0)</f>
        <v/>
      </c>
      <c r="Y729" s="43">
        <f>IF(AND(X729=1,S729="Yes"),O729+ROW()/1000000,0)</f>
        <v/>
      </c>
    </row>
    <row r="730">
      <c r="A730" s="35" t="inlineStr">
        <is>
          <t>LN100729</t>
        </is>
      </c>
      <c r="B730" s="35" t="inlineStr">
        <is>
          <t>Meera Sharma</t>
        </is>
      </c>
      <c r="C730" s="35" t="inlineStr">
        <is>
          <t>HYD-01</t>
        </is>
      </c>
      <c r="D730" s="36">
        <f>INDEX(Branches!$C$2:$C$15,MATCH(C730,Branches!$A$2:$A$15,0))</f>
        <v/>
      </c>
      <c r="E730" s="35" t="inlineStr">
        <is>
          <t>Gold Loan</t>
        </is>
      </c>
      <c r="F730" s="37" t="n">
        <v>45160</v>
      </c>
      <c r="G730" s="38" t="n">
        <v>180000</v>
      </c>
      <c r="H730" s="39" t="n">
        <v>0.0958</v>
      </c>
      <c r="I730" s="35" t="n">
        <v>6</v>
      </c>
      <c r="J730" s="35" t="n">
        <v>678</v>
      </c>
      <c r="K730" s="35" t="n">
        <v>0</v>
      </c>
      <c r="L730" s="40">
        <f>ROUND(PMT(H730/12,I730,-G730),0)</f>
        <v/>
      </c>
      <c r="M730" s="41">
        <f>MAX(0,(YEAR(AsOfDate)-YEAR(F730))*12+MONTH(AsOfDate)-MONTH(F730))</f>
        <v/>
      </c>
      <c r="N730" s="41">
        <f>MAX(0,MIN(I730,M730)-INT(K730/30))</f>
        <v/>
      </c>
      <c r="O730" s="40">
        <f>IF(N730&gt;=I730,0,ROUND(PV(H730/12,I730-N730,-L730),0))</f>
        <v/>
      </c>
      <c r="P730" s="40">
        <f>MIN(I730,M730)*L730-N730*L730</f>
        <v/>
      </c>
      <c r="Q730" s="41">
        <f>INDEX(DPD_Bucket,MATCH(K730,DPD_From,1))</f>
        <v/>
      </c>
      <c r="R730" s="41">
        <f>INDEX(DPD_Class,MATCH(K730,DPD_From,1))</f>
        <v/>
      </c>
      <c r="S730" s="41">
        <f>INDEX(DPD_NPA,MATCH(K730,DPD_From,1))</f>
        <v/>
      </c>
      <c r="T730" s="42">
        <f>INDEX(DPD_Prov,MATCH(K730,DPD_From,1))</f>
        <v/>
      </c>
      <c r="U730" s="40">
        <f>ROUND(O730*T730,0)</f>
        <v/>
      </c>
      <c r="V730" s="41">
        <f>INDEX(CIBIL_Grade,MATCH(J730,CIBIL_From,1))</f>
        <v/>
      </c>
      <c r="W730" s="41">
        <f>YEAR(F730)&amp;"-Q"&amp;ROUNDUP(MONTH(F730)/3,0)</f>
        <v/>
      </c>
      <c r="X730" s="41">
        <f>IF(AND(OR(Dashboard!$C$4="All",D730=Dashboard!$C$4),OR(Dashboard!$C$5="All",E730=Dashboard!$C$5)),1,0)</f>
        <v/>
      </c>
      <c r="Y730" s="43">
        <f>IF(AND(X730=1,S730="Yes"),O730+ROW()/1000000,0)</f>
        <v/>
      </c>
    </row>
    <row r="731">
      <c r="A731" s="35" t="inlineStr">
        <is>
          <t>LN100730</t>
        </is>
      </c>
      <c r="B731" s="35" t="inlineStr">
        <is>
          <t>Harsh Rao</t>
        </is>
      </c>
      <c r="C731" s="35" t="inlineStr">
        <is>
          <t>JAI-01</t>
        </is>
      </c>
      <c r="D731" s="36">
        <f>INDEX(Branches!$C$2:$C$15,MATCH(C731,Branches!$A$2:$A$15,0))</f>
        <v/>
      </c>
      <c r="E731" s="35" t="inlineStr">
        <is>
          <t>Auto Loan</t>
        </is>
      </c>
      <c r="F731" s="37" t="n">
        <v>45134</v>
      </c>
      <c r="G731" s="38" t="n">
        <v>1766000</v>
      </c>
      <c r="H731" s="39" t="n">
        <v>0.1112</v>
      </c>
      <c r="I731" s="35" t="n">
        <v>48</v>
      </c>
      <c r="J731" s="35" t="n">
        <v>679</v>
      </c>
      <c r="K731" s="35" t="n">
        <v>0</v>
      </c>
      <c r="L731" s="40">
        <f>ROUND(PMT(H731/12,I731,-G731),0)</f>
        <v/>
      </c>
      <c r="M731" s="41">
        <f>MAX(0,(YEAR(AsOfDate)-YEAR(F731))*12+MONTH(AsOfDate)-MONTH(F731))</f>
        <v/>
      </c>
      <c r="N731" s="41">
        <f>MAX(0,MIN(I731,M731)-INT(K731/30))</f>
        <v/>
      </c>
      <c r="O731" s="40">
        <f>IF(N731&gt;=I731,0,ROUND(PV(H731/12,I731-N731,-L731),0))</f>
        <v/>
      </c>
      <c r="P731" s="40">
        <f>MIN(I731,M731)*L731-N731*L731</f>
        <v/>
      </c>
      <c r="Q731" s="41">
        <f>INDEX(DPD_Bucket,MATCH(K731,DPD_From,1))</f>
        <v/>
      </c>
      <c r="R731" s="41">
        <f>INDEX(DPD_Class,MATCH(K731,DPD_From,1))</f>
        <v/>
      </c>
      <c r="S731" s="41">
        <f>INDEX(DPD_NPA,MATCH(K731,DPD_From,1))</f>
        <v/>
      </c>
      <c r="T731" s="42">
        <f>INDEX(DPD_Prov,MATCH(K731,DPD_From,1))</f>
        <v/>
      </c>
      <c r="U731" s="40">
        <f>ROUND(O731*T731,0)</f>
        <v/>
      </c>
      <c r="V731" s="41">
        <f>INDEX(CIBIL_Grade,MATCH(J731,CIBIL_From,1))</f>
        <v/>
      </c>
      <c r="W731" s="41">
        <f>YEAR(F731)&amp;"-Q"&amp;ROUNDUP(MONTH(F731)/3,0)</f>
        <v/>
      </c>
      <c r="X731" s="41">
        <f>IF(AND(OR(Dashboard!$C$4="All",D731=Dashboard!$C$4),OR(Dashboard!$C$5="All",E731=Dashboard!$C$5)),1,0)</f>
        <v/>
      </c>
      <c r="Y731" s="43">
        <f>IF(AND(X731=1,S731="Yes"),O731+ROW()/1000000,0)</f>
        <v/>
      </c>
    </row>
    <row r="732">
      <c r="A732" s="35" t="inlineStr">
        <is>
          <t>LN100731</t>
        </is>
      </c>
      <c r="B732" s="35" t="inlineStr">
        <is>
          <t>Zoya Menon</t>
        </is>
      </c>
      <c r="C732" s="35" t="inlineStr">
        <is>
          <t>PAT-01</t>
        </is>
      </c>
      <c r="D732" s="36">
        <f>INDEX(Branches!$C$2:$C$15,MATCH(C732,Branches!$A$2:$A$15,0))</f>
        <v/>
      </c>
      <c r="E732" s="35" t="inlineStr">
        <is>
          <t>Personal Loan</t>
        </is>
      </c>
      <c r="F732" s="37" t="n">
        <v>45374</v>
      </c>
      <c r="G732" s="38" t="n">
        <v>761000</v>
      </c>
      <c r="H732" s="39" t="n">
        <v>0.1778</v>
      </c>
      <c r="I732" s="35" t="n">
        <v>36</v>
      </c>
      <c r="J732" s="35" t="n">
        <v>835</v>
      </c>
      <c r="K732" s="35" t="n">
        <v>0</v>
      </c>
      <c r="L732" s="40">
        <f>ROUND(PMT(H732/12,I732,-G732),0)</f>
        <v/>
      </c>
      <c r="M732" s="41">
        <f>MAX(0,(YEAR(AsOfDate)-YEAR(F732))*12+MONTH(AsOfDate)-MONTH(F732))</f>
        <v/>
      </c>
      <c r="N732" s="41">
        <f>MAX(0,MIN(I732,M732)-INT(K732/30))</f>
        <v/>
      </c>
      <c r="O732" s="40">
        <f>IF(N732&gt;=I732,0,ROUND(PV(H732/12,I732-N732,-L732),0))</f>
        <v/>
      </c>
      <c r="P732" s="40">
        <f>MIN(I732,M732)*L732-N732*L732</f>
        <v/>
      </c>
      <c r="Q732" s="41">
        <f>INDEX(DPD_Bucket,MATCH(K732,DPD_From,1))</f>
        <v/>
      </c>
      <c r="R732" s="41">
        <f>INDEX(DPD_Class,MATCH(K732,DPD_From,1))</f>
        <v/>
      </c>
      <c r="S732" s="41">
        <f>INDEX(DPD_NPA,MATCH(K732,DPD_From,1))</f>
        <v/>
      </c>
      <c r="T732" s="42">
        <f>INDEX(DPD_Prov,MATCH(K732,DPD_From,1))</f>
        <v/>
      </c>
      <c r="U732" s="40">
        <f>ROUND(O732*T732,0)</f>
        <v/>
      </c>
      <c r="V732" s="41">
        <f>INDEX(CIBIL_Grade,MATCH(J732,CIBIL_From,1))</f>
        <v/>
      </c>
      <c r="W732" s="41">
        <f>YEAR(F732)&amp;"-Q"&amp;ROUNDUP(MONTH(F732)/3,0)</f>
        <v/>
      </c>
      <c r="X732" s="41">
        <f>IF(AND(OR(Dashboard!$C$4="All",D732=Dashboard!$C$4),OR(Dashboard!$C$5="All",E732=Dashboard!$C$5)),1,0)</f>
        <v/>
      </c>
      <c r="Y732" s="43">
        <f>IF(AND(X732=1,S732="Yes"),O732+ROW()/1000000,0)</f>
        <v/>
      </c>
    </row>
    <row r="733">
      <c r="A733" s="35" t="inlineStr">
        <is>
          <t>LN100732</t>
        </is>
      </c>
      <c r="B733" s="35" t="inlineStr">
        <is>
          <t>Aditya Pillai</t>
        </is>
      </c>
      <c r="C733" s="35" t="inlineStr">
        <is>
          <t>HYD-01</t>
        </is>
      </c>
      <c r="D733" s="36">
        <f>INDEX(Branches!$C$2:$C$15,MATCH(C733,Branches!$A$2:$A$15,0))</f>
        <v/>
      </c>
      <c r="E733" s="35" t="inlineStr">
        <is>
          <t>Home Loan</t>
        </is>
      </c>
      <c r="F733" s="37" t="n">
        <v>45595</v>
      </c>
      <c r="G733" s="38" t="n">
        <v>4253000</v>
      </c>
      <c r="H733" s="39" t="n">
        <v>0.0862</v>
      </c>
      <c r="I733" s="35" t="n">
        <v>120</v>
      </c>
      <c r="J733" s="35" t="n">
        <v>708</v>
      </c>
      <c r="K733" s="35" t="n">
        <v>0</v>
      </c>
      <c r="L733" s="40">
        <f>ROUND(PMT(H733/12,I733,-G733),0)</f>
        <v/>
      </c>
      <c r="M733" s="41">
        <f>MAX(0,(YEAR(AsOfDate)-YEAR(F733))*12+MONTH(AsOfDate)-MONTH(F733))</f>
        <v/>
      </c>
      <c r="N733" s="41">
        <f>MAX(0,MIN(I733,M733)-INT(K733/30))</f>
        <v/>
      </c>
      <c r="O733" s="40">
        <f>IF(N733&gt;=I733,0,ROUND(PV(H733/12,I733-N733,-L733),0))</f>
        <v/>
      </c>
      <c r="P733" s="40">
        <f>MIN(I733,M733)*L733-N733*L733</f>
        <v/>
      </c>
      <c r="Q733" s="41">
        <f>INDEX(DPD_Bucket,MATCH(K733,DPD_From,1))</f>
        <v/>
      </c>
      <c r="R733" s="41">
        <f>INDEX(DPD_Class,MATCH(K733,DPD_From,1))</f>
        <v/>
      </c>
      <c r="S733" s="41">
        <f>INDEX(DPD_NPA,MATCH(K733,DPD_From,1))</f>
        <v/>
      </c>
      <c r="T733" s="42">
        <f>INDEX(DPD_Prov,MATCH(K733,DPD_From,1))</f>
        <v/>
      </c>
      <c r="U733" s="40">
        <f>ROUND(O733*T733,0)</f>
        <v/>
      </c>
      <c r="V733" s="41">
        <f>INDEX(CIBIL_Grade,MATCH(J733,CIBIL_From,1))</f>
        <v/>
      </c>
      <c r="W733" s="41">
        <f>YEAR(F733)&amp;"-Q"&amp;ROUNDUP(MONTH(F733)/3,0)</f>
        <v/>
      </c>
      <c r="X733" s="41">
        <f>IF(AND(OR(Dashboard!$C$4="All",D733=Dashboard!$C$4),OR(Dashboard!$C$5="All",E733=Dashboard!$C$5)),1,0)</f>
        <v/>
      </c>
      <c r="Y733" s="43">
        <f>IF(AND(X733=1,S733="Yes"),O733+ROW()/1000000,0)</f>
        <v/>
      </c>
    </row>
    <row r="734">
      <c r="A734" s="35" t="inlineStr">
        <is>
          <t>LN100733</t>
        </is>
      </c>
      <c r="B734" s="35" t="inlineStr">
        <is>
          <t>Tanvi Chatterjee</t>
        </is>
      </c>
      <c r="C734" s="35" t="inlineStr">
        <is>
          <t>BLR-01</t>
        </is>
      </c>
      <c r="D734" s="36">
        <f>INDEX(Branches!$C$2:$C$15,MATCH(C734,Branches!$A$2:$A$15,0))</f>
        <v/>
      </c>
      <c r="E734" s="35" t="inlineStr">
        <is>
          <t>Personal Loan</t>
        </is>
      </c>
      <c r="F734" s="37" t="n">
        <v>45162</v>
      </c>
      <c r="G734" s="38" t="n">
        <v>1230000</v>
      </c>
      <c r="H734" s="39" t="n">
        <v>0.1303</v>
      </c>
      <c r="I734" s="35" t="n">
        <v>48</v>
      </c>
      <c r="J734" s="35" t="n">
        <v>722</v>
      </c>
      <c r="K734" s="35" t="n">
        <v>42</v>
      </c>
      <c r="L734" s="40">
        <f>ROUND(PMT(H734/12,I734,-G734),0)</f>
        <v/>
      </c>
      <c r="M734" s="41">
        <f>MAX(0,(YEAR(AsOfDate)-YEAR(F734))*12+MONTH(AsOfDate)-MONTH(F734))</f>
        <v/>
      </c>
      <c r="N734" s="41">
        <f>MAX(0,MIN(I734,M734)-INT(K734/30))</f>
        <v/>
      </c>
      <c r="O734" s="40">
        <f>IF(N734&gt;=I734,0,ROUND(PV(H734/12,I734-N734,-L734),0))</f>
        <v/>
      </c>
      <c r="P734" s="40">
        <f>MIN(I734,M734)*L734-N734*L734</f>
        <v/>
      </c>
      <c r="Q734" s="41">
        <f>INDEX(DPD_Bucket,MATCH(K734,DPD_From,1))</f>
        <v/>
      </c>
      <c r="R734" s="41">
        <f>INDEX(DPD_Class,MATCH(K734,DPD_From,1))</f>
        <v/>
      </c>
      <c r="S734" s="41">
        <f>INDEX(DPD_NPA,MATCH(K734,DPD_From,1))</f>
        <v/>
      </c>
      <c r="T734" s="42">
        <f>INDEX(DPD_Prov,MATCH(K734,DPD_From,1))</f>
        <v/>
      </c>
      <c r="U734" s="40">
        <f>ROUND(O734*T734,0)</f>
        <v/>
      </c>
      <c r="V734" s="41">
        <f>INDEX(CIBIL_Grade,MATCH(J734,CIBIL_From,1))</f>
        <v/>
      </c>
      <c r="W734" s="41">
        <f>YEAR(F734)&amp;"-Q"&amp;ROUNDUP(MONTH(F734)/3,0)</f>
        <v/>
      </c>
      <c r="X734" s="41">
        <f>IF(AND(OR(Dashboard!$C$4="All",D734=Dashboard!$C$4),OR(Dashboard!$C$5="All",E734=Dashboard!$C$5)),1,0)</f>
        <v/>
      </c>
      <c r="Y734" s="43">
        <f>IF(AND(X734=1,S734="Yes"),O734+ROW()/1000000,0)</f>
        <v/>
      </c>
    </row>
    <row r="735">
      <c r="A735" s="35" t="inlineStr">
        <is>
          <t>LN100734</t>
        </is>
      </c>
      <c r="B735" s="35" t="inlineStr">
        <is>
          <t>Pooja Gupta</t>
        </is>
      </c>
      <c r="C735" s="35" t="inlineStr">
        <is>
          <t>PUN-01</t>
        </is>
      </c>
      <c r="D735" s="36">
        <f>INDEX(Branches!$C$2:$C$15,MATCH(C735,Branches!$A$2:$A$15,0))</f>
        <v/>
      </c>
      <c r="E735" s="35" t="inlineStr">
        <is>
          <t>Home Loan</t>
        </is>
      </c>
      <c r="F735" s="37" t="n">
        <v>45926</v>
      </c>
      <c r="G735" s="38" t="n">
        <v>12204000</v>
      </c>
      <c r="H735" s="39" t="n">
        <v>0.0948</v>
      </c>
      <c r="I735" s="35" t="n">
        <v>120</v>
      </c>
      <c r="J735" s="35" t="n">
        <v>770</v>
      </c>
      <c r="K735" s="35" t="n">
        <v>0</v>
      </c>
      <c r="L735" s="40">
        <f>ROUND(PMT(H735/12,I735,-G735),0)</f>
        <v/>
      </c>
      <c r="M735" s="41">
        <f>MAX(0,(YEAR(AsOfDate)-YEAR(F735))*12+MONTH(AsOfDate)-MONTH(F735))</f>
        <v/>
      </c>
      <c r="N735" s="41">
        <f>MAX(0,MIN(I735,M735)-INT(K735/30))</f>
        <v/>
      </c>
      <c r="O735" s="40">
        <f>IF(N735&gt;=I735,0,ROUND(PV(H735/12,I735-N735,-L735),0))</f>
        <v/>
      </c>
      <c r="P735" s="40">
        <f>MIN(I735,M735)*L735-N735*L735</f>
        <v/>
      </c>
      <c r="Q735" s="41">
        <f>INDEX(DPD_Bucket,MATCH(K735,DPD_From,1))</f>
        <v/>
      </c>
      <c r="R735" s="41">
        <f>INDEX(DPD_Class,MATCH(K735,DPD_From,1))</f>
        <v/>
      </c>
      <c r="S735" s="41">
        <f>INDEX(DPD_NPA,MATCH(K735,DPD_From,1))</f>
        <v/>
      </c>
      <c r="T735" s="42">
        <f>INDEX(DPD_Prov,MATCH(K735,DPD_From,1))</f>
        <v/>
      </c>
      <c r="U735" s="40">
        <f>ROUND(O735*T735,0)</f>
        <v/>
      </c>
      <c r="V735" s="41">
        <f>INDEX(CIBIL_Grade,MATCH(J735,CIBIL_From,1))</f>
        <v/>
      </c>
      <c r="W735" s="41">
        <f>YEAR(F735)&amp;"-Q"&amp;ROUNDUP(MONTH(F735)/3,0)</f>
        <v/>
      </c>
      <c r="X735" s="41">
        <f>IF(AND(OR(Dashboard!$C$4="All",D735=Dashboard!$C$4),OR(Dashboard!$C$5="All",E735=Dashboard!$C$5)),1,0)</f>
        <v/>
      </c>
      <c r="Y735" s="43">
        <f>IF(AND(X735=1,S735="Yes"),O735+ROW()/1000000,0)</f>
        <v/>
      </c>
    </row>
    <row r="736">
      <c r="A736" s="35" t="inlineStr">
        <is>
          <t>LN100735</t>
        </is>
      </c>
      <c r="B736" s="35" t="inlineStr">
        <is>
          <t>Arjun Verma</t>
        </is>
      </c>
      <c r="C736" s="35" t="inlineStr">
        <is>
          <t>DEL-01</t>
        </is>
      </c>
      <c r="D736" s="36">
        <f>INDEX(Branches!$C$2:$C$15,MATCH(C736,Branches!$A$2:$A$15,0))</f>
        <v/>
      </c>
      <c r="E736" s="35" t="inlineStr">
        <is>
          <t>Business Loan</t>
        </is>
      </c>
      <c r="F736" s="37" t="n">
        <v>45864</v>
      </c>
      <c r="G736" s="38" t="n">
        <v>4095000</v>
      </c>
      <c r="H736" s="39" t="n">
        <v>0.1974</v>
      </c>
      <c r="I736" s="35" t="n">
        <v>36</v>
      </c>
      <c r="J736" s="35" t="n">
        <v>802</v>
      </c>
      <c r="K736" s="35" t="n">
        <v>0</v>
      </c>
      <c r="L736" s="40">
        <f>ROUND(PMT(H736/12,I736,-G736),0)</f>
        <v/>
      </c>
      <c r="M736" s="41">
        <f>MAX(0,(YEAR(AsOfDate)-YEAR(F736))*12+MONTH(AsOfDate)-MONTH(F736))</f>
        <v/>
      </c>
      <c r="N736" s="41">
        <f>MAX(0,MIN(I736,M736)-INT(K736/30))</f>
        <v/>
      </c>
      <c r="O736" s="40">
        <f>IF(N736&gt;=I736,0,ROUND(PV(H736/12,I736-N736,-L736),0))</f>
        <v/>
      </c>
      <c r="P736" s="40">
        <f>MIN(I736,M736)*L736-N736*L736</f>
        <v/>
      </c>
      <c r="Q736" s="41">
        <f>INDEX(DPD_Bucket,MATCH(K736,DPD_From,1))</f>
        <v/>
      </c>
      <c r="R736" s="41">
        <f>INDEX(DPD_Class,MATCH(K736,DPD_From,1))</f>
        <v/>
      </c>
      <c r="S736" s="41">
        <f>INDEX(DPD_NPA,MATCH(K736,DPD_From,1))</f>
        <v/>
      </c>
      <c r="T736" s="42">
        <f>INDEX(DPD_Prov,MATCH(K736,DPD_From,1))</f>
        <v/>
      </c>
      <c r="U736" s="40">
        <f>ROUND(O736*T736,0)</f>
        <v/>
      </c>
      <c r="V736" s="41">
        <f>INDEX(CIBIL_Grade,MATCH(J736,CIBIL_From,1))</f>
        <v/>
      </c>
      <c r="W736" s="41">
        <f>YEAR(F736)&amp;"-Q"&amp;ROUNDUP(MONTH(F736)/3,0)</f>
        <v/>
      </c>
      <c r="X736" s="41">
        <f>IF(AND(OR(Dashboard!$C$4="All",D736=Dashboard!$C$4),OR(Dashboard!$C$5="All",E736=Dashboard!$C$5)),1,0)</f>
        <v/>
      </c>
      <c r="Y736" s="43">
        <f>IF(AND(X736=1,S736="Yes"),O736+ROW()/1000000,0)</f>
        <v/>
      </c>
    </row>
    <row r="737">
      <c r="A737" s="35" t="inlineStr">
        <is>
          <t>LN100736</t>
        </is>
      </c>
      <c r="B737" s="35" t="inlineStr">
        <is>
          <t>Vivaan Chatterjee</t>
        </is>
      </c>
      <c r="C737" s="35" t="inlineStr">
        <is>
          <t>CHN-01</t>
        </is>
      </c>
      <c r="D737" s="36">
        <f>INDEX(Branches!$C$2:$C$15,MATCH(C737,Branches!$A$2:$A$15,0))</f>
        <v/>
      </c>
      <c r="E737" s="35" t="inlineStr">
        <is>
          <t>Business Loan</t>
        </is>
      </c>
      <c r="F737" s="37" t="n">
        <v>45965</v>
      </c>
      <c r="G737" s="38" t="n">
        <v>1252000</v>
      </c>
      <c r="H737" s="39" t="n">
        <v>0.1383</v>
      </c>
      <c r="I737" s="35" t="n">
        <v>12</v>
      </c>
      <c r="J737" s="35" t="n">
        <v>645</v>
      </c>
      <c r="K737" s="35" t="n">
        <v>0</v>
      </c>
      <c r="L737" s="40">
        <f>ROUND(PMT(H737/12,I737,-G737),0)</f>
        <v/>
      </c>
      <c r="M737" s="41">
        <f>MAX(0,(YEAR(AsOfDate)-YEAR(F737))*12+MONTH(AsOfDate)-MONTH(F737))</f>
        <v/>
      </c>
      <c r="N737" s="41">
        <f>MAX(0,MIN(I737,M737)-INT(K737/30))</f>
        <v/>
      </c>
      <c r="O737" s="40">
        <f>IF(N737&gt;=I737,0,ROUND(PV(H737/12,I737-N737,-L737),0))</f>
        <v/>
      </c>
      <c r="P737" s="40">
        <f>MIN(I737,M737)*L737-N737*L737</f>
        <v/>
      </c>
      <c r="Q737" s="41">
        <f>INDEX(DPD_Bucket,MATCH(K737,DPD_From,1))</f>
        <v/>
      </c>
      <c r="R737" s="41">
        <f>INDEX(DPD_Class,MATCH(K737,DPD_From,1))</f>
        <v/>
      </c>
      <c r="S737" s="41">
        <f>INDEX(DPD_NPA,MATCH(K737,DPD_From,1))</f>
        <v/>
      </c>
      <c r="T737" s="42">
        <f>INDEX(DPD_Prov,MATCH(K737,DPD_From,1))</f>
        <v/>
      </c>
      <c r="U737" s="40">
        <f>ROUND(O737*T737,0)</f>
        <v/>
      </c>
      <c r="V737" s="41">
        <f>INDEX(CIBIL_Grade,MATCH(J737,CIBIL_From,1))</f>
        <v/>
      </c>
      <c r="W737" s="41">
        <f>YEAR(F737)&amp;"-Q"&amp;ROUNDUP(MONTH(F737)/3,0)</f>
        <v/>
      </c>
      <c r="X737" s="41">
        <f>IF(AND(OR(Dashboard!$C$4="All",D737=Dashboard!$C$4),OR(Dashboard!$C$5="All",E737=Dashboard!$C$5)),1,0)</f>
        <v/>
      </c>
      <c r="Y737" s="43">
        <f>IF(AND(X737=1,S737="Yes"),O737+ROW()/1000000,0)</f>
        <v/>
      </c>
    </row>
    <row r="738">
      <c r="A738" s="35" t="inlineStr">
        <is>
          <t>LN100737</t>
        </is>
      </c>
      <c r="B738" s="35" t="inlineStr">
        <is>
          <t>Pooja Nair</t>
        </is>
      </c>
      <c r="C738" s="35" t="inlineStr">
        <is>
          <t>HYD-01</t>
        </is>
      </c>
      <c r="D738" s="36">
        <f>INDEX(Branches!$C$2:$C$15,MATCH(C738,Branches!$A$2:$A$15,0))</f>
        <v/>
      </c>
      <c r="E738" s="35" t="inlineStr">
        <is>
          <t>Home Loan</t>
        </is>
      </c>
      <c r="F738" s="37" t="n">
        <v>45852</v>
      </c>
      <c r="G738" s="38" t="n">
        <v>10412000</v>
      </c>
      <c r="H738" s="39" t="n">
        <v>0.0887</v>
      </c>
      <c r="I738" s="35" t="n">
        <v>180</v>
      </c>
      <c r="J738" s="35" t="n">
        <v>723</v>
      </c>
      <c r="K738" s="35" t="n">
        <v>0</v>
      </c>
      <c r="L738" s="40">
        <f>ROUND(PMT(H738/12,I738,-G738),0)</f>
        <v/>
      </c>
      <c r="M738" s="41">
        <f>MAX(0,(YEAR(AsOfDate)-YEAR(F738))*12+MONTH(AsOfDate)-MONTH(F738))</f>
        <v/>
      </c>
      <c r="N738" s="41">
        <f>MAX(0,MIN(I738,M738)-INT(K738/30))</f>
        <v/>
      </c>
      <c r="O738" s="40">
        <f>IF(N738&gt;=I738,0,ROUND(PV(H738/12,I738-N738,-L738),0))</f>
        <v/>
      </c>
      <c r="P738" s="40">
        <f>MIN(I738,M738)*L738-N738*L738</f>
        <v/>
      </c>
      <c r="Q738" s="41">
        <f>INDEX(DPD_Bucket,MATCH(K738,DPD_From,1))</f>
        <v/>
      </c>
      <c r="R738" s="41">
        <f>INDEX(DPD_Class,MATCH(K738,DPD_From,1))</f>
        <v/>
      </c>
      <c r="S738" s="41">
        <f>INDEX(DPD_NPA,MATCH(K738,DPD_From,1))</f>
        <v/>
      </c>
      <c r="T738" s="42">
        <f>INDEX(DPD_Prov,MATCH(K738,DPD_From,1))</f>
        <v/>
      </c>
      <c r="U738" s="40">
        <f>ROUND(O738*T738,0)</f>
        <v/>
      </c>
      <c r="V738" s="41">
        <f>INDEX(CIBIL_Grade,MATCH(J738,CIBIL_From,1))</f>
        <v/>
      </c>
      <c r="W738" s="41">
        <f>YEAR(F738)&amp;"-Q"&amp;ROUNDUP(MONTH(F738)/3,0)</f>
        <v/>
      </c>
      <c r="X738" s="41">
        <f>IF(AND(OR(Dashboard!$C$4="All",D738=Dashboard!$C$4),OR(Dashboard!$C$5="All",E738=Dashboard!$C$5)),1,0)</f>
        <v/>
      </c>
      <c r="Y738" s="43">
        <f>IF(AND(X738=1,S738="Yes"),O738+ROW()/1000000,0)</f>
        <v/>
      </c>
    </row>
    <row r="739">
      <c r="A739" s="35" t="inlineStr">
        <is>
          <t>LN100738</t>
        </is>
      </c>
      <c r="B739" s="35" t="inlineStr">
        <is>
          <t>Manish Sharma</t>
        </is>
      </c>
      <c r="C739" s="35" t="inlineStr">
        <is>
          <t>KOC-01</t>
        </is>
      </c>
      <c r="D739" s="36">
        <f>INDEX(Branches!$C$2:$C$15,MATCH(C739,Branches!$A$2:$A$15,0))</f>
        <v/>
      </c>
      <c r="E739" s="35" t="inlineStr">
        <is>
          <t>Home Loan</t>
        </is>
      </c>
      <c r="F739" s="37" t="n">
        <v>45274</v>
      </c>
      <c r="G739" s="38" t="n">
        <v>12853000</v>
      </c>
      <c r="H739" s="39" t="n">
        <v>0.0906</v>
      </c>
      <c r="I739" s="35" t="n">
        <v>120</v>
      </c>
      <c r="J739" s="35" t="n">
        <v>649</v>
      </c>
      <c r="K739" s="35" t="n">
        <v>0</v>
      </c>
      <c r="L739" s="40">
        <f>ROUND(PMT(H739/12,I739,-G739),0)</f>
        <v/>
      </c>
      <c r="M739" s="41">
        <f>MAX(0,(YEAR(AsOfDate)-YEAR(F739))*12+MONTH(AsOfDate)-MONTH(F739))</f>
        <v/>
      </c>
      <c r="N739" s="41">
        <f>MAX(0,MIN(I739,M739)-INT(K739/30))</f>
        <v/>
      </c>
      <c r="O739" s="40">
        <f>IF(N739&gt;=I739,0,ROUND(PV(H739/12,I739-N739,-L739),0))</f>
        <v/>
      </c>
      <c r="P739" s="40">
        <f>MIN(I739,M739)*L739-N739*L739</f>
        <v/>
      </c>
      <c r="Q739" s="41">
        <f>INDEX(DPD_Bucket,MATCH(K739,DPD_From,1))</f>
        <v/>
      </c>
      <c r="R739" s="41">
        <f>INDEX(DPD_Class,MATCH(K739,DPD_From,1))</f>
        <v/>
      </c>
      <c r="S739" s="41">
        <f>INDEX(DPD_NPA,MATCH(K739,DPD_From,1))</f>
        <v/>
      </c>
      <c r="T739" s="42">
        <f>INDEX(DPD_Prov,MATCH(K739,DPD_From,1))</f>
        <v/>
      </c>
      <c r="U739" s="40">
        <f>ROUND(O739*T739,0)</f>
        <v/>
      </c>
      <c r="V739" s="41">
        <f>INDEX(CIBIL_Grade,MATCH(J739,CIBIL_From,1))</f>
        <v/>
      </c>
      <c r="W739" s="41">
        <f>YEAR(F739)&amp;"-Q"&amp;ROUNDUP(MONTH(F739)/3,0)</f>
        <v/>
      </c>
      <c r="X739" s="41">
        <f>IF(AND(OR(Dashboard!$C$4="All",D739=Dashboard!$C$4),OR(Dashboard!$C$5="All",E739=Dashboard!$C$5)),1,0)</f>
        <v/>
      </c>
      <c r="Y739" s="43">
        <f>IF(AND(X739=1,S739="Yes"),O739+ROW()/1000000,0)</f>
        <v/>
      </c>
    </row>
    <row r="740">
      <c r="A740" s="35" t="inlineStr">
        <is>
          <t>LN100739</t>
        </is>
      </c>
      <c r="B740" s="35" t="inlineStr">
        <is>
          <t>Lakshmi Mohanty</t>
        </is>
      </c>
      <c r="C740" s="35" t="inlineStr">
        <is>
          <t>HYD-01</t>
        </is>
      </c>
      <c r="D740" s="36">
        <f>INDEX(Branches!$C$2:$C$15,MATCH(C740,Branches!$A$2:$A$15,0))</f>
        <v/>
      </c>
      <c r="E740" s="35" t="inlineStr">
        <is>
          <t>Auto Loan</t>
        </is>
      </c>
      <c r="F740" s="37" t="n">
        <v>45999</v>
      </c>
      <c r="G740" s="38" t="n">
        <v>1605000</v>
      </c>
      <c r="H740" s="39" t="n">
        <v>0.1054</v>
      </c>
      <c r="I740" s="35" t="n">
        <v>48</v>
      </c>
      <c r="J740" s="35" t="n">
        <v>726</v>
      </c>
      <c r="K740" s="35" t="n">
        <v>0</v>
      </c>
      <c r="L740" s="40">
        <f>ROUND(PMT(H740/12,I740,-G740),0)</f>
        <v/>
      </c>
      <c r="M740" s="41">
        <f>MAX(0,(YEAR(AsOfDate)-YEAR(F740))*12+MONTH(AsOfDate)-MONTH(F740))</f>
        <v/>
      </c>
      <c r="N740" s="41">
        <f>MAX(0,MIN(I740,M740)-INT(K740/30))</f>
        <v/>
      </c>
      <c r="O740" s="40">
        <f>IF(N740&gt;=I740,0,ROUND(PV(H740/12,I740-N740,-L740),0))</f>
        <v/>
      </c>
      <c r="P740" s="40">
        <f>MIN(I740,M740)*L740-N740*L740</f>
        <v/>
      </c>
      <c r="Q740" s="41">
        <f>INDEX(DPD_Bucket,MATCH(K740,DPD_From,1))</f>
        <v/>
      </c>
      <c r="R740" s="41">
        <f>INDEX(DPD_Class,MATCH(K740,DPD_From,1))</f>
        <v/>
      </c>
      <c r="S740" s="41">
        <f>INDEX(DPD_NPA,MATCH(K740,DPD_From,1))</f>
        <v/>
      </c>
      <c r="T740" s="42">
        <f>INDEX(DPD_Prov,MATCH(K740,DPD_From,1))</f>
        <v/>
      </c>
      <c r="U740" s="40">
        <f>ROUND(O740*T740,0)</f>
        <v/>
      </c>
      <c r="V740" s="41">
        <f>INDEX(CIBIL_Grade,MATCH(J740,CIBIL_From,1))</f>
        <v/>
      </c>
      <c r="W740" s="41">
        <f>YEAR(F740)&amp;"-Q"&amp;ROUNDUP(MONTH(F740)/3,0)</f>
        <v/>
      </c>
      <c r="X740" s="41">
        <f>IF(AND(OR(Dashboard!$C$4="All",D740=Dashboard!$C$4),OR(Dashboard!$C$5="All",E740=Dashboard!$C$5)),1,0)</f>
        <v/>
      </c>
      <c r="Y740" s="43">
        <f>IF(AND(X740=1,S740="Yes"),O740+ROW()/1000000,0)</f>
        <v/>
      </c>
    </row>
    <row r="741">
      <c r="A741" s="35" t="inlineStr">
        <is>
          <t>LN100740</t>
        </is>
      </c>
      <c r="B741" s="35" t="inlineStr">
        <is>
          <t>Meera Joshi</t>
        </is>
      </c>
      <c r="C741" s="35" t="inlineStr">
        <is>
          <t>GUW-01</t>
        </is>
      </c>
      <c r="D741" s="36">
        <f>INDEX(Branches!$C$2:$C$15,MATCH(C741,Branches!$A$2:$A$15,0))</f>
        <v/>
      </c>
      <c r="E741" s="35" t="inlineStr">
        <is>
          <t>Business Loan</t>
        </is>
      </c>
      <c r="F741" s="37" t="n">
        <v>45295</v>
      </c>
      <c r="G741" s="38" t="n">
        <v>2823000</v>
      </c>
      <c r="H741" s="39" t="n">
        <v>0.1778</v>
      </c>
      <c r="I741" s="35" t="n">
        <v>24</v>
      </c>
      <c r="J741" s="35" t="n">
        <v>821</v>
      </c>
      <c r="K741" s="35" t="n">
        <v>0</v>
      </c>
      <c r="L741" s="40">
        <f>ROUND(PMT(H741/12,I741,-G741),0)</f>
        <v/>
      </c>
      <c r="M741" s="41">
        <f>MAX(0,(YEAR(AsOfDate)-YEAR(F741))*12+MONTH(AsOfDate)-MONTH(F741))</f>
        <v/>
      </c>
      <c r="N741" s="41">
        <f>MAX(0,MIN(I741,M741)-INT(K741/30))</f>
        <v/>
      </c>
      <c r="O741" s="40">
        <f>IF(N741&gt;=I741,0,ROUND(PV(H741/12,I741-N741,-L741),0))</f>
        <v/>
      </c>
      <c r="P741" s="40">
        <f>MIN(I741,M741)*L741-N741*L741</f>
        <v/>
      </c>
      <c r="Q741" s="41">
        <f>INDEX(DPD_Bucket,MATCH(K741,DPD_From,1))</f>
        <v/>
      </c>
      <c r="R741" s="41">
        <f>INDEX(DPD_Class,MATCH(K741,DPD_From,1))</f>
        <v/>
      </c>
      <c r="S741" s="41">
        <f>INDEX(DPD_NPA,MATCH(K741,DPD_From,1))</f>
        <v/>
      </c>
      <c r="T741" s="42">
        <f>INDEX(DPD_Prov,MATCH(K741,DPD_From,1))</f>
        <v/>
      </c>
      <c r="U741" s="40">
        <f>ROUND(O741*T741,0)</f>
        <v/>
      </c>
      <c r="V741" s="41">
        <f>INDEX(CIBIL_Grade,MATCH(J741,CIBIL_From,1))</f>
        <v/>
      </c>
      <c r="W741" s="41">
        <f>YEAR(F741)&amp;"-Q"&amp;ROUNDUP(MONTH(F741)/3,0)</f>
        <v/>
      </c>
      <c r="X741" s="41">
        <f>IF(AND(OR(Dashboard!$C$4="All",D741=Dashboard!$C$4),OR(Dashboard!$C$5="All",E741=Dashboard!$C$5)),1,0)</f>
        <v/>
      </c>
      <c r="Y741" s="43">
        <f>IF(AND(X741=1,S741="Yes"),O741+ROW()/1000000,0)</f>
        <v/>
      </c>
    </row>
    <row r="742">
      <c r="A742" s="35" t="inlineStr">
        <is>
          <t>LN100741</t>
        </is>
      </c>
      <c r="B742" s="35" t="inlineStr">
        <is>
          <t>Aditya Iyer</t>
        </is>
      </c>
      <c r="C742" s="35" t="inlineStr">
        <is>
          <t>PUN-01</t>
        </is>
      </c>
      <c r="D742" s="36">
        <f>INDEX(Branches!$C$2:$C$15,MATCH(C742,Branches!$A$2:$A$15,0))</f>
        <v/>
      </c>
      <c r="E742" s="35" t="inlineStr">
        <is>
          <t>Gold Loan</t>
        </is>
      </c>
      <c r="F742" s="37" t="n">
        <v>45875</v>
      </c>
      <c r="G742" s="38" t="n">
        <v>192000</v>
      </c>
      <c r="H742" s="39" t="n">
        <v>0.1195</v>
      </c>
      <c r="I742" s="35" t="n">
        <v>12</v>
      </c>
      <c r="J742" s="35" t="n">
        <v>746</v>
      </c>
      <c r="K742" s="35" t="n">
        <v>0</v>
      </c>
      <c r="L742" s="40">
        <f>ROUND(PMT(H742/12,I742,-G742),0)</f>
        <v/>
      </c>
      <c r="M742" s="41">
        <f>MAX(0,(YEAR(AsOfDate)-YEAR(F742))*12+MONTH(AsOfDate)-MONTH(F742))</f>
        <v/>
      </c>
      <c r="N742" s="41">
        <f>MAX(0,MIN(I742,M742)-INT(K742/30))</f>
        <v/>
      </c>
      <c r="O742" s="40">
        <f>IF(N742&gt;=I742,0,ROUND(PV(H742/12,I742-N742,-L742),0))</f>
        <v/>
      </c>
      <c r="P742" s="40">
        <f>MIN(I742,M742)*L742-N742*L742</f>
        <v/>
      </c>
      <c r="Q742" s="41">
        <f>INDEX(DPD_Bucket,MATCH(K742,DPD_From,1))</f>
        <v/>
      </c>
      <c r="R742" s="41">
        <f>INDEX(DPD_Class,MATCH(K742,DPD_From,1))</f>
        <v/>
      </c>
      <c r="S742" s="41">
        <f>INDEX(DPD_NPA,MATCH(K742,DPD_From,1))</f>
        <v/>
      </c>
      <c r="T742" s="42">
        <f>INDEX(DPD_Prov,MATCH(K742,DPD_From,1))</f>
        <v/>
      </c>
      <c r="U742" s="40">
        <f>ROUND(O742*T742,0)</f>
        <v/>
      </c>
      <c r="V742" s="41">
        <f>INDEX(CIBIL_Grade,MATCH(J742,CIBIL_From,1))</f>
        <v/>
      </c>
      <c r="W742" s="41">
        <f>YEAR(F742)&amp;"-Q"&amp;ROUNDUP(MONTH(F742)/3,0)</f>
        <v/>
      </c>
      <c r="X742" s="41">
        <f>IF(AND(OR(Dashboard!$C$4="All",D742=Dashboard!$C$4),OR(Dashboard!$C$5="All",E742=Dashboard!$C$5)),1,0)</f>
        <v/>
      </c>
      <c r="Y742" s="43">
        <f>IF(AND(X742=1,S742="Yes"),O742+ROW()/1000000,0)</f>
        <v/>
      </c>
    </row>
    <row r="743">
      <c r="A743" s="35" t="inlineStr">
        <is>
          <t>LN100742</t>
        </is>
      </c>
      <c r="B743" s="35" t="inlineStr">
        <is>
          <t>Deepa Reddy</t>
        </is>
      </c>
      <c r="C743" s="35" t="inlineStr">
        <is>
          <t>JAI-01</t>
        </is>
      </c>
      <c r="D743" s="36">
        <f>INDEX(Branches!$C$2:$C$15,MATCH(C743,Branches!$A$2:$A$15,0))</f>
        <v/>
      </c>
      <c r="E743" s="35" t="inlineStr">
        <is>
          <t>Home Loan</t>
        </is>
      </c>
      <c r="F743" s="37" t="n">
        <v>45368</v>
      </c>
      <c r="G743" s="38" t="n">
        <v>2752000</v>
      </c>
      <c r="H743" s="39" t="n">
        <v>0.09279999999999999</v>
      </c>
      <c r="I743" s="35" t="n">
        <v>120</v>
      </c>
      <c r="J743" s="35" t="n">
        <v>648</v>
      </c>
      <c r="K743" s="35" t="n">
        <v>0</v>
      </c>
      <c r="L743" s="40">
        <f>ROUND(PMT(H743/12,I743,-G743),0)</f>
        <v/>
      </c>
      <c r="M743" s="41">
        <f>MAX(0,(YEAR(AsOfDate)-YEAR(F743))*12+MONTH(AsOfDate)-MONTH(F743))</f>
        <v/>
      </c>
      <c r="N743" s="41">
        <f>MAX(0,MIN(I743,M743)-INT(K743/30))</f>
        <v/>
      </c>
      <c r="O743" s="40">
        <f>IF(N743&gt;=I743,0,ROUND(PV(H743/12,I743-N743,-L743),0))</f>
        <v/>
      </c>
      <c r="P743" s="40">
        <f>MIN(I743,M743)*L743-N743*L743</f>
        <v/>
      </c>
      <c r="Q743" s="41">
        <f>INDEX(DPD_Bucket,MATCH(K743,DPD_From,1))</f>
        <v/>
      </c>
      <c r="R743" s="41">
        <f>INDEX(DPD_Class,MATCH(K743,DPD_From,1))</f>
        <v/>
      </c>
      <c r="S743" s="41">
        <f>INDEX(DPD_NPA,MATCH(K743,DPD_From,1))</f>
        <v/>
      </c>
      <c r="T743" s="42">
        <f>INDEX(DPD_Prov,MATCH(K743,DPD_From,1))</f>
        <v/>
      </c>
      <c r="U743" s="40">
        <f>ROUND(O743*T743,0)</f>
        <v/>
      </c>
      <c r="V743" s="41">
        <f>INDEX(CIBIL_Grade,MATCH(J743,CIBIL_From,1))</f>
        <v/>
      </c>
      <c r="W743" s="41">
        <f>YEAR(F743)&amp;"-Q"&amp;ROUNDUP(MONTH(F743)/3,0)</f>
        <v/>
      </c>
      <c r="X743" s="41">
        <f>IF(AND(OR(Dashboard!$C$4="All",D743=Dashboard!$C$4),OR(Dashboard!$C$5="All",E743=Dashboard!$C$5)),1,0)</f>
        <v/>
      </c>
      <c r="Y743" s="43">
        <f>IF(AND(X743=1,S743="Yes"),O743+ROW()/1000000,0)</f>
        <v/>
      </c>
    </row>
    <row r="744">
      <c r="A744" s="35" t="inlineStr">
        <is>
          <t>LN100743</t>
        </is>
      </c>
      <c r="B744" s="35" t="inlineStr">
        <is>
          <t>Diya Rao</t>
        </is>
      </c>
      <c r="C744" s="35" t="inlineStr">
        <is>
          <t>PUN-01</t>
        </is>
      </c>
      <c r="D744" s="36">
        <f>INDEX(Branches!$C$2:$C$15,MATCH(C744,Branches!$A$2:$A$15,0))</f>
        <v/>
      </c>
      <c r="E744" s="35" t="inlineStr">
        <is>
          <t>Business Loan</t>
        </is>
      </c>
      <c r="F744" s="37" t="n">
        <v>45315</v>
      </c>
      <c r="G744" s="38" t="n">
        <v>536000</v>
      </c>
      <c r="H744" s="39" t="n">
        <v>0.1496</v>
      </c>
      <c r="I744" s="35" t="n">
        <v>36</v>
      </c>
      <c r="J744" s="35" t="n">
        <v>667</v>
      </c>
      <c r="K744" s="35" t="n">
        <v>0</v>
      </c>
      <c r="L744" s="40">
        <f>ROUND(PMT(H744/12,I744,-G744),0)</f>
        <v/>
      </c>
      <c r="M744" s="41">
        <f>MAX(0,(YEAR(AsOfDate)-YEAR(F744))*12+MONTH(AsOfDate)-MONTH(F744))</f>
        <v/>
      </c>
      <c r="N744" s="41">
        <f>MAX(0,MIN(I744,M744)-INT(K744/30))</f>
        <v/>
      </c>
      <c r="O744" s="40">
        <f>IF(N744&gt;=I744,0,ROUND(PV(H744/12,I744-N744,-L744),0))</f>
        <v/>
      </c>
      <c r="P744" s="40">
        <f>MIN(I744,M744)*L744-N744*L744</f>
        <v/>
      </c>
      <c r="Q744" s="41">
        <f>INDEX(DPD_Bucket,MATCH(K744,DPD_From,1))</f>
        <v/>
      </c>
      <c r="R744" s="41">
        <f>INDEX(DPD_Class,MATCH(K744,DPD_From,1))</f>
        <v/>
      </c>
      <c r="S744" s="41">
        <f>INDEX(DPD_NPA,MATCH(K744,DPD_From,1))</f>
        <v/>
      </c>
      <c r="T744" s="42">
        <f>INDEX(DPD_Prov,MATCH(K744,DPD_From,1))</f>
        <v/>
      </c>
      <c r="U744" s="40">
        <f>ROUND(O744*T744,0)</f>
        <v/>
      </c>
      <c r="V744" s="41">
        <f>INDEX(CIBIL_Grade,MATCH(J744,CIBIL_From,1))</f>
        <v/>
      </c>
      <c r="W744" s="41">
        <f>YEAR(F744)&amp;"-Q"&amp;ROUNDUP(MONTH(F744)/3,0)</f>
        <v/>
      </c>
      <c r="X744" s="41">
        <f>IF(AND(OR(Dashboard!$C$4="All",D744=Dashboard!$C$4),OR(Dashboard!$C$5="All",E744=Dashboard!$C$5)),1,0)</f>
        <v/>
      </c>
      <c r="Y744" s="43">
        <f>IF(AND(X744=1,S744="Yes"),O744+ROW()/1000000,0)</f>
        <v/>
      </c>
    </row>
    <row r="745">
      <c r="A745" s="35" t="inlineStr">
        <is>
          <t>LN100744</t>
        </is>
      </c>
      <c r="B745" s="35" t="inlineStr">
        <is>
          <t>Ishaan Kulkarni</t>
        </is>
      </c>
      <c r="C745" s="35" t="inlineStr">
        <is>
          <t>JAI-01</t>
        </is>
      </c>
      <c r="D745" s="36">
        <f>INDEX(Branches!$C$2:$C$15,MATCH(C745,Branches!$A$2:$A$15,0))</f>
        <v/>
      </c>
      <c r="E745" s="35" t="inlineStr">
        <is>
          <t>Personal Loan</t>
        </is>
      </c>
      <c r="F745" s="37" t="n">
        <v>45346</v>
      </c>
      <c r="G745" s="38" t="n">
        <v>1204000</v>
      </c>
      <c r="H745" s="39" t="n">
        <v>0.1539</v>
      </c>
      <c r="I745" s="35" t="n">
        <v>24</v>
      </c>
      <c r="J745" s="35" t="n">
        <v>783</v>
      </c>
      <c r="K745" s="35" t="n">
        <v>0</v>
      </c>
      <c r="L745" s="40">
        <f>ROUND(PMT(H745/12,I745,-G745),0)</f>
        <v/>
      </c>
      <c r="M745" s="41">
        <f>MAX(0,(YEAR(AsOfDate)-YEAR(F745))*12+MONTH(AsOfDate)-MONTH(F745))</f>
        <v/>
      </c>
      <c r="N745" s="41">
        <f>MAX(0,MIN(I745,M745)-INT(K745/30))</f>
        <v/>
      </c>
      <c r="O745" s="40">
        <f>IF(N745&gt;=I745,0,ROUND(PV(H745/12,I745-N745,-L745),0))</f>
        <v/>
      </c>
      <c r="P745" s="40">
        <f>MIN(I745,M745)*L745-N745*L745</f>
        <v/>
      </c>
      <c r="Q745" s="41">
        <f>INDEX(DPD_Bucket,MATCH(K745,DPD_From,1))</f>
        <v/>
      </c>
      <c r="R745" s="41">
        <f>INDEX(DPD_Class,MATCH(K745,DPD_From,1))</f>
        <v/>
      </c>
      <c r="S745" s="41">
        <f>INDEX(DPD_NPA,MATCH(K745,DPD_From,1))</f>
        <v/>
      </c>
      <c r="T745" s="42">
        <f>INDEX(DPD_Prov,MATCH(K745,DPD_From,1))</f>
        <v/>
      </c>
      <c r="U745" s="40">
        <f>ROUND(O745*T745,0)</f>
        <v/>
      </c>
      <c r="V745" s="41">
        <f>INDEX(CIBIL_Grade,MATCH(J745,CIBIL_From,1))</f>
        <v/>
      </c>
      <c r="W745" s="41">
        <f>YEAR(F745)&amp;"-Q"&amp;ROUNDUP(MONTH(F745)/3,0)</f>
        <v/>
      </c>
      <c r="X745" s="41">
        <f>IF(AND(OR(Dashboard!$C$4="All",D745=Dashboard!$C$4),OR(Dashboard!$C$5="All",E745=Dashboard!$C$5)),1,0)</f>
        <v/>
      </c>
      <c r="Y745" s="43">
        <f>IF(AND(X745=1,S745="Yes"),O745+ROW()/1000000,0)</f>
        <v/>
      </c>
    </row>
    <row r="746">
      <c r="A746" s="35" t="inlineStr">
        <is>
          <t>LN100745</t>
        </is>
      </c>
      <c r="B746" s="35" t="inlineStr">
        <is>
          <t>Kavya Reddy</t>
        </is>
      </c>
      <c r="C746" s="35" t="inlineStr">
        <is>
          <t>LKO-01</t>
        </is>
      </c>
      <c r="D746" s="36">
        <f>INDEX(Branches!$C$2:$C$15,MATCH(C746,Branches!$A$2:$A$15,0))</f>
        <v/>
      </c>
      <c r="E746" s="35" t="inlineStr">
        <is>
          <t>Personal Loan</t>
        </is>
      </c>
      <c r="F746" s="37" t="n">
        <v>45769</v>
      </c>
      <c r="G746" s="38" t="n">
        <v>1489000</v>
      </c>
      <c r="H746" s="39" t="n">
        <v>0.1263</v>
      </c>
      <c r="I746" s="35" t="n">
        <v>48</v>
      </c>
      <c r="J746" s="35" t="n">
        <v>751</v>
      </c>
      <c r="K746" s="35" t="n">
        <v>0</v>
      </c>
      <c r="L746" s="40">
        <f>ROUND(PMT(H746/12,I746,-G746),0)</f>
        <v/>
      </c>
      <c r="M746" s="41">
        <f>MAX(0,(YEAR(AsOfDate)-YEAR(F746))*12+MONTH(AsOfDate)-MONTH(F746))</f>
        <v/>
      </c>
      <c r="N746" s="41">
        <f>MAX(0,MIN(I746,M746)-INT(K746/30))</f>
        <v/>
      </c>
      <c r="O746" s="40">
        <f>IF(N746&gt;=I746,0,ROUND(PV(H746/12,I746-N746,-L746),0))</f>
        <v/>
      </c>
      <c r="P746" s="40">
        <f>MIN(I746,M746)*L746-N746*L746</f>
        <v/>
      </c>
      <c r="Q746" s="41">
        <f>INDEX(DPD_Bucket,MATCH(K746,DPD_From,1))</f>
        <v/>
      </c>
      <c r="R746" s="41">
        <f>INDEX(DPD_Class,MATCH(K746,DPD_From,1))</f>
        <v/>
      </c>
      <c r="S746" s="41">
        <f>INDEX(DPD_NPA,MATCH(K746,DPD_From,1))</f>
        <v/>
      </c>
      <c r="T746" s="42">
        <f>INDEX(DPD_Prov,MATCH(K746,DPD_From,1))</f>
        <v/>
      </c>
      <c r="U746" s="40">
        <f>ROUND(O746*T746,0)</f>
        <v/>
      </c>
      <c r="V746" s="41">
        <f>INDEX(CIBIL_Grade,MATCH(J746,CIBIL_From,1))</f>
        <v/>
      </c>
      <c r="W746" s="41">
        <f>YEAR(F746)&amp;"-Q"&amp;ROUNDUP(MONTH(F746)/3,0)</f>
        <v/>
      </c>
      <c r="X746" s="41">
        <f>IF(AND(OR(Dashboard!$C$4="All",D746=Dashboard!$C$4),OR(Dashboard!$C$5="All",E746=Dashboard!$C$5)),1,0)</f>
        <v/>
      </c>
      <c r="Y746" s="43">
        <f>IF(AND(X746=1,S746="Yes"),O746+ROW()/1000000,0)</f>
        <v/>
      </c>
    </row>
    <row r="747">
      <c r="A747" s="35" t="inlineStr">
        <is>
          <t>LN100746</t>
        </is>
      </c>
      <c r="B747" s="35" t="inlineStr">
        <is>
          <t>Manish Patel</t>
        </is>
      </c>
      <c r="C747" s="35" t="inlineStr">
        <is>
          <t>BLR-01</t>
        </is>
      </c>
      <c r="D747" s="36">
        <f>INDEX(Branches!$C$2:$C$15,MATCH(C747,Branches!$A$2:$A$15,0))</f>
        <v/>
      </c>
      <c r="E747" s="35" t="inlineStr">
        <is>
          <t>Home Loan</t>
        </is>
      </c>
      <c r="F747" s="37" t="n">
        <v>45534</v>
      </c>
      <c r="G747" s="38" t="n">
        <v>2363000</v>
      </c>
      <c r="H747" s="39" t="n">
        <v>0.09520000000000001</v>
      </c>
      <c r="I747" s="35" t="n">
        <v>240</v>
      </c>
      <c r="J747" s="35" t="n">
        <v>719</v>
      </c>
      <c r="K747" s="35" t="n">
        <v>0</v>
      </c>
      <c r="L747" s="40">
        <f>ROUND(PMT(H747/12,I747,-G747),0)</f>
        <v/>
      </c>
      <c r="M747" s="41">
        <f>MAX(0,(YEAR(AsOfDate)-YEAR(F747))*12+MONTH(AsOfDate)-MONTH(F747))</f>
        <v/>
      </c>
      <c r="N747" s="41">
        <f>MAX(0,MIN(I747,M747)-INT(K747/30))</f>
        <v/>
      </c>
      <c r="O747" s="40">
        <f>IF(N747&gt;=I747,0,ROUND(PV(H747/12,I747-N747,-L747),0))</f>
        <v/>
      </c>
      <c r="P747" s="40">
        <f>MIN(I747,M747)*L747-N747*L747</f>
        <v/>
      </c>
      <c r="Q747" s="41">
        <f>INDEX(DPD_Bucket,MATCH(K747,DPD_From,1))</f>
        <v/>
      </c>
      <c r="R747" s="41">
        <f>INDEX(DPD_Class,MATCH(K747,DPD_From,1))</f>
        <v/>
      </c>
      <c r="S747" s="41">
        <f>INDEX(DPD_NPA,MATCH(K747,DPD_From,1))</f>
        <v/>
      </c>
      <c r="T747" s="42">
        <f>INDEX(DPD_Prov,MATCH(K747,DPD_From,1))</f>
        <v/>
      </c>
      <c r="U747" s="40">
        <f>ROUND(O747*T747,0)</f>
        <v/>
      </c>
      <c r="V747" s="41">
        <f>INDEX(CIBIL_Grade,MATCH(J747,CIBIL_From,1))</f>
        <v/>
      </c>
      <c r="W747" s="41">
        <f>YEAR(F747)&amp;"-Q"&amp;ROUNDUP(MONTH(F747)/3,0)</f>
        <v/>
      </c>
      <c r="X747" s="41">
        <f>IF(AND(OR(Dashboard!$C$4="All",D747=Dashboard!$C$4),OR(Dashboard!$C$5="All",E747=Dashboard!$C$5)),1,0)</f>
        <v/>
      </c>
      <c r="Y747" s="43">
        <f>IF(AND(X747=1,S747="Yes"),O747+ROW()/1000000,0)</f>
        <v/>
      </c>
    </row>
    <row r="748">
      <c r="A748" s="35" t="inlineStr">
        <is>
          <t>LN100747</t>
        </is>
      </c>
      <c r="B748" s="35" t="inlineStr">
        <is>
          <t>Manish Nair</t>
        </is>
      </c>
      <c r="C748" s="35" t="inlineStr">
        <is>
          <t>DEL-01</t>
        </is>
      </c>
      <c r="D748" s="36">
        <f>INDEX(Branches!$C$2:$C$15,MATCH(C748,Branches!$A$2:$A$15,0))</f>
        <v/>
      </c>
      <c r="E748" s="35" t="inlineStr">
        <is>
          <t>Personal Loan</t>
        </is>
      </c>
      <c r="F748" s="37" t="n">
        <v>45551</v>
      </c>
      <c r="G748" s="38" t="n">
        <v>517000</v>
      </c>
      <c r="H748" s="39" t="n">
        <v>0.1603</v>
      </c>
      <c r="I748" s="35" t="n">
        <v>24</v>
      </c>
      <c r="J748" s="35" t="n">
        <v>711</v>
      </c>
      <c r="K748" s="35" t="n">
        <v>2</v>
      </c>
      <c r="L748" s="40">
        <f>ROUND(PMT(H748/12,I748,-G748),0)</f>
        <v/>
      </c>
      <c r="M748" s="41">
        <f>MAX(0,(YEAR(AsOfDate)-YEAR(F748))*12+MONTH(AsOfDate)-MONTH(F748))</f>
        <v/>
      </c>
      <c r="N748" s="41">
        <f>MAX(0,MIN(I748,M748)-INT(K748/30))</f>
        <v/>
      </c>
      <c r="O748" s="40">
        <f>IF(N748&gt;=I748,0,ROUND(PV(H748/12,I748-N748,-L748),0))</f>
        <v/>
      </c>
      <c r="P748" s="40">
        <f>MIN(I748,M748)*L748-N748*L748</f>
        <v/>
      </c>
      <c r="Q748" s="41">
        <f>INDEX(DPD_Bucket,MATCH(K748,DPD_From,1))</f>
        <v/>
      </c>
      <c r="R748" s="41">
        <f>INDEX(DPD_Class,MATCH(K748,DPD_From,1))</f>
        <v/>
      </c>
      <c r="S748" s="41">
        <f>INDEX(DPD_NPA,MATCH(K748,DPD_From,1))</f>
        <v/>
      </c>
      <c r="T748" s="42">
        <f>INDEX(DPD_Prov,MATCH(K748,DPD_From,1))</f>
        <v/>
      </c>
      <c r="U748" s="40">
        <f>ROUND(O748*T748,0)</f>
        <v/>
      </c>
      <c r="V748" s="41">
        <f>INDEX(CIBIL_Grade,MATCH(J748,CIBIL_From,1))</f>
        <v/>
      </c>
      <c r="W748" s="41">
        <f>YEAR(F748)&amp;"-Q"&amp;ROUNDUP(MONTH(F748)/3,0)</f>
        <v/>
      </c>
      <c r="X748" s="41">
        <f>IF(AND(OR(Dashboard!$C$4="All",D748=Dashboard!$C$4),OR(Dashboard!$C$5="All",E748=Dashboard!$C$5)),1,0)</f>
        <v/>
      </c>
      <c r="Y748" s="43">
        <f>IF(AND(X748=1,S748="Yes"),O748+ROW()/1000000,0)</f>
        <v/>
      </c>
    </row>
    <row r="749">
      <c r="A749" s="35" t="inlineStr">
        <is>
          <t>LN100748</t>
        </is>
      </c>
      <c r="B749" s="35" t="inlineStr">
        <is>
          <t>Priya Chatterjee</t>
        </is>
      </c>
      <c r="C749" s="35" t="inlineStr">
        <is>
          <t>JAI-01</t>
        </is>
      </c>
      <c r="D749" s="36">
        <f>INDEX(Branches!$C$2:$C$15,MATCH(C749,Branches!$A$2:$A$15,0))</f>
        <v/>
      </c>
      <c r="E749" s="35" t="inlineStr">
        <is>
          <t>Personal Loan</t>
        </is>
      </c>
      <c r="F749" s="37" t="n">
        <v>45695</v>
      </c>
      <c r="G749" s="38" t="n">
        <v>370000</v>
      </c>
      <c r="H749" s="39" t="n">
        <v>0.1634</v>
      </c>
      <c r="I749" s="35" t="n">
        <v>24</v>
      </c>
      <c r="J749" s="35" t="n">
        <v>574</v>
      </c>
      <c r="K749" s="35" t="n">
        <v>10</v>
      </c>
      <c r="L749" s="40">
        <f>ROUND(PMT(H749/12,I749,-G749),0)</f>
        <v/>
      </c>
      <c r="M749" s="41">
        <f>MAX(0,(YEAR(AsOfDate)-YEAR(F749))*12+MONTH(AsOfDate)-MONTH(F749))</f>
        <v/>
      </c>
      <c r="N749" s="41">
        <f>MAX(0,MIN(I749,M749)-INT(K749/30))</f>
        <v/>
      </c>
      <c r="O749" s="40">
        <f>IF(N749&gt;=I749,0,ROUND(PV(H749/12,I749-N749,-L749),0))</f>
        <v/>
      </c>
      <c r="P749" s="40">
        <f>MIN(I749,M749)*L749-N749*L749</f>
        <v/>
      </c>
      <c r="Q749" s="41">
        <f>INDEX(DPD_Bucket,MATCH(K749,DPD_From,1))</f>
        <v/>
      </c>
      <c r="R749" s="41">
        <f>INDEX(DPD_Class,MATCH(K749,DPD_From,1))</f>
        <v/>
      </c>
      <c r="S749" s="41">
        <f>INDEX(DPD_NPA,MATCH(K749,DPD_From,1))</f>
        <v/>
      </c>
      <c r="T749" s="42">
        <f>INDEX(DPD_Prov,MATCH(K749,DPD_From,1))</f>
        <v/>
      </c>
      <c r="U749" s="40">
        <f>ROUND(O749*T749,0)</f>
        <v/>
      </c>
      <c r="V749" s="41">
        <f>INDEX(CIBIL_Grade,MATCH(J749,CIBIL_From,1))</f>
        <v/>
      </c>
      <c r="W749" s="41">
        <f>YEAR(F749)&amp;"-Q"&amp;ROUNDUP(MONTH(F749)/3,0)</f>
        <v/>
      </c>
      <c r="X749" s="41">
        <f>IF(AND(OR(Dashboard!$C$4="All",D749=Dashboard!$C$4),OR(Dashboard!$C$5="All",E749=Dashboard!$C$5)),1,0)</f>
        <v/>
      </c>
      <c r="Y749" s="43">
        <f>IF(AND(X749=1,S749="Yes"),O749+ROW()/1000000,0)</f>
        <v/>
      </c>
    </row>
    <row r="750">
      <c r="A750" s="35" t="inlineStr">
        <is>
          <t>LN100749</t>
        </is>
      </c>
      <c r="B750" s="35" t="inlineStr">
        <is>
          <t>Rahul Banerjee</t>
        </is>
      </c>
      <c r="C750" s="35" t="inlineStr">
        <is>
          <t>JAI-01</t>
        </is>
      </c>
      <c r="D750" s="36">
        <f>INDEX(Branches!$C$2:$C$15,MATCH(C750,Branches!$A$2:$A$15,0))</f>
        <v/>
      </c>
      <c r="E750" s="35" t="inlineStr">
        <is>
          <t>Personal Loan</t>
        </is>
      </c>
      <c r="F750" s="37" t="n">
        <v>45302</v>
      </c>
      <c r="G750" s="38" t="n">
        <v>883000</v>
      </c>
      <c r="H750" s="39" t="n">
        <v>0.1634</v>
      </c>
      <c r="I750" s="35" t="n">
        <v>24</v>
      </c>
      <c r="J750" s="35" t="n">
        <v>745</v>
      </c>
      <c r="K750" s="35" t="n">
        <v>0</v>
      </c>
      <c r="L750" s="40">
        <f>ROUND(PMT(H750/12,I750,-G750),0)</f>
        <v/>
      </c>
      <c r="M750" s="41">
        <f>MAX(0,(YEAR(AsOfDate)-YEAR(F750))*12+MONTH(AsOfDate)-MONTH(F750))</f>
        <v/>
      </c>
      <c r="N750" s="41">
        <f>MAX(0,MIN(I750,M750)-INT(K750/30))</f>
        <v/>
      </c>
      <c r="O750" s="40">
        <f>IF(N750&gt;=I750,0,ROUND(PV(H750/12,I750-N750,-L750),0))</f>
        <v/>
      </c>
      <c r="P750" s="40">
        <f>MIN(I750,M750)*L750-N750*L750</f>
        <v/>
      </c>
      <c r="Q750" s="41">
        <f>INDEX(DPD_Bucket,MATCH(K750,DPD_From,1))</f>
        <v/>
      </c>
      <c r="R750" s="41">
        <f>INDEX(DPD_Class,MATCH(K750,DPD_From,1))</f>
        <v/>
      </c>
      <c r="S750" s="41">
        <f>INDEX(DPD_NPA,MATCH(K750,DPD_From,1))</f>
        <v/>
      </c>
      <c r="T750" s="42">
        <f>INDEX(DPD_Prov,MATCH(K750,DPD_From,1))</f>
        <v/>
      </c>
      <c r="U750" s="40">
        <f>ROUND(O750*T750,0)</f>
        <v/>
      </c>
      <c r="V750" s="41">
        <f>INDEX(CIBIL_Grade,MATCH(J750,CIBIL_From,1))</f>
        <v/>
      </c>
      <c r="W750" s="41">
        <f>YEAR(F750)&amp;"-Q"&amp;ROUNDUP(MONTH(F750)/3,0)</f>
        <v/>
      </c>
      <c r="X750" s="41">
        <f>IF(AND(OR(Dashboard!$C$4="All",D750=Dashboard!$C$4),OR(Dashboard!$C$5="All",E750=Dashboard!$C$5)),1,0)</f>
        <v/>
      </c>
      <c r="Y750" s="43">
        <f>IF(AND(X750=1,S750="Yes"),O750+ROW()/1000000,0)</f>
        <v/>
      </c>
    </row>
    <row r="751">
      <c r="A751" s="35" t="inlineStr">
        <is>
          <t>LN100750</t>
        </is>
      </c>
      <c r="B751" s="35" t="inlineStr">
        <is>
          <t>Farhan Pillai</t>
        </is>
      </c>
      <c r="C751" s="35" t="inlineStr">
        <is>
          <t>BBS-01</t>
        </is>
      </c>
      <c r="D751" s="36">
        <f>INDEX(Branches!$C$2:$C$15,MATCH(C751,Branches!$A$2:$A$15,0))</f>
        <v/>
      </c>
      <c r="E751" s="35" t="inlineStr">
        <is>
          <t>Business Loan</t>
        </is>
      </c>
      <c r="F751" s="37" t="n">
        <v>45306</v>
      </c>
      <c r="G751" s="38" t="n">
        <v>4880000</v>
      </c>
      <c r="H751" s="39" t="n">
        <v>0.1877</v>
      </c>
      <c r="I751" s="35" t="n">
        <v>60</v>
      </c>
      <c r="J751" s="35" t="n">
        <v>714</v>
      </c>
      <c r="K751" s="35" t="n">
        <v>0</v>
      </c>
      <c r="L751" s="40">
        <f>ROUND(PMT(H751/12,I751,-G751),0)</f>
        <v/>
      </c>
      <c r="M751" s="41">
        <f>MAX(0,(YEAR(AsOfDate)-YEAR(F751))*12+MONTH(AsOfDate)-MONTH(F751))</f>
        <v/>
      </c>
      <c r="N751" s="41">
        <f>MAX(0,MIN(I751,M751)-INT(K751/30))</f>
        <v/>
      </c>
      <c r="O751" s="40">
        <f>IF(N751&gt;=I751,0,ROUND(PV(H751/12,I751-N751,-L751),0))</f>
        <v/>
      </c>
      <c r="P751" s="40">
        <f>MIN(I751,M751)*L751-N751*L751</f>
        <v/>
      </c>
      <c r="Q751" s="41">
        <f>INDEX(DPD_Bucket,MATCH(K751,DPD_From,1))</f>
        <v/>
      </c>
      <c r="R751" s="41">
        <f>INDEX(DPD_Class,MATCH(K751,DPD_From,1))</f>
        <v/>
      </c>
      <c r="S751" s="41">
        <f>INDEX(DPD_NPA,MATCH(K751,DPD_From,1))</f>
        <v/>
      </c>
      <c r="T751" s="42">
        <f>INDEX(DPD_Prov,MATCH(K751,DPD_From,1))</f>
        <v/>
      </c>
      <c r="U751" s="40">
        <f>ROUND(O751*T751,0)</f>
        <v/>
      </c>
      <c r="V751" s="41">
        <f>INDEX(CIBIL_Grade,MATCH(J751,CIBIL_From,1))</f>
        <v/>
      </c>
      <c r="W751" s="41">
        <f>YEAR(F751)&amp;"-Q"&amp;ROUNDUP(MONTH(F751)/3,0)</f>
        <v/>
      </c>
      <c r="X751" s="41">
        <f>IF(AND(OR(Dashboard!$C$4="All",D751=Dashboard!$C$4),OR(Dashboard!$C$5="All",E751=Dashboard!$C$5)),1,0)</f>
        <v/>
      </c>
      <c r="Y751" s="43">
        <f>IF(AND(X751=1,S751="Yes"),O751+ROW()/1000000,0)</f>
        <v/>
      </c>
    </row>
    <row r="752">
      <c r="A752" s="35" t="inlineStr">
        <is>
          <t>LN100751</t>
        </is>
      </c>
      <c r="B752" s="35" t="inlineStr">
        <is>
          <t>Gaurav Chatterjee</t>
        </is>
      </c>
      <c r="C752" s="35" t="inlineStr">
        <is>
          <t>CHN-01</t>
        </is>
      </c>
      <c r="D752" s="36">
        <f>INDEX(Branches!$C$2:$C$15,MATCH(C752,Branches!$A$2:$A$15,0))</f>
        <v/>
      </c>
      <c r="E752" s="35" t="inlineStr">
        <is>
          <t>Home Loan</t>
        </is>
      </c>
      <c r="F752" s="37" t="n">
        <v>45181</v>
      </c>
      <c r="G752" s="38" t="n">
        <v>11028000</v>
      </c>
      <c r="H752" s="39" t="n">
        <v>0.09039999999999999</v>
      </c>
      <c r="I752" s="35" t="n">
        <v>120</v>
      </c>
      <c r="J752" s="35" t="n">
        <v>728</v>
      </c>
      <c r="K752" s="35" t="n">
        <v>0</v>
      </c>
      <c r="L752" s="40">
        <f>ROUND(PMT(H752/12,I752,-G752),0)</f>
        <v/>
      </c>
      <c r="M752" s="41">
        <f>MAX(0,(YEAR(AsOfDate)-YEAR(F752))*12+MONTH(AsOfDate)-MONTH(F752))</f>
        <v/>
      </c>
      <c r="N752" s="41">
        <f>MAX(0,MIN(I752,M752)-INT(K752/30))</f>
        <v/>
      </c>
      <c r="O752" s="40">
        <f>IF(N752&gt;=I752,0,ROUND(PV(H752/12,I752-N752,-L752),0))</f>
        <v/>
      </c>
      <c r="P752" s="40">
        <f>MIN(I752,M752)*L752-N752*L752</f>
        <v/>
      </c>
      <c r="Q752" s="41">
        <f>INDEX(DPD_Bucket,MATCH(K752,DPD_From,1))</f>
        <v/>
      </c>
      <c r="R752" s="41">
        <f>INDEX(DPD_Class,MATCH(K752,DPD_From,1))</f>
        <v/>
      </c>
      <c r="S752" s="41">
        <f>INDEX(DPD_NPA,MATCH(K752,DPD_From,1))</f>
        <v/>
      </c>
      <c r="T752" s="42">
        <f>INDEX(DPD_Prov,MATCH(K752,DPD_From,1))</f>
        <v/>
      </c>
      <c r="U752" s="40">
        <f>ROUND(O752*T752,0)</f>
        <v/>
      </c>
      <c r="V752" s="41">
        <f>INDEX(CIBIL_Grade,MATCH(J752,CIBIL_From,1))</f>
        <v/>
      </c>
      <c r="W752" s="41">
        <f>YEAR(F752)&amp;"-Q"&amp;ROUNDUP(MONTH(F752)/3,0)</f>
        <v/>
      </c>
      <c r="X752" s="41">
        <f>IF(AND(OR(Dashboard!$C$4="All",D752=Dashboard!$C$4),OR(Dashboard!$C$5="All",E752=Dashboard!$C$5)),1,0)</f>
        <v/>
      </c>
      <c r="Y752" s="43">
        <f>IF(AND(X752=1,S752="Yes"),O752+ROW()/1000000,0)</f>
        <v/>
      </c>
    </row>
    <row r="753">
      <c r="A753" s="35" t="inlineStr">
        <is>
          <t>LN100752</t>
        </is>
      </c>
      <c r="B753" s="35" t="inlineStr">
        <is>
          <t>Arjun Sahoo</t>
        </is>
      </c>
      <c r="C753" s="35" t="inlineStr">
        <is>
          <t>GUW-01</t>
        </is>
      </c>
      <c r="D753" s="36">
        <f>INDEX(Branches!$C$2:$C$15,MATCH(C753,Branches!$A$2:$A$15,0))</f>
        <v/>
      </c>
      <c r="E753" s="35" t="inlineStr">
        <is>
          <t>Home Loan</t>
        </is>
      </c>
      <c r="F753" s="37" t="n">
        <v>45417</v>
      </c>
      <c r="G753" s="38" t="n">
        <v>7312000</v>
      </c>
      <c r="H753" s="39" t="n">
        <v>0.0857</v>
      </c>
      <c r="I753" s="35" t="n">
        <v>120</v>
      </c>
      <c r="J753" s="35" t="n">
        <v>706</v>
      </c>
      <c r="K753" s="35" t="n">
        <v>0</v>
      </c>
      <c r="L753" s="40">
        <f>ROUND(PMT(H753/12,I753,-G753),0)</f>
        <v/>
      </c>
      <c r="M753" s="41">
        <f>MAX(0,(YEAR(AsOfDate)-YEAR(F753))*12+MONTH(AsOfDate)-MONTH(F753))</f>
        <v/>
      </c>
      <c r="N753" s="41">
        <f>MAX(0,MIN(I753,M753)-INT(K753/30))</f>
        <v/>
      </c>
      <c r="O753" s="40">
        <f>IF(N753&gt;=I753,0,ROUND(PV(H753/12,I753-N753,-L753),0))</f>
        <v/>
      </c>
      <c r="P753" s="40">
        <f>MIN(I753,M753)*L753-N753*L753</f>
        <v/>
      </c>
      <c r="Q753" s="41">
        <f>INDEX(DPD_Bucket,MATCH(K753,DPD_From,1))</f>
        <v/>
      </c>
      <c r="R753" s="41">
        <f>INDEX(DPD_Class,MATCH(K753,DPD_From,1))</f>
        <v/>
      </c>
      <c r="S753" s="41">
        <f>INDEX(DPD_NPA,MATCH(K753,DPD_From,1))</f>
        <v/>
      </c>
      <c r="T753" s="42">
        <f>INDEX(DPD_Prov,MATCH(K753,DPD_From,1))</f>
        <v/>
      </c>
      <c r="U753" s="40">
        <f>ROUND(O753*T753,0)</f>
        <v/>
      </c>
      <c r="V753" s="41">
        <f>INDEX(CIBIL_Grade,MATCH(J753,CIBIL_From,1))</f>
        <v/>
      </c>
      <c r="W753" s="41">
        <f>YEAR(F753)&amp;"-Q"&amp;ROUNDUP(MONTH(F753)/3,0)</f>
        <v/>
      </c>
      <c r="X753" s="41">
        <f>IF(AND(OR(Dashboard!$C$4="All",D753=Dashboard!$C$4),OR(Dashboard!$C$5="All",E753=Dashboard!$C$5)),1,0)</f>
        <v/>
      </c>
      <c r="Y753" s="43">
        <f>IF(AND(X753=1,S753="Yes"),O753+ROW()/1000000,0)</f>
        <v/>
      </c>
    </row>
    <row r="754">
      <c r="A754" s="35" t="inlineStr">
        <is>
          <t>LN100753</t>
        </is>
      </c>
      <c r="B754" s="35" t="inlineStr">
        <is>
          <t>Diya Pillai</t>
        </is>
      </c>
      <c r="C754" s="35" t="inlineStr">
        <is>
          <t>BLR-01</t>
        </is>
      </c>
      <c r="D754" s="36">
        <f>INDEX(Branches!$C$2:$C$15,MATCH(C754,Branches!$A$2:$A$15,0))</f>
        <v/>
      </c>
      <c r="E754" s="35" t="inlineStr">
        <is>
          <t>Personal Loan</t>
        </is>
      </c>
      <c r="F754" s="37" t="n">
        <v>45860</v>
      </c>
      <c r="G754" s="38" t="n">
        <v>1208000</v>
      </c>
      <c r="H754" s="39" t="n">
        <v>0.1157</v>
      </c>
      <c r="I754" s="35" t="n">
        <v>12</v>
      </c>
      <c r="J754" s="35" t="n">
        <v>769</v>
      </c>
      <c r="K754" s="35" t="n">
        <v>0</v>
      </c>
      <c r="L754" s="40">
        <f>ROUND(PMT(H754/12,I754,-G754),0)</f>
        <v/>
      </c>
      <c r="M754" s="41">
        <f>MAX(0,(YEAR(AsOfDate)-YEAR(F754))*12+MONTH(AsOfDate)-MONTH(F754))</f>
        <v/>
      </c>
      <c r="N754" s="41">
        <f>MAX(0,MIN(I754,M754)-INT(K754/30))</f>
        <v/>
      </c>
      <c r="O754" s="40">
        <f>IF(N754&gt;=I754,0,ROUND(PV(H754/12,I754-N754,-L754),0))</f>
        <v/>
      </c>
      <c r="P754" s="40">
        <f>MIN(I754,M754)*L754-N754*L754</f>
        <v/>
      </c>
      <c r="Q754" s="41">
        <f>INDEX(DPD_Bucket,MATCH(K754,DPD_From,1))</f>
        <v/>
      </c>
      <c r="R754" s="41">
        <f>INDEX(DPD_Class,MATCH(K754,DPD_From,1))</f>
        <v/>
      </c>
      <c r="S754" s="41">
        <f>INDEX(DPD_NPA,MATCH(K754,DPD_From,1))</f>
        <v/>
      </c>
      <c r="T754" s="42">
        <f>INDEX(DPD_Prov,MATCH(K754,DPD_From,1))</f>
        <v/>
      </c>
      <c r="U754" s="40">
        <f>ROUND(O754*T754,0)</f>
        <v/>
      </c>
      <c r="V754" s="41">
        <f>INDEX(CIBIL_Grade,MATCH(J754,CIBIL_From,1))</f>
        <v/>
      </c>
      <c r="W754" s="41">
        <f>YEAR(F754)&amp;"-Q"&amp;ROUNDUP(MONTH(F754)/3,0)</f>
        <v/>
      </c>
      <c r="X754" s="41">
        <f>IF(AND(OR(Dashboard!$C$4="All",D754=Dashboard!$C$4),OR(Dashboard!$C$5="All",E754=Dashboard!$C$5)),1,0)</f>
        <v/>
      </c>
      <c r="Y754" s="43">
        <f>IF(AND(X754=1,S754="Yes"),O754+ROW()/1000000,0)</f>
        <v/>
      </c>
    </row>
    <row r="755">
      <c r="A755" s="35" t="inlineStr">
        <is>
          <t>LN100754</t>
        </is>
      </c>
      <c r="B755" s="35" t="inlineStr">
        <is>
          <t>Ishaan Patel</t>
        </is>
      </c>
      <c r="C755" s="35" t="inlineStr">
        <is>
          <t>GUW-01</t>
        </is>
      </c>
      <c r="D755" s="36">
        <f>INDEX(Branches!$C$2:$C$15,MATCH(C755,Branches!$A$2:$A$15,0))</f>
        <v/>
      </c>
      <c r="E755" s="35" t="inlineStr">
        <is>
          <t>Personal Loan</t>
        </is>
      </c>
      <c r="F755" s="37" t="n">
        <v>45549</v>
      </c>
      <c r="G755" s="38" t="n">
        <v>1136000</v>
      </c>
      <c r="H755" s="39" t="n">
        <v>0.1052</v>
      </c>
      <c r="I755" s="35" t="n">
        <v>12</v>
      </c>
      <c r="J755" s="35" t="n">
        <v>766</v>
      </c>
      <c r="K755" s="35" t="n">
        <v>0</v>
      </c>
      <c r="L755" s="40">
        <f>ROUND(PMT(H755/12,I755,-G755),0)</f>
        <v/>
      </c>
      <c r="M755" s="41">
        <f>MAX(0,(YEAR(AsOfDate)-YEAR(F755))*12+MONTH(AsOfDate)-MONTH(F755))</f>
        <v/>
      </c>
      <c r="N755" s="41">
        <f>MAX(0,MIN(I755,M755)-INT(K755/30))</f>
        <v/>
      </c>
      <c r="O755" s="40">
        <f>IF(N755&gt;=I755,0,ROUND(PV(H755/12,I755-N755,-L755),0))</f>
        <v/>
      </c>
      <c r="P755" s="40">
        <f>MIN(I755,M755)*L755-N755*L755</f>
        <v/>
      </c>
      <c r="Q755" s="41">
        <f>INDEX(DPD_Bucket,MATCH(K755,DPD_From,1))</f>
        <v/>
      </c>
      <c r="R755" s="41">
        <f>INDEX(DPD_Class,MATCH(K755,DPD_From,1))</f>
        <v/>
      </c>
      <c r="S755" s="41">
        <f>INDEX(DPD_NPA,MATCH(K755,DPD_From,1))</f>
        <v/>
      </c>
      <c r="T755" s="42">
        <f>INDEX(DPD_Prov,MATCH(K755,DPD_From,1))</f>
        <v/>
      </c>
      <c r="U755" s="40">
        <f>ROUND(O755*T755,0)</f>
        <v/>
      </c>
      <c r="V755" s="41">
        <f>INDEX(CIBIL_Grade,MATCH(J755,CIBIL_From,1))</f>
        <v/>
      </c>
      <c r="W755" s="41">
        <f>YEAR(F755)&amp;"-Q"&amp;ROUNDUP(MONTH(F755)/3,0)</f>
        <v/>
      </c>
      <c r="X755" s="41">
        <f>IF(AND(OR(Dashboard!$C$4="All",D755=Dashboard!$C$4),OR(Dashboard!$C$5="All",E755=Dashboard!$C$5)),1,0)</f>
        <v/>
      </c>
      <c r="Y755" s="43">
        <f>IF(AND(X755=1,S755="Yes"),O755+ROW()/1000000,0)</f>
        <v/>
      </c>
    </row>
    <row r="756">
      <c r="A756" s="35" t="inlineStr">
        <is>
          <t>LN100755</t>
        </is>
      </c>
      <c r="B756" s="35" t="inlineStr">
        <is>
          <t>Swati Rao</t>
        </is>
      </c>
      <c r="C756" s="35" t="inlineStr">
        <is>
          <t>PAT-01</t>
        </is>
      </c>
      <c r="D756" s="36">
        <f>INDEX(Branches!$C$2:$C$15,MATCH(C756,Branches!$A$2:$A$15,0))</f>
        <v/>
      </c>
      <c r="E756" s="35" t="inlineStr">
        <is>
          <t>Personal Loan</t>
        </is>
      </c>
      <c r="F756" s="37" t="n">
        <v>46082</v>
      </c>
      <c r="G756" s="38" t="n">
        <v>628000</v>
      </c>
      <c r="H756" s="39" t="n">
        <v>0.1676</v>
      </c>
      <c r="I756" s="35" t="n">
        <v>12</v>
      </c>
      <c r="J756" s="35" t="n">
        <v>672</v>
      </c>
      <c r="K756" s="35" t="n">
        <v>0</v>
      </c>
      <c r="L756" s="40">
        <f>ROUND(PMT(H756/12,I756,-G756),0)</f>
        <v/>
      </c>
      <c r="M756" s="41">
        <f>MAX(0,(YEAR(AsOfDate)-YEAR(F756))*12+MONTH(AsOfDate)-MONTH(F756))</f>
        <v/>
      </c>
      <c r="N756" s="41">
        <f>MAX(0,MIN(I756,M756)-INT(K756/30))</f>
        <v/>
      </c>
      <c r="O756" s="40">
        <f>IF(N756&gt;=I756,0,ROUND(PV(H756/12,I756-N756,-L756),0))</f>
        <v/>
      </c>
      <c r="P756" s="40">
        <f>MIN(I756,M756)*L756-N756*L756</f>
        <v/>
      </c>
      <c r="Q756" s="41">
        <f>INDEX(DPD_Bucket,MATCH(K756,DPD_From,1))</f>
        <v/>
      </c>
      <c r="R756" s="41">
        <f>INDEX(DPD_Class,MATCH(K756,DPD_From,1))</f>
        <v/>
      </c>
      <c r="S756" s="41">
        <f>INDEX(DPD_NPA,MATCH(K756,DPD_From,1))</f>
        <v/>
      </c>
      <c r="T756" s="42">
        <f>INDEX(DPD_Prov,MATCH(K756,DPD_From,1))</f>
        <v/>
      </c>
      <c r="U756" s="40">
        <f>ROUND(O756*T756,0)</f>
        <v/>
      </c>
      <c r="V756" s="41">
        <f>INDEX(CIBIL_Grade,MATCH(J756,CIBIL_From,1))</f>
        <v/>
      </c>
      <c r="W756" s="41">
        <f>YEAR(F756)&amp;"-Q"&amp;ROUNDUP(MONTH(F756)/3,0)</f>
        <v/>
      </c>
      <c r="X756" s="41">
        <f>IF(AND(OR(Dashboard!$C$4="All",D756=Dashboard!$C$4),OR(Dashboard!$C$5="All",E756=Dashboard!$C$5)),1,0)</f>
        <v/>
      </c>
      <c r="Y756" s="43">
        <f>IF(AND(X756=1,S756="Yes"),O756+ROW()/1000000,0)</f>
        <v/>
      </c>
    </row>
    <row r="757">
      <c r="A757" s="35" t="inlineStr">
        <is>
          <t>LN100756</t>
        </is>
      </c>
      <c r="B757" s="35" t="inlineStr">
        <is>
          <t>Riya Joshi</t>
        </is>
      </c>
      <c r="C757" s="35" t="inlineStr">
        <is>
          <t>KOL-01</t>
        </is>
      </c>
      <c r="D757" s="36">
        <f>INDEX(Branches!$C$2:$C$15,MATCH(C757,Branches!$A$2:$A$15,0))</f>
        <v/>
      </c>
      <c r="E757" s="35" t="inlineStr">
        <is>
          <t>Business Loan</t>
        </is>
      </c>
      <c r="F757" s="37" t="n">
        <v>45890</v>
      </c>
      <c r="G757" s="38" t="n">
        <v>2521000</v>
      </c>
      <c r="H757" s="39" t="n">
        <v>0.1906</v>
      </c>
      <c r="I757" s="35" t="n">
        <v>24</v>
      </c>
      <c r="J757" s="35" t="n">
        <v>770</v>
      </c>
      <c r="K757" s="35" t="n">
        <v>0</v>
      </c>
      <c r="L757" s="40">
        <f>ROUND(PMT(H757/12,I757,-G757),0)</f>
        <v/>
      </c>
      <c r="M757" s="41">
        <f>MAX(0,(YEAR(AsOfDate)-YEAR(F757))*12+MONTH(AsOfDate)-MONTH(F757))</f>
        <v/>
      </c>
      <c r="N757" s="41">
        <f>MAX(0,MIN(I757,M757)-INT(K757/30))</f>
        <v/>
      </c>
      <c r="O757" s="40">
        <f>IF(N757&gt;=I757,0,ROUND(PV(H757/12,I757-N757,-L757),0))</f>
        <v/>
      </c>
      <c r="P757" s="40">
        <f>MIN(I757,M757)*L757-N757*L757</f>
        <v/>
      </c>
      <c r="Q757" s="41">
        <f>INDEX(DPD_Bucket,MATCH(K757,DPD_From,1))</f>
        <v/>
      </c>
      <c r="R757" s="41">
        <f>INDEX(DPD_Class,MATCH(K757,DPD_From,1))</f>
        <v/>
      </c>
      <c r="S757" s="41">
        <f>INDEX(DPD_NPA,MATCH(K757,DPD_From,1))</f>
        <v/>
      </c>
      <c r="T757" s="42">
        <f>INDEX(DPD_Prov,MATCH(K757,DPD_From,1))</f>
        <v/>
      </c>
      <c r="U757" s="40">
        <f>ROUND(O757*T757,0)</f>
        <v/>
      </c>
      <c r="V757" s="41">
        <f>INDEX(CIBIL_Grade,MATCH(J757,CIBIL_From,1))</f>
        <v/>
      </c>
      <c r="W757" s="41">
        <f>YEAR(F757)&amp;"-Q"&amp;ROUNDUP(MONTH(F757)/3,0)</f>
        <v/>
      </c>
      <c r="X757" s="41">
        <f>IF(AND(OR(Dashboard!$C$4="All",D757=Dashboard!$C$4),OR(Dashboard!$C$5="All",E757=Dashboard!$C$5)),1,0)</f>
        <v/>
      </c>
      <c r="Y757" s="43">
        <f>IF(AND(X757=1,S757="Yes"),O757+ROW()/1000000,0)</f>
        <v/>
      </c>
    </row>
    <row r="758">
      <c r="A758" s="35" t="inlineStr">
        <is>
          <t>LN100757</t>
        </is>
      </c>
      <c r="B758" s="35" t="inlineStr">
        <is>
          <t>Deepa Joshi</t>
        </is>
      </c>
      <c r="C758" s="35" t="inlineStr">
        <is>
          <t>BBS-01</t>
        </is>
      </c>
      <c r="D758" s="36">
        <f>INDEX(Branches!$C$2:$C$15,MATCH(C758,Branches!$A$2:$A$15,0))</f>
        <v/>
      </c>
      <c r="E758" s="35" t="inlineStr">
        <is>
          <t>Auto Loan</t>
        </is>
      </c>
      <c r="F758" s="37" t="n">
        <v>45380</v>
      </c>
      <c r="G758" s="38" t="n">
        <v>844000</v>
      </c>
      <c r="H758" s="39" t="n">
        <v>0.0917</v>
      </c>
      <c r="I758" s="35" t="n">
        <v>84</v>
      </c>
      <c r="J758" s="35" t="n">
        <v>740</v>
      </c>
      <c r="K758" s="35" t="n">
        <v>0</v>
      </c>
      <c r="L758" s="40">
        <f>ROUND(PMT(H758/12,I758,-G758),0)</f>
        <v/>
      </c>
      <c r="M758" s="41">
        <f>MAX(0,(YEAR(AsOfDate)-YEAR(F758))*12+MONTH(AsOfDate)-MONTH(F758))</f>
        <v/>
      </c>
      <c r="N758" s="41">
        <f>MAX(0,MIN(I758,M758)-INT(K758/30))</f>
        <v/>
      </c>
      <c r="O758" s="40">
        <f>IF(N758&gt;=I758,0,ROUND(PV(H758/12,I758-N758,-L758),0))</f>
        <v/>
      </c>
      <c r="P758" s="40">
        <f>MIN(I758,M758)*L758-N758*L758</f>
        <v/>
      </c>
      <c r="Q758" s="41">
        <f>INDEX(DPD_Bucket,MATCH(K758,DPD_From,1))</f>
        <v/>
      </c>
      <c r="R758" s="41">
        <f>INDEX(DPD_Class,MATCH(K758,DPD_From,1))</f>
        <v/>
      </c>
      <c r="S758" s="41">
        <f>INDEX(DPD_NPA,MATCH(K758,DPD_From,1))</f>
        <v/>
      </c>
      <c r="T758" s="42">
        <f>INDEX(DPD_Prov,MATCH(K758,DPD_From,1))</f>
        <v/>
      </c>
      <c r="U758" s="40">
        <f>ROUND(O758*T758,0)</f>
        <v/>
      </c>
      <c r="V758" s="41">
        <f>INDEX(CIBIL_Grade,MATCH(J758,CIBIL_From,1))</f>
        <v/>
      </c>
      <c r="W758" s="41">
        <f>YEAR(F758)&amp;"-Q"&amp;ROUNDUP(MONTH(F758)/3,0)</f>
        <v/>
      </c>
      <c r="X758" s="41">
        <f>IF(AND(OR(Dashboard!$C$4="All",D758=Dashboard!$C$4),OR(Dashboard!$C$5="All",E758=Dashboard!$C$5)),1,0)</f>
        <v/>
      </c>
      <c r="Y758" s="43">
        <f>IF(AND(X758=1,S758="Yes"),O758+ROW()/1000000,0)</f>
        <v/>
      </c>
    </row>
    <row r="759">
      <c r="A759" s="35" t="inlineStr">
        <is>
          <t>LN100758</t>
        </is>
      </c>
      <c r="B759" s="35" t="inlineStr">
        <is>
          <t>Arjun Kulkarni</t>
        </is>
      </c>
      <c r="C759" s="35" t="inlineStr">
        <is>
          <t>CHN-01</t>
        </is>
      </c>
      <c r="D759" s="36">
        <f>INDEX(Branches!$C$2:$C$15,MATCH(C759,Branches!$A$2:$A$15,0))</f>
        <v/>
      </c>
      <c r="E759" s="35" t="inlineStr">
        <is>
          <t>Home Loan</t>
        </is>
      </c>
      <c r="F759" s="37" t="n">
        <v>45541</v>
      </c>
      <c r="G759" s="38" t="n">
        <v>4502000</v>
      </c>
      <c r="H759" s="39" t="n">
        <v>0.0927</v>
      </c>
      <c r="I759" s="35" t="n">
        <v>120</v>
      </c>
      <c r="J759" s="35" t="n">
        <v>789</v>
      </c>
      <c r="K759" s="35" t="n">
        <v>0</v>
      </c>
      <c r="L759" s="40">
        <f>ROUND(PMT(H759/12,I759,-G759),0)</f>
        <v/>
      </c>
      <c r="M759" s="41">
        <f>MAX(0,(YEAR(AsOfDate)-YEAR(F759))*12+MONTH(AsOfDate)-MONTH(F759))</f>
        <v/>
      </c>
      <c r="N759" s="41">
        <f>MAX(0,MIN(I759,M759)-INT(K759/30))</f>
        <v/>
      </c>
      <c r="O759" s="40">
        <f>IF(N759&gt;=I759,0,ROUND(PV(H759/12,I759-N759,-L759),0))</f>
        <v/>
      </c>
      <c r="P759" s="40">
        <f>MIN(I759,M759)*L759-N759*L759</f>
        <v/>
      </c>
      <c r="Q759" s="41">
        <f>INDEX(DPD_Bucket,MATCH(K759,DPD_From,1))</f>
        <v/>
      </c>
      <c r="R759" s="41">
        <f>INDEX(DPD_Class,MATCH(K759,DPD_From,1))</f>
        <v/>
      </c>
      <c r="S759" s="41">
        <f>INDEX(DPD_NPA,MATCH(K759,DPD_From,1))</f>
        <v/>
      </c>
      <c r="T759" s="42">
        <f>INDEX(DPD_Prov,MATCH(K759,DPD_From,1))</f>
        <v/>
      </c>
      <c r="U759" s="40">
        <f>ROUND(O759*T759,0)</f>
        <v/>
      </c>
      <c r="V759" s="41">
        <f>INDEX(CIBIL_Grade,MATCH(J759,CIBIL_From,1))</f>
        <v/>
      </c>
      <c r="W759" s="41">
        <f>YEAR(F759)&amp;"-Q"&amp;ROUNDUP(MONTH(F759)/3,0)</f>
        <v/>
      </c>
      <c r="X759" s="41">
        <f>IF(AND(OR(Dashboard!$C$4="All",D759=Dashboard!$C$4),OR(Dashboard!$C$5="All",E759=Dashboard!$C$5)),1,0)</f>
        <v/>
      </c>
      <c r="Y759" s="43">
        <f>IF(AND(X759=1,S759="Yes"),O759+ROW()/1000000,0)</f>
        <v/>
      </c>
    </row>
    <row r="760">
      <c r="A760" s="35" t="inlineStr">
        <is>
          <t>LN100759</t>
        </is>
      </c>
      <c r="B760" s="35" t="inlineStr">
        <is>
          <t>Tanvi Mishra</t>
        </is>
      </c>
      <c r="C760" s="35" t="inlineStr">
        <is>
          <t>DEL-01</t>
        </is>
      </c>
      <c r="D760" s="36">
        <f>INDEX(Branches!$C$2:$C$15,MATCH(C760,Branches!$A$2:$A$15,0))</f>
        <v/>
      </c>
      <c r="E760" s="35" t="inlineStr">
        <is>
          <t>Personal Loan</t>
        </is>
      </c>
      <c r="F760" s="37" t="n">
        <v>45786</v>
      </c>
      <c r="G760" s="38" t="n">
        <v>219000</v>
      </c>
      <c r="H760" s="39" t="n">
        <v>0.145</v>
      </c>
      <c r="I760" s="35" t="n">
        <v>12</v>
      </c>
      <c r="J760" s="35" t="n">
        <v>735</v>
      </c>
      <c r="K760" s="35" t="n">
        <v>0</v>
      </c>
      <c r="L760" s="40">
        <f>ROUND(PMT(H760/12,I760,-G760),0)</f>
        <v/>
      </c>
      <c r="M760" s="41">
        <f>MAX(0,(YEAR(AsOfDate)-YEAR(F760))*12+MONTH(AsOfDate)-MONTH(F760))</f>
        <v/>
      </c>
      <c r="N760" s="41">
        <f>MAX(0,MIN(I760,M760)-INT(K760/30))</f>
        <v/>
      </c>
      <c r="O760" s="40">
        <f>IF(N760&gt;=I760,0,ROUND(PV(H760/12,I760-N760,-L760),0))</f>
        <v/>
      </c>
      <c r="P760" s="40">
        <f>MIN(I760,M760)*L760-N760*L760</f>
        <v/>
      </c>
      <c r="Q760" s="41">
        <f>INDEX(DPD_Bucket,MATCH(K760,DPD_From,1))</f>
        <v/>
      </c>
      <c r="R760" s="41">
        <f>INDEX(DPD_Class,MATCH(K760,DPD_From,1))</f>
        <v/>
      </c>
      <c r="S760" s="41">
        <f>INDEX(DPD_NPA,MATCH(K760,DPD_From,1))</f>
        <v/>
      </c>
      <c r="T760" s="42">
        <f>INDEX(DPD_Prov,MATCH(K760,DPD_From,1))</f>
        <v/>
      </c>
      <c r="U760" s="40">
        <f>ROUND(O760*T760,0)</f>
        <v/>
      </c>
      <c r="V760" s="41">
        <f>INDEX(CIBIL_Grade,MATCH(J760,CIBIL_From,1))</f>
        <v/>
      </c>
      <c r="W760" s="41">
        <f>YEAR(F760)&amp;"-Q"&amp;ROUNDUP(MONTH(F760)/3,0)</f>
        <v/>
      </c>
      <c r="X760" s="41">
        <f>IF(AND(OR(Dashboard!$C$4="All",D760=Dashboard!$C$4),OR(Dashboard!$C$5="All",E760=Dashboard!$C$5)),1,0)</f>
        <v/>
      </c>
      <c r="Y760" s="43">
        <f>IF(AND(X760=1,S760="Yes"),O760+ROW()/1000000,0)</f>
        <v/>
      </c>
    </row>
    <row r="761">
      <c r="A761" s="35" t="inlineStr">
        <is>
          <t>LN100760</t>
        </is>
      </c>
      <c r="B761" s="35" t="inlineStr">
        <is>
          <t>Aarav Rao</t>
        </is>
      </c>
      <c r="C761" s="35" t="inlineStr">
        <is>
          <t>AMD-01</t>
        </is>
      </c>
      <c r="D761" s="36">
        <f>INDEX(Branches!$C$2:$C$15,MATCH(C761,Branches!$A$2:$A$15,0))</f>
        <v/>
      </c>
      <c r="E761" s="35" t="inlineStr">
        <is>
          <t>Auto Loan</t>
        </is>
      </c>
      <c r="F761" s="37" t="n">
        <v>45167</v>
      </c>
      <c r="G761" s="38" t="n">
        <v>689000</v>
      </c>
      <c r="H761" s="39" t="n">
        <v>0.0897</v>
      </c>
      <c r="I761" s="35" t="n">
        <v>36</v>
      </c>
      <c r="J761" s="35" t="n">
        <v>669</v>
      </c>
      <c r="K761" s="35" t="n">
        <v>0</v>
      </c>
      <c r="L761" s="40">
        <f>ROUND(PMT(H761/12,I761,-G761),0)</f>
        <v/>
      </c>
      <c r="M761" s="41">
        <f>MAX(0,(YEAR(AsOfDate)-YEAR(F761))*12+MONTH(AsOfDate)-MONTH(F761))</f>
        <v/>
      </c>
      <c r="N761" s="41">
        <f>MAX(0,MIN(I761,M761)-INT(K761/30))</f>
        <v/>
      </c>
      <c r="O761" s="40">
        <f>IF(N761&gt;=I761,0,ROUND(PV(H761/12,I761-N761,-L761),0))</f>
        <v/>
      </c>
      <c r="P761" s="40">
        <f>MIN(I761,M761)*L761-N761*L761</f>
        <v/>
      </c>
      <c r="Q761" s="41">
        <f>INDEX(DPD_Bucket,MATCH(K761,DPD_From,1))</f>
        <v/>
      </c>
      <c r="R761" s="41">
        <f>INDEX(DPD_Class,MATCH(K761,DPD_From,1))</f>
        <v/>
      </c>
      <c r="S761" s="41">
        <f>INDEX(DPD_NPA,MATCH(K761,DPD_From,1))</f>
        <v/>
      </c>
      <c r="T761" s="42">
        <f>INDEX(DPD_Prov,MATCH(K761,DPD_From,1))</f>
        <v/>
      </c>
      <c r="U761" s="40">
        <f>ROUND(O761*T761,0)</f>
        <v/>
      </c>
      <c r="V761" s="41">
        <f>INDEX(CIBIL_Grade,MATCH(J761,CIBIL_From,1))</f>
        <v/>
      </c>
      <c r="W761" s="41">
        <f>YEAR(F761)&amp;"-Q"&amp;ROUNDUP(MONTH(F761)/3,0)</f>
        <v/>
      </c>
      <c r="X761" s="41">
        <f>IF(AND(OR(Dashboard!$C$4="All",D761=Dashboard!$C$4),OR(Dashboard!$C$5="All",E761=Dashboard!$C$5)),1,0)</f>
        <v/>
      </c>
      <c r="Y761" s="43">
        <f>IF(AND(X761=1,S761="Yes"),O761+ROW()/1000000,0)</f>
        <v/>
      </c>
    </row>
    <row r="762">
      <c r="A762" s="35" t="inlineStr">
        <is>
          <t>LN100761</t>
        </is>
      </c>
      <c r="B762" s="35" t="inlineStr">
        <is>
          <t>Diya Reddy</t>
        </is>
      </c>
      <c r="C762" s="35" t="inlineStr">
        <is>
          <t>HYD-01</t>
        </is>
      </c>
      <c r="D762" s="36">
        <f>INDEX(Branches!$C$2:$C$15,MATCH(C762,Branches!$A$2:$A$15,0))</f>
        <v/>
      </c>
      <c r="E762" s="35" t="inlineStr">
        <is>
          <t>Personal Loan</t>
        </is>
      </c>
      <c r="F762" s="37" t="n">
        <v>45647</v>
      </c>
      <c r="G762" s="38" t="n">
        <v>458000</v>
      </c>
      <c r="H762" s="39" t="n">
        <v>0.1117</v>
      </c>
      <c r="I762" s="35" t="n">
        <v>48</v>
      </c>
      <c r="J762" s="35" t="n">
        <v>864</v>
      </c>
      <c r="K762" s="35" t="n">
        <v>0</v>
      </c>
      <c r="L762" s="40">
        <f>ROUND(PMT(H762/12,I762,-G762),0)</f>
        <v/>
      </c>
      <c r="M762" s="41">
        <f>MAX(0,(YEAR(AsOfDate)-YEAR(F762))*12+MONTH(AsOfDate)-MONTH(F762))</f>
        <v/>
      </c>
      <c r="N762" s="41">
        <f>MAX(0,MIN(I762,M762)-INT(K762/30))</f>
        <v/>
      </c>
      <c r="O762" s="40">
        <f>IF(N762&gt;=I762,0,ROUND(PV(H762/12,I762-N762,-L762),0))</f>
        <v/>
      </c>
      <c r="P762" s="40">
        <f>MIN(I762,M762)*L762-N762*L762</f>
        <v/>
      </c>
      <c r="Q762" s="41">
        <f>INDEX(DPD_Bucket,MATCH(K762,DPD_From,1))</f>
        <v/>
      </c>
      <c r="R762" s="41">
        <f>INDEX(DPD_Class,MATCH(K762,DPD_From,1))</f>
        <v/>
      </c>
      <c r="S762" s="41">
        <f>INDEX(DPD_NPA,MATCH(K762,DPD_From,1))</f>
        <v/>
      </c>
      <c r="T762" s="42">
        <f>INDEX(DPD_Prov,MATCH(K762,DPD_From,1))</f>
        <v/>
      </c>
      <c r="U762" s="40">
        <f>ROUND(O762*T762,0)</f>
        <v/>
      </c>
      <c r="V762" s="41">
        <f>INDEX(CIBIL_Grade,MATCH(J762,CIBIL_From,1))</f>
        <v/>
      </c>
      <c r="W762" s="41">
        <f>YEAR(F762)&amp;"-Q"&amp;ROUNDUP(MONTH(F762)/3,0)</f>
        <v/>
      </c>
      <c r="X762" s="41">
        <f>IF(AND(OR(Dashboard!$C$4="All",D762=Dashboard!$C$4),OR(Dashboard!$C$5="All",E762=Dashboard!$C$5)),1,0)</f>
        <v/>
      </c>
      <c r="Y762" s="43">
        <f>IF(AND(X762=1,S762="Yes"),O762+ROW()/1000000,0)</f>
        <v/>
      </c>
    </row>
    <row r="763">
      <c r="A763" s="35" t="inlineStr">
        <is>
          <t>LN100762</t>
        </is>
      </c>
      <c r="B763" s="35" t="inlineStr">
        <is>
          <t>Sai Khan</t>
        </is>
      </c>
      <c r="C763" s="35" t="inlineStr">
        <is>
          <t>PUN-01</t>
        </is>
      </c>
      <c r="D763" s="36">
        <f>INDEX(Branches!$C$2:$C$15,MATCH(C763,Branches!$A$2:$A$15,0))</f>
        <v/>
      </c>
      <c r="E763" s="35" t="inlineStr">
        <is>
          <t>Auto Loan</t>
        </is>
      </c>
      <c r="F763" s="37" t="n">
        <v>45827</v>
      </c>
      <c r="G763" s="38" t="n">
        <v>813000</v>
      </c>
      <c r="H763" s="39" t="n">
        <v>0.1182</v>
      </c>
      <c r="I763" s="35" t="n">
        <v>84</v>
      </c>
      <c r="J763" s="35" t="n">
        <v>818</v>
      </c>
      <c r="K763" s="35" t="n">
        <v>61</v>
      </c>
      <c r="L763" s="40">
        <f>ROUND(PMT(H763/12,I763,-G763),0)</f>
        <v/>
      </c>
      <c r="M763" s="41">
        <f>MAX(0,(YEAR(AsOfDate)-YEAR(F763))*12+MONTH(AsOfDate)-MONTH(F763))</f>
        <v/>
      </c>
      <c r="N763" s="41">
        <f>MAX(0,MIN(I763,M763)-INT(K763/30))</f>
        <v/>
      </c>
      <c r="O763" s="40">
        <f>IF(N763&gt;=I763,0,ROUND(PV(H763/12,I763-N763,-L763),0))</f>
        <v/>
      </c>
      <c r="P763" s="40">
        <f>MIN(I763,M763)*L763-N763*L763</f>
        <v/>
      </c>
      <c r="Q763" s="41">
        <f>INDEX(DPD_Bucket,MATCH(K763,DPD_From,1))</f>
        <v/>
      </c>
      <c r="R763" s="41">
        <f>INDEX(DPD_Class,MATCH(K763,DPD_From,1))</f>
        <v/>
      </c>
      <c r="S763" s="41">
        <f>INDEX(DPD_NPA,MATCH(K763,DPD_From,1))</f>
        <v/>
      </c>
      <c r="T763" s="42">
        <f>INDEX(DPD_Prov,MATCH(K763,DPD_From,1))</f>
        <v/>
      </c>
      <c r="U763" s="40">
        <f>ROUND(O763*T763,0)</f>
        <v/>
      </c>
      <c r="V763" s="41">
        <f>INDEX(CIBIL_Grade,MATCH(J763,CIBIL_From,1))</f>
        <v/>
      </c>
      <c r="W763" s="41">
        <f>YEAR(F763)&amp;"-Q"&amp;ROUNDUP(MONTH(F763)/3,0)</f>
        <v/>
      </c>
      <c r="X763" s="41">
        <f>IF(AND(OR(Dashboard!$C$4="All",D763=Dashboard!$C$4),OR(Dashboard!$C$5="All",E763=Dashboard!$C$5)),1,0)</f>
        <v/>
      </c>
      <c r="Y763" s="43">
        <f>IF(AND(X763=1,S763="Yes"),O763+ROW()/1000000,0)</f>
        <v/>
      </c>
    </row>
    <row r="764">
      <c r="A764" s="35" t="inlineStr">
        <is>
          <t>LN100763</t>
        </is>
      </c>
      <c r="B764" s="35" t="inlineStr">
        <is>
          <t>Rahul Chatterjee</t>
        </is>
      </c>
      <c r="C764" s="35" t="inlineStr">
        <is>
          <t>AMD-01</t>
        </is>
      </c>
      <c r="D764" s="36">
        <f>INDEX(Branches!$C$2:$C$15,MATCH(C764,Branches!$A$2:$A$15,0))</f>
        <v/>
      </c>
      <c r="E764" s="35" t="inlineStr">
        <is>
          <t>Gold Loan</t>
        </is>
      </c>
      <c r="F764" s="37" t="n">
        <v>45759</v>
      </c>
      <c r="G764" s="38" t="n">
        <v>477000</v>
      </c>
      <c r="H764" s="39" t="n">
        <v>0.09810000000000001</v>
      </c>
      <c r="I764" s="35" t="n">
        <v>6</v>
      </c>
      <c r="J764" s="35" t="n">
        <v>739</v>
      </c>
      <c r="K764" s="35" t="n">
        <v>0</v>
      </c>
      <c r="L764" s="40">
        <f>ROUND(PMT(H764/12,I764,-G764),0)</f>
        <v/>
      </c>
      <c r="M764" s="41">
        <f>MAX(0,(YEAR(AsOfDate)-YEAR(F764))*12+MONTH(AsOfDate)-MONTH(F764))</f>
        <v/>
      </c>
      <c r="N764" s="41">
        <f>MAX(0,MIN(I764,M764)-INT(K764/30))</f>
        <v/>
      </c>
      <c r="O764" s="40">
        <f>IF(N764&gt;=I764,0,ROUND(PV(H764/12,I764-N764,-L764),0))</f>
        <v/>
      </c>
      <c r="P764" s="40">
        <f>MIN(I764,M764)*L764-N764*L764</f>
        <v/>
      </c>
      <c r="Q764" s="41">
        <f>INDEX(DPD_Bucket,MATCH(K764,DPD_From,1))</f>
        <v/>
      </c>
      <c r="R764" s="41">
        <f>INDEX(DPD_Class,MATCH(K764,DPD_From,1))</f>
        <v/>
      </c>
      <c r="S764" s="41">
        <f>INDEX(DPD_NPA,MATCH(K764,DPD_From,1))</f>
        <v/>
      </c>
      <c r="T764" s="42">
        <f>INDEX(DPD_Prov,MATCH(K764,DPD_From,1))</f>
        <v/>
      </c>
      <c r="U764" s="40">
        <f>ROUND(O764*T764,0)</f>
        <v/>
      </c>
      <c r="V764" s="41">
        <f>INDEX(CIBIL_Grade,MATCH(J764,CIBIL_From,1))</f>
        <v/>
      </c>
      <c r="W764" s="41">
        <f>YEAR(F764)&amp;"-Q"&amp;ROUNDUP(MONTH(F764)/3,0)</f>
        <v/>
      </c>
      <c r="X764" s="41">
        <f>IF(AND(OR(Dashboard!$C$4="All",D764=Dashboard!$C$4),OR(Dashboard!$C$5="All",E764=Dashboard!$C$5)),1,0)</f>
        <v/>
      </c>
      <c r="Y764" s="43">
        <f>IF(AND(X764=1,S764="Yes"),O764+ROW()/1000000,0)</f>
        <v/>
      </c>
    </row>
    <row r="765">
      <c r="A765" s="35" t="inlineStr">
        <is>
          <t>LN100764</t>
        </is>
      </c>
      <c r="B765" s="35" t="inlineStr">
        <is>
          <t>Meera Mohanty</t>
        </is>
      </c>
      <c r="C765" s="35" t="inlineStr">
        <is>
          <t>BLR-01</t>
        </is>
      </c>
      <c r="D765" s="36">
        <f>INDEX(Branches!$C$2:$C$15,MATCH(C765,Branches!$A$2:$A$15,0))</f>
        <v/>
      </c>
      <c r="E765" s="35" t="inlineStr">
        <is>
          <t>Auto Loan</t>
        </is>
      </c>
      <c r="F765" s="37" t="n">
        <v>46039</v>
      </c>
      <c r="G765" s="38" t="n">
        <v>831000</v>
      </c>
      <c r="H765" s="39" t="n">
        <v>0.1189</v>
      </c>
      <c r="I765" s="35" t="n">
        <v>84</v>
      </c>
      <c r="J765" s="35" t="n">
        <v>808</v>
      </c>
      <c r="K765" s="35" t="n">
        <v>0</v>
      </c>
      <c r="L765" s="40">
        <f>ROUND(PMT(H765/12,I765,-G765),0)</f>
        <v/>
      </c>
      <c r="M765" s="41">
        <f>MAX(0,(YEAR(AsOfDate)-YEAR(F765))*12+MONTH(AsOfDate)-MONTH(F765))</f>
        <v/>
      </c>
      <c r="N765" s="41">
        <f>MAX(0,MIN(I765,M765)-INT(K765/30))</f>
        <v/>
      </c>
      <c r="O765" s="40">
        <f>IF(N765&gt;=I765,0,ROUND(PV(H765/12,I765-N765,-L765),0))</f>
        <v/>
      </c>
      <c r="P765" s="40">
        <f>MIN(I765,M765)*L765-N765*L765</f>
        <v/>
      </c>
      <c r="Q765" s="41">
        <f>INDEX(DPD_Bucket,MATCH(K765,DPD_From,1))</f>
        <v/>
      </c>
      <c r="R765" s="41">
        <f>INDEX(DPD_Class,MATCH(K765,DPD_From,1))</f>
        <v/>
      </c>
      <c r="S765" s="41">
        <f>INDEX(DPD_NPA,MATCH(K765,DPD_From,1))</f>
        <v/>
      </c>
      <c r="T765" s="42">
        <f>INDEX(DPD_Prov,MATCH(K765,DPD_From,1))</f>
        <v/>
      </c>
      <c r="U765" s="40">
        <f>ROUND(O765*T765,0)</f>
        <v/>
      </c>
      <c r="V765" s="41">
        <f>INDEX(CIBIL_Grade,MATCH(J765,CIBIL_From,1))</f>
        <v/>
      </c>
      <c r="W765" s="41">
        <f>YEAR(F765)&amp;"-Q"&amp;ROUNDUP(MONTH(F765)/3,0)</f>
        <v/>
      </c>
      <c r="X765" s="41">
        <f>IF(AND(OR(Dashboard!$C$4="All",D765=Dashboard!$C$4),OR(Dashboard!$C$5="All",E765=Dashboard!$C$5)),1,0)</f>
        <v/>
      </c>
      <c r="Y765" s="43">
        <f>IF(AND(X765=1,S765="Yes"),O765+ROW()/1000000,0)</f>
        <v/>
      </c>
    </row>
    <row r="766">
      <c r="A766" s="35" t="inlineStr">
        <is>
          <t>LN100765</t>
        </is>
      </c>
      <c r="B766" s="35" t="inlineStr">
        <is>
          <t>Kabir Kulkarni</t>
        </is>
      </c>
      <c r="C766" s="35" t="inlineStr">
        <is>
          <t>AMD-01</t>
        </is>
      </c>
      <c r="D766" s="36">
        <f>INDEX(Branches!$C$2:$C$15,MATCH(C766,Branches!$A$2:$A$15,0))</f>
        <v/>
      </c>
      <c r="E766" s="35" t="inlineStr">
        <is>
          <t>Personal Loan</t>
        </is>
      </c>
      <c r="F766" s="37" t="n">
        <v>45916</v>
      </c>
      <c r="G766" s="38" t="n">
        <v>1446000</v>
      </c>
      <c r="H766" s="39" t="n">
        <v>0.1466</v>
      </c>
      <c r="I766" s="35" t="n">
        <v>24</v>
      </c>
      <c r="J766" s="35" t="n">
        <v>716</v>
      </c>
      <c r="K766" s="35" t="n">
        <v>255</v>
      </c>
      <c r="L766" s="40">
        <f>ROUND(PMT(H766/12,I766,-G766),0)</f>
        <v/>
      </c>
      <c r="M766" s="41">
        <f>MAX(0,(YEAR(AsOfDate)-YEAR(F766))*12+MONTH(AsOfDate)-MONTH(F766))</f>
        <v/>
      </c>
      <c r="N766" s="41">
        <f>MAX(0,MIN(I766,M766)-INT(K766/30))</f>
        <v/>
      </c>
      <c r="O766" s="40">
        <f>IF(N766&gt;=I766,0,ROUND(PV(H766/12,I766-N766,-L766),0))</f>
        <v/>
      </c>
      <c r="P766" s="40">
        <f>MIN(I766,M766)*L766-N766*L766</f>
        <v/>
      </c>
      <c r="Q766" s="41">
        <f>INDEX(DPD_Bucket,MATCH(K766,DPD_From,1))</f>
        <v/>
      </c>
      <c r="R766" s="41">
        <f>INDEX(DPD_Class,MATCH(K766,DPD_From,1))</f>
        <v/>
      </c>
      <c r="S766" s="41">
        <f>INDEX(DPD_NPA,MATCH(K766,DPD_From,1))</f>
        <v/>
      </c>
      <c r="T766" s="42">
        <f>INDEX(DPD_Prov,MATCH(K766,DPD_From,1))</f>
        <v/>
      </c>
      <c r="U766" s="40">
        <f>ROUND(O766*T766,0)</f>
        <v/>
      </c>
      <c r="V766" s="41">
        <f>INDEX(CIBIL_Grade,MATCH(J766,CIBIL_From,1))</f>
        <v/>
      </c>
      <c r="W766" s="41">
        <f>YEAR(F766)&amp;"-Q"&amp;ROUNDUP(MONTH(F766)/3,0)</f>
        <v/>
      </c>
      <c r="X766" s="41">
        <f>IF(AND(OR(Dashboard!$C$4="All",D766=Dashboard!$C$4),OR(Dashboard!$C$5="All",E766=Dashboard!$C$5)),1,0)</f>
        <v/>
      </c>
      <c r="Y766" s="43">
        <f>IF(AND(X766=1,S766="Yes"),O766+ROW()/1000000,0)</f>
        <v/>
      </c>
    </row>
    <row r="767">
      <c r="A767" s="35" t="inlineStr">
        <is>
          <t>LN100766</t>
        </is>
      </c>
      <c r="B767" s="35" t="inlineStr">
        <is>
          <t>Reyansh Sharma</t>
        </is>
      </c>
      <c r="C767" s="35" t="inlineStr">
        <is>
          <t>BLR-01</t>
        </is>
      </c>
      <c r="D767" s="36">
        <f>INDEX(Branches!$C$2:$C$15,MATCH(C767,Branches!$A$2:$A$15,0))</f>
        <v/>
      </c>
      <c r="E767" s="35" t="inlineStr">
        <is>
          <t>Home Loan</t>
        </is>
      </c>
      <c r="F767" s="37" t="n">
        <v>45581</v>
      </c>
      <c r="G767" s="38" t="n">
        <v>14136000</v>
      </c>
      <c r="H767" s="39" t="n">
        <v>0.09080000000000001</v>
      </c>
      <c r="I767" s="35" t="n">
        <v>180</v>
      </c>
      <c r="J767" s="35" t="n">
        <v>787</v>
      </c>
      <c r="K767" s="35" t="n">
        <v>0</v>
      </c>
      <c r="L767" s="40">
        <f>ROUND(PMT(H767/12,I767,-G767),0)</f>
        <v/>
      </c>
      <c r="M767" s="41">
        <f>MAX(0,(YEAR(AsOfDate)-YEAR(F767))*12+MONTH(AsOfDate)-MONTH(F767))</f>
        <v/>
      </c>
      <c r="N767" s="41">
        <f>MAX(0,MIN(I767,M767)-INT(K767/30))</f>
        <v/>
      </c>
      <c r="O767" s="40">
        <f>IF(N767&gt;=I767,0,ROUND(PV(H767/12,I767-N767,-L767),0))</f>
        <v/>
      </c>
      <c r="P767" s="40">
        <f>MIN(I767,M767)*L767-N767*L767</f>
        <v/>
      </c>
      <c r="Q767" s="41">
        <f>INDEX(DPD_Bucket,MATCH(K767,DPD_From,1))</f>
        <v/>
      </c>
      <c r="R767" s="41">
        <f>INDEX(DPD_Class,MATCH(K767,DPD_From,1))</f>
        <v/>
      </c>
      <c r="S767" s="41">
        <f>INDEX(DPD_NPA,MATCH(K767,DPD_From,1))</f>
        <v/>
      </c>
      <c r="T767" s="42">
        <f>INDEX(DPD_Prov,MATCH(K767,DPD_From,1))</f>
        <v/>
      </c>
      <c r="U767" s="40">
        <f>ROUND(O767*T767,0)</f>
        <v/>
      </c>
      <c r="V767" s="41">
        <f>INDEX(CIBIL_Grade,MATCH(J767,CIBIL_From,1))</f>
        <v/>
      </c>
      <c r="W767" s="41">
        <f>YEAR(F767)&amp;"-Q"&amp;ROUNDUP(MONTH(F767)/3,0)</f>
        <v/>
      </c>
      <c r="X767" s="41">
        <f>IF(AND(OR(Dashboard!$C$4="All",D767=Dashboard!$C$4),OR(Dashboard!$C$5="All",E767=Dashboard!$C$5)),1,0)</f>
        <v/>
      </c>
      <c r="Y767" s="43">
        <f>IF(AND(X767=1,S767="Yes"),O767+ROW()/1000000,0)</f>
        <v/>
      </c>
    </row>
    <row r="768">
      <c r="A768" s="35" t="inlineStr">
        <is>
          <t>LN100767</t>
        </is>
      </c>
      <c r="B768" s="35" t="inlineStr">
        <is>
          <t>Diya Verma</t>
        </is>
      </c>
      <c r="C768" s="35" t="inlineStr">
        <is>
          <t>HYD-01</t>
        </is>
      </c>
      <c r="D768" s="36">
        <f>INDEX(Branches!$C$2:$C$15,MATCH(C768,Branches!$A$2:$A$15,0))</f>
        <v/>
      </c>
      <c r="E768" s="35" t="inlineStr">
        <is>
          <t>Personal Loan</t>
        </is>
      </c>
      <c r="F768" s="37" t="n">
        <v>45454</v>
      </c>
      <c r="G768" s="38" t="n">
        <v>1135000</v>
      </c>
      <c r="H768" s="39" t="n">
        <v>0.1472</v>
      </c>
      <c r="I768" s="35" t="n">
        <v>48</v>
      </c>
      <c r="J768" s="35" t="n">
        <v>755</v>
      </c>
      <c r="K768" s="35" t="n">
        <v>0</v>
      </c>
      <c r="L768" s="40">
        <f>ROUND(PMT(H768/12,I768,-G768),0)</f>
        <v/>
      </c>
      <c r="M768" s="41">
        <f>MAX(0,(YEAR(AsOfDate)-YEAR(F768))*12+MONTH(AsOfDate)-MONTH(F768))</f>
        <v/>
      </c>
      <c r="N768" s="41">
        <f>MAX(0,MIN(I768,M768)-INT(K768/30))</f>
        <v/>
      </c>
      <c r="O768" s="40">
        <f>IF(N768&gt;=I768,0,ROUND(PV(H768/12,I768-N768,-L768),0))</f>
        <v/>
      </c>
      <c r="P768" s="40">
        <f>MIN(I768,M768)*L768-N768*L768</f>
        <v/>
      </c>
      <c r="Q768" s="41">
        <f>INDEX(DPD_Bucket,MATCH(K768,DPD_From,1))</f>
        <v/>
      </c>
      <c r="R768" s="41">
        <f>INDEX(DPD_Class,MATCH(K768,DPD_From,1))</f>
        <v/>
      </c>
      <c r="S768" s="41">
        <f>INDEX(DPD_NPA,MATCH(K768,DPD_From,1))</f>
        <v/>
      </c>
      <c r="T768" s="42">
        <f>INDEX(DPD_Prov,MATCH(K768,DPD_From,1))</f>
        <v/>
      </c>
      <c r="U768" s="40">
        <f>ROUND(O768*T768,0)</f>
        <v/>
      </c>
      <c r="V768" s="41">
        <f>INDEX(CIBIL_Grade,MATCH(J768,CIBIL_From,1))</f>
        <v/>
      </c>
      <c r="W768" s="41">
        <f>YEAR(F768)&amp;"-Q"&amp;ROUNDUP(MONTH(F768)/3,0)</f>
        <v/>
      </c>
      <c r="X768" s="41">
        <f>IF(AND(OR(Dashboard!$C$4="All",D768=Dashboard!$C$4),OR(Dashboard!$C$5="All",E768=Dashboard!$C$5)),1,0)</f>
        <v/>
      </c>
      <c r="Y768" s="43">
        <f>IF(AND(X768=1,S768="Yes"),O768+ROW()/1000000,0)</f>
        <v/>
      </c>
    </row>
    <row r="769">
      <c r="A769" s="35" t="inlineStr">
        <is>
          <t>LN100768</t>
        </is>
      </c>
      <c r="B769" s="35" t="inlineStr">
        <is>
          <t>Zoya Kulkarni</t>
        </is>
      </c>
      <c r="C769" s="35" t="inlineStr">
        <is>
          <t>MUM-01</t>
        </is>
      </c>
      <c r="D769" s="36">
        <f>INDEX(Branches!$C$2:$C$15,MATCH(C769,Branches!$A$2:$A$15,0))</f>
        <v/>
      </c>
      <c r="E769" s="35" t="inlineStr">
        <is>
          <t>Auto Loan</t>
        </is>
      </c>
      <c r="F769" s="37" t="n">
        <v>45922</v>
      </c>
      <c r="G769" s="38" t="n">
        <v>1805000</v>
      </c>
      <c r="H769" s="39" t="n">
        <v>0.0955</v>
      </c>
      <c r="I769" s="35" t="n">
        <v>84</v>
      </c>
      <c r="J769" s="35" t="n">
        <v>703</v>
      </c>
      <c r="K769" s="35" t="n">
        <v>0</v>
      </c>
      <c r="L769" s="40">
        <f>ROUND(PMT(H769/12,I769,-G769),0)</f>
        <v/>
      </c>
      <c r="M769" s="41">
        <f>MAX(0,(YEAR(AsOfDate)-YEAR(F769))*12+MONTH(AsOfDate)-MONTH(F769))</f>
        <v/>
      </c>
      <c r="N769" s="41">
        <f>MAX(0,MIN(I769,M769)-INT(K769/30))</f>
        <v/>
      </c>
      <c r="O769" s="40">
        <f>IF(N769&gt;=I769,0,ROUND(PV(H769/12,I769-N769,-L769),0))</f>
        <v/>
      </c>
      <c r="P769" s="40">
        <f>MIN(I769,M769)*L769-N769*L769</f>
        <v/>
      </c>
      <c r="Q769" s="41">
        <f>INDEX(DPD_Bucket,MATCH(K769,DPD_From,1))</f>
        <v/>
      </c>
      <c r="R769" s="41">
        <f>INDEX(DPD_Class,MATCH(K769,DPD_From,1))</f>
        <v/>
      </c>
      <c r="S769" s="41">
        <f>INDEX(DPD_NPA,MATCH(K769,DPD_From,1))</f>
        <v/>
      </c>
      <c r="T769" s="42">
        <f>INDEX(DPD_Prov,MATCH(K769,DPD_From,1))</f>
        <v/>
      </c>
      <c r="U769" s="40">
        <f>ROUND(O769*T769,0)</f>
        <v/>
      </c>
      <c r="V769" s="41">
        <f>INDEX(CIBIL_Grade,MATCH(J769,CIBIL_From,1))</f>
        <v/>
      </c>
      <c r="W769" s="41">
        <f>YEAR(F769)&amp;"-Q"&amp;ROUNDUP(MONTH(F769)/3,0)</f>
        <v/>
      </c>
      <c r="X769" s="41">
        <f>IF(AND(OR(Dashboard!$C$4="All",D769=Dashboard!$C$4),OR(Dashboard!$C$5="All",E769=Dashboard!$C$5)),1,0)</f>
        <v/>
      </c>
      <c r="Y769" s="43">
        <f>IF(AND(X769=1,S769="Yes"),O769+ROW()/1000000,0)</f>
        <v/>
      </c>
    </row>
    <row r="770">
      <c r="A770" s="35" t="inlineStr">
        <is>
          <t>LN100769</t>
        </is>
      </c>
      <c r="B770" s="35" t="inlineStr">
        <is>
          <t>Ananya Mohanty</t>
        </is>
      </c>
      <c r="C770" s="35" t="inlineStr">
        <is>
          <t>KOL-01</t>
        </is>
      </c>
      <c r="D770" s="36">
        <f>INDEX(Branches!$C$2:$C$15,MATCH(C770,Branches!$A$2:$A$15,0))</f>
        <v/>
      </c>
      <c r="E770" s="35" t="inlineStr">
        <is>
          <t>Personal Loan</t>
        </is>
      </c>
      <c r="F770" s="37" t="n">
        <v>45472</v>
      </c>
      <c r="G770" s="38" t="n">
        <v>1476000</v>
      </c>
      <c r="H770" s="39" t="n">
        <v>0.1306</v>
      </c>
      <c r="I770" s="35" t="n">
        <v>36</v>
      </c>
      <c r="J770" s="35" t="n">
        <v>633</v>
      </c>
      <c r="K770" s="35" t="n">
        <v>0</v>
      </c>
      <c r="L770" s="40">
        <f>ROUND(PMT(H770/12,I770,-G770),0)</f>
        <v/>
      </c>
      <c r="M770" s="41">
        <f>MAX(0,(YEAR(AsOfDate)-YEAR(F770))*12+MONTH(AsOfDate)-MONTH(F770))</f>
        <v/>
      </c>
      <c r="N770" s="41">
        <f>MAX(0,MIN(I770,M770)-INT(K770/30))</f>
        <v/>
      </c>
      <c r="O770" s="40">
        <f>IF(N770&gt;=I770,0,ROUND(PV(H770/12,I770-N770,-L770),0))</f>
        <v/>
      </c>
      <c r="P770" s="40">
        <f>MIN(I770,M770)*L770-N770*L770</f>
        <v/>
      </c>
      <c r="Q770" s="41">
        <f>INDEX(DPD_Bucket,MATCH(K770,DPD_From,1))</f>
        <v/>
      </c>
      <c r="R770" s="41">
        <f>INDEX(DPD_Class,MATCH(K770,DPD_From,1))</f>
        <v/>
      </c>
      <c r="S770" s="41">
        <f>INDEX(DPD_NPA,MATCH(K770,DPD_From,1))</f>
        <v/>
      </c>
      <c r="T770" s="42">
        <f>INDEX(DPD_Prov,MATCH(K770,DPD_From,1))</f>
        <v/>
      </c>
      <c r="U770" s="40">
        <f>ROUND(O770*T770,0)</f>
        <v/>
      </c>
      <c r="V770" s="41">
        <f>INDEX(CIBIL_Grade,MATCH(J770,CIBIL_From,1))</f>
        <v/>
      </c>
      <c r="W770" s="41">
        <f>YEAR(F770)&amp;"-Q"&amp;ROUNDUP(MONTH(F770)/3,0)</f>
        <v/>
      </c>
      <c r="X770" s="41">
        <f>IF(AND(OR(Dashboard!$C$4="All",D770=Dashboard!$C$4),OR(Dashboard!$C$5="All",E770=Dashboard!$C$5)),1,0)</f>
        <v/>
      </c>
      <c r="Y770" s="43">
        <f>IF(AND(X770=1,S770="Yes"),O770+ROW()/1000000,0)</f>
        <v/>
      </c>
    </row>
    <row r="771">
      <c r="A771" s="35" t="inlineStr">
        <is>
          <t>LN100770</t>
        </is>
      </c>
      <c r="B771" s="35" t="inlineStr">
        <is>
          <t>Reyansh Khan</t>
        </is>
      </c>
      <c r="C771" s="35" t="inlineStr">
        <is>
          <t>LKO-01</t>
        </is>
      </c>
      <c r="D771" s="36">
        <f>INDEX(Branches!$C$2:$C$15,MATCH(C771,Branches!$A$2:$A$15,0))</f>
        <v/>
      </c>
      <c r="E771" s="35" t="inlineStr">
        <is>
          <t>Personal Loan</t>
        </is>
      </c>
      <c r="F771" s="37" t="n">
        <v>45501</v>
      </c>
      <c r="G771" s="38" t="n">
        <v>1353000</v>
      </c>
      <c r="H771" s="39" t="n">
        <v>0.1577</v>
      </c>
      <c r="I771" s="35" t="n">
        <v>60</v>
      </c>
      <c r="J771" s="35" t="n">
        <v>619</v>
      </c>
      <c r="K771" s="35" t="n">
        <v>368</v>
      </c>
      <c r="L771" s="40">
        <f>ROUND(PMT(H771/12,I771,-G771),0)</f>
        <v/>
      </c>
      <c r="M771" s="41">
        <f>MAX(0,(YEAR(AsOfDate)-YEAR(F771))*12+MONTH(AsOfDate)-MONTH(F771))</f>
        <v/>
      </c>
      <c r="N771" s="41">
        <f>MAX(0,MIN(I771,M771)-INT(K771/30))</f>
        <v/>
      </c>
      <c r="O771" s="40">
        <f>IF(N771&gt;=I771,0,ROUND(PV(H771/12,I771-N771,-L771),0))</f>
        <v/>
      </c>
      <c r="P771" s="40">
        <f>MIN(I771,M771)*L771-N771*L771</f>
        <v/>
      </c>
      <c r="Q771" s="41">
        <f>INDEX(DPD_Bucket,MATCH(K771,DPD_From,1))</f>
        <v/>
      </c>
      <c r="R771" s="41">
        <f>INDEX(DPD_Class,MATCH(K771,DPD_From,1))</f>
        <v/>
      </c>
      <c r="S771" s="41">
        <f>INDEX(DPD_NPA,MATCH(K771,DPD_From,1))</f>
        <v/>
      </c>
      <c r="T771" s="42">
        <f>INDEX(DPD_Prov,MATCH(K771,DPD_From,1))</f>
        <v/>
      </c>
      <c r="U771" s="40">
        <f>ROUND(O771*T771,0)</f>
        <v/>
      </c>
      <c r="V771" s="41">
        <f>INDEX(CIBIL_Grade,MATCH(J771,CIBIL_From,1))</f>
        <v/>
      </c>
      <c r="W771" s="41">
        <f>YEAR(F771)&amp;"-Q"&amp;ROUNDUP(MONTH(F771)/3,0)</f>
        <v/>
      </c>
      <c r="X771" s="41">
        <f>IF(AND(OR(Dashboard!$C$4="All",D771=Dashboard!$C$4),OR(Dashboard!$C$5="All",E771=Dashboard!$C$5)),1,0)</f>
        <v/>
      </c>
      <c r="Y771" s="43">
        <f>IF(AND(X771=1,S771="Yes"),O771+ROW()/1000000,0)</f>
        <v/>
      </c>
    </row>
    <row r="772">
      <c r="A772" s="35" t="inlineStr">
        <is>
          <t>LN100771</t>
        </is>
      </c>
      <c r="B772" s="35" t="inlineStr">
        <is>
          <t>Riya Nair</t>
        </is>
      </c>
      <c r="C772" s="35" t="inlineStr">
        <is>
          <t>PUN-01</t>
        </is>
      </c>
      <c r="D772" s="36">
        <f>INDEX(Branches!$C$2:$C$15,MATCH(C772,Branches!$A$2:$A$15,0))</f>
        <v/>
      </c>
      <c r="E772" s="35" t="inlineStr">
        <is>
          <t>Business Loan</t>
        </is>
      </c>
      <c r="F772" s="37" t="n">
        <v>46015</v>
      </c>
      <c r="G772" s="38" t="n">
        <v>4874000</v>
      </c>
      <c r="H772" s="39" t="n">
        <v>0.1563</v>
      </c>
      <c r="I772" s="35" t="n">
        <v>12</v>
      </c>
      <c r="J772" s="35" t="n">
        <v>622</v>
      </c>
      <c r="K772" s="35" t="n">
        <v>0</v>
      </c>
      <c r="L772" s="40">
        <f>ROUND(PMT(H772/12,I772,-G772),0)</f>
        <v/>
      </c>
      <c r="M772" s="41">
        <f>MAX(0,(YEAR(AsOfDate)-YEAR(F772))*12+MONTH(AsOfDate)-MONTH(F772))</f>
        <v/>
      </c>
      <c r="N772" s="41">
        <f>MAX(0,MIN(I772,M772)-INT(K772/30))</f>
        <v/>
      </c>
      <c r="O772" s="40">
        <f>IF(N772&gt;=I772,0,ROUND(PV(H772/12,I772-N772,-L772),0))</f>
        <v/>
      </c>
      <c r="P772" s="40">
        <f>MIN(I772,M772)*L772-N772*L772</f>
        <v/>
      </c>
      <c r="Q772" s="41">
        <f>INDEX(DPD_Bucket,MATCH(K772,DPD_From,1))</f>
        <v/>
      </c>
      <c r="R772" s="41">
        <f>INDEX(DPD_Class,MATCH(K772,DPD_From,1))</f>
        <v/>
      </c>
      <c r="S772" s="41">
        <f>INDEX(DPD_NPA,MATCH(K772,DPD_From,1))</f>
        <v/>
      </c>
      <c r="T772" s="42">
        <f>INDEX(DPD_Prov,MATCH(K772,DPD_From,1))</f>
        <v/>
      </c>
      <c r="U772" s="40">
        <f>ROUND(O772*T772,0)</f>
        <v/>
      </c>
      <c r="V772" s="41">
        <f>INDEX(CIBIL_Grade,MATCH(J772,CIBIL_From,1))</f>
        <v/>
      </c>
      <c r="W772" s="41">
        <f>YEAR(F772)&amp;"-Q"&amp;ROUNDUP(MONTH(F772)/3,0)</f>
        <v/>
      </c>
      <c r="X772" s="41">
        <f>IF(AND(OR(Dashboard!$C$4="All",D772=Dashboard!$C$4),OR(Dashboard!$C$5="All",E772=Dashboard!$C$5)),1,0)</f>
        <v/>
      </c>
      <c r="Y772" s="43">
        <f>IF(AND(X772=1,S772="Yes"),O772+ROW()/1000000,0)</f>
        <v/>
      </c>
    </row>
    <row r="773">
      <c r="A773" s="35" t="inlineStr">
        <is>
          <t>LN100772</t>
        </is>
      </c>
      <c r="B773" s="35" t="inlineStr">
        <is>
          <t>Nikhil Sharma</t>
        </is>
      </c>
      <c r="C773" s="35" t="inlineStr">
        <is>
          <t>CHN-01</t>
        </is>
      </c>
      <c r="D773" s="36">
        <f>INDEX(Branches!$C$2:$C$15,MATCH(C773,Branches!$A$2:$A$15,0))</f>
        <v/>
      </c>
      <c r="E773" s="35" t="inlineStr">
        <is>
          <t>Personal Loan</t>
        </is>
      </c>
      <c r="F773" s="37" t="n">
        <v>45811</v>
      </c>
      <c r="G773" s="38" t="n">
        <v>748000</v>
      </c>
      <c r="H773" s="39" t="n">
        <v>0.1752</v>
      </c>
      <c r="I773" s="35" t="n">
        <v>48</v>
      </c>
      <c r="J773" s="35" t="n">
        <v>707</v>
      </c>
      <c r="K773" s="35" t="n">
        <v>0</v>
      </c>
      <c r="L773" s="40">
        <f>ROUND(PMT(H773/12,I773,-G773),0)</f>
        <v/>
      </c>
      <c r="M773" s="41">
        <f>MAX(0,(YEAR(AsOfDate)-YEAR(F773))*12+MONTH(AsOfDate)-MONTH(F773))</f>
        <v/>
      </c>
      <c r="N773" s="41">
        <f>MAX(0,MIN(I773,M773)-INT(K773/30))</f>
        <v/>
      </c>
      <c r="O773" s="40">
        <f>IF(N773&gt;=I773,0,ROUND(PV(H773/12,I773-N773,-L773),0))</f>
        <v/>
      </c>
      <c r="P773" s="40">
        <f>MIN(I773,M773)*L773-N773*L773</f>
        <v/>
      </c>
      <c r="Q773" s="41">
        <f>INDEX(DPD_Bucket,MATCH(K773,DPD_From,1))</f>
        <v/>
      </c>
      <c r="R773" s="41">
        <f>INDEX(DPD_Class,MATCH(K773,DPD_From,1))</f>
        <v/>
      </c>
      <c r="S773" s="41">
        <f>INDEX(DPD_NPA,MATCH(K773,DPD_From,1))</f>
        <v/>
      </c>
      <c r="T773" s="42">
        <f>INDEX(DPD_Prov,MATCH(K773,DPD_From,1))</f>
        <v/>
      </c>
      <c r="U773" s="40">
        <f>ROUND(O773*T773,0)</f>
        <v/>
      </c>
      <c r="V773" s="41">
        <f>INDEX(CIBIL_Grade,MATCH(J773,CIBIL_From,1))</f>
        <v/>
      </c>
      <c r="W773" s="41">
        <f>YEAR(F773)&amp;"-Q"&amp;ROUNDUP(MONTH(F773)/3,0)</f>
        <v/>
      </c>
      <c r="X773" s="41">
        <f>IF(AND(OR(Dashboard!$C$4="All",D773=Dashboard!$C$4),OR(Dashboard!$C$5="All",E773=Dashboard!$C$5)),1,0)</f>
        <v/>
      </c>
      <c r="Y773" s="43">
        <f>IF(AND(X773=1,S773="Yes"),O773+ROW()/1000000,0)</f>
        <v/>
      </c>
    </row>
    <row r="774">
      <c r="A774" s="35" t="inlineStr">
        <is>
          <t>LN100773</t>
        </is>
      </c>
      <c r="B774" s="35" t="inlineStr">
        <is>
          <t>Ishaan Iyer</t>
        </is>
      </c>
      <c r="C774" s="35" t="inlineStr">
        <is>
          <t>GUW-01</t>
        </is>
      </c>
      <c r="D774" s="36">
        <f>INDEX(Branches!$C$2:$C$15,MATCH(C774,Branches!$A$2:$A$15,0))</f>
        <v/>
      </c>
      <c r="E774" s="35" t="inlineStr">
        <is>
          <t>Personal Loan</t>
        </is>
      </c>
      <c r="F774" s="37" t="n">
        <v>46133</v>
      </c>
      <c r="G774" s="38" t="n">
        <v>959000</v>
      </c>
      <c r="H774" s="39" t="n">
        <v>0.1277</v>
      </c>
      <c r="I774" s="35" t="n">
        <v>24</v>
      </c>
      <c r="J774" s="35" t="n">
        <v>739</v>
      </c>
      <c r="K774" s="35" t="n">
        <v>0</v>
      </c>
      <c r="L774" s="40">
        <f>ROUND(PMT(H774/12,I774,-G774),0)</f>
        <v/>
      </c>
      <c r="M774" s="41">
        <f>MAX(0,(YEAR(AsOfDate)-YEAR(F774))*12+MONTH(AsOfDate)-MONTH(F774))</f>
        <v/>
      </c>
      <c r="N774" s="41">
        <f>MAX(0,MIN(I774,M774)-INT(K774/30))</f>
        <v/>
      </c>
      <c r="O774" s="40">
        <f>IF(N774&gt;=I774,0,ROUND(PV(H774/12,I774-N774,-L774),0))</f>
        <v/>
      </c>
      <c r="P774" s="40">
        <f>MIN(I774,M774)*L774-N774*L774</f>
        <v/>
      </c>
      <c r="Q774" s="41">
        <f>INDEX(DPD_Bucket,MATCH(K774,DPD_From,1))</f>
        <v/>
      </c>
      <c r="R774" s="41">
        <f>INDEX(DPD_Class,MATCH(K774,DPD_From,1))</f>
        <v/>
      </c>
      <c r="S774" s="41">
        <f>INDEX(DPD_NPA,MATCH(K774,DPD_From,1))</f>
        <v/>
      </c>
      <c r="T774" s="42">
        <f>INDEX(DPD_Prov,MATCH(K774,DPD_From,1))</f>
        <v/>
      </c>
      <c r="U774" s="40">
        <f>ROUND(O774*T774,0)</f>
        <v/>
      </c>
      <c r="V774" s="41">
        <f>INDEX(CIBIL_Grade,MATCH(J774,CIBIL_From,1))</f>
        <v/>
      </c>
      <c r="W774" s="41">
        <f>YEAR(F774)&amp;"-Q"&amp;ROUNDUP(MONTH(F774)/3,0)</f>
        <v/>
      </c>
      <c r="X774" s="41">
        <f>IF(AND(OR(Dashboard!$C$4="All",D774=Dashboard!$C$4),OR(Dashboard!$C$5="All",E774=Dashboard!$C$5)),1,0)</f>
        <v/>
      </c>
      <c r="Y774" s="43">
        <f>IF(AND(X774=1,S774="Yes"),O774+ROW()/1000000,0)</f>
        <v/>
      </c>
    </row>
    <row r="775">
      <c r="A775" s="35" t="inlineStr">
        <is>
          <t>LN100774</t>
        </is>
      </c>
      <c r="B775" s="35" t="inlineStr">
        <is>
          <t>Vivaan Gupta</t>
        </is>
      </c>
      <c r="C775" s="35" t="inlineStr">
        <is>
          <t>DEL-01</t>
        </is>
      </c>
      <c r="D775" s="36">
        <f>INDEX(Branches!$C$2:$C$15,MATCH(C775,Branches!$A$2:$A$15,0))</f>
        <v/>
      </c>
      <c r="E775" s="35" t="inlineStr">
        <is>
          <t>Business Loan</t>
        </is>
      </c>
      <c r="F775" s="37" t="n">
        <v>45162</v>
      </c>
      <c r="G775" s="38" t="n">
        <v>4570000</v>
      </c>
      <c r="H775" s="39" t="n">
        <v>0.1795</v>
      </c>
      <c r="I775" s="35" t="n">
        <v>24</v>
      </c>
      <c r="J775" s="35" t="n">
        <v>652</v>
      </c>
      <c r="K775" s="35" t="n">
        <v>0</v>
      </c>
      <c r="L775" s="40">
        <f>ROUND(PMT(H775/12,I775,-G775),0)</f>
        <v/>
      </c>
      <c r="M775" s="41">
        <f>MAX(0,(YEAR(AsOfDate)-YEAR(F775))*12+MONTH(AsOfDate)-MONTH(F775))</f>
        <v/>
      </c>
      <c r="N775" s="41">
        <f>MAX(0,MIN(I775,M775)-INT(K775/30))</f>
        <v/>
      </c>
      <c r="O775" s="40">
        <f>IF(N775&gt;=I775,0,ROUND(PV(H775/12,I775-N775,-L775),0))</f>
        <v/>
      </c>
      <c r="P775" s="40">
        <f>MIN(I775,M775)*L775-N775*L775</f>
        <v/>
      </c>
      <c r="Q775" s="41">
        <f>INDEX(DPD_Bucket,MATCH(K775,DPD_From,1))</f>
        <v/>
      </c>
      <c r="R775" s="41">
        <f>INDEX(DPD_Class,MATCH(K775,DPD_From,1))</f>
        <v/>
      </c>
      <c r="S775" s="41">
        <f>INDEX(DPD_NPA,MATCH(K775,DPD_From,1))</f>
        <v/>
      </c>
      <c r="T775" s="42">
        <f>INDEX(DPD_Prov,MATCH(K775,DPD_From,1))</f>
        <v/>
      </c>
      <c r="U775" s="40">
        <f>ROUND(O775*T775,0)</f>
        <v/>
      </c>
      <c r="V775" s="41">
        <f>INDEX(CIBIL_Grade,MATCH(J775,CIBIL_From,1))</f>
        <v/>
      </c>
      <c r="W775" s="41">
        <f>YEAR(F775)&amp;"-Q"&amp;ROUNDUP(MONTH(F775)/3,0)</f>
        <v/>
      </c>
      <c r="X775" s="41">
        <f>IF(AND(OR(Dashboard!$C$4="All",D775=Dashboard!$C$4),OR(Dashboard!$C$5="All",E775=Dashboard!$C$5)),1,0)</f>
        <v/>
      </c>
      <c r="Y775" s="43">
        <f>IF(AND(X775=1,S775="Yes"),O775+ROW()/1000000,0)</f>
        <v/>
      </c>
    </row>
    <row r="776">
      <c r="A776" s="35" t="inlineStr">
        <is>
          <t>LN100775</t>
        </is>
      </c>
      <c r="B776" s="35" t="inlineStr">
        <is>
          <t>Reyansh Kulkarni</t>
        </is>
      </c>
      <c r="C776" s="35" t="inlineStr">
        <is>
          <t>KOC-01</t>
        </is>
      </c>
      <c r="D776" s="36">
        <f>INDEX(Branches!$C$2:$C$15,MATCH(C776,Branches!$A$2:$A$15,0))</f>
        <v/>
      </c>
      <c r="E776" s="35" t="inlineStr">
        <is>
          <t>Home Loan</t>
        </is>
      </c>
      <c r="F776" s="37" t="n">
        <v>45362</v>
      </c>
      <c r="G776" s="38" t="n">
        <v>10578000</v>
      </c>
      <c r="H776" s="39" t="n">
        <v>0.0919</v>
      </c>
      <c r="I776" s="35" t="n">
        <v>120</v>
      </c>
      <c r="J776" s="35" t="n">
        <v>768</v>
      </c>
      <c r="K776" s="35" t="n">
        <v>0</v>
      </c>
      <c r="L776" s="40">
        <f>ROUND(PMT(H776/12,I776,-G776),0)</f>
        <v/>
      </c>
      <c r="M776" s="41">
        <f>MAX(0,(YEAR(AsOfDate)-YEAR(F776))*12+MONTH(AsOfDate)-MONTH(F776))</f>
        <v/>
      </c>
      <c r="N776" s="41">
        <f>MAX(0,MIN(I776,M776)-INT(K776/30))</f>
        <v/>
      </c>
      <c r="O776" s="40">
        <f>IF(N776&gt;=I776,0,ROUND(PV(H776/12,I776-N776,-L776),0))</f>
        <v/>
      </c>
      <c r="P776" s="40">
        <f>MIN(I776,M776)*L776-N776*L776</f>
        <v/>
      </c>
      <c r="Q776" s="41">
        <f>INDEX(DPD_Bucket,MATCH(K776,DPD_From,1))</f>
        <v/>
      </c>
      <c r="R776" s="41">
        <f>INDEX(DPD_Class,MATCH(K776,DPD_From,1))</f>
        <v/>
      </c>
      <c r="S776" s="41">
        <f>INDEX(DPD_NPA,MATCH(K776,DPD_From,1))</f>
        <v/>
      </c>
      <c r="T776" s="42">
        <f>INDEX(DPD_Prov,MATCH(K776,DPD_From,1))</f>
        <v/>
      </c>
      <c r="U776" s="40">
        <f>ROUND(O776*T776,0)</f>
        <v/>
      </c>
      <c r="V776" s="41">
        <f>INDEX(CIBIL_Grade,MATCH(J776,CIBIL_From,1))</f>
        <v/>
      </c>
      <c r="W776" s="41">
        <f>YEAR(F776)&amp;"-Q"&amp;ROUNDUP(MONTH(F776)/3,0)</f>
        <v/>
      </c>
      <c r="X776" s="41">
        <f>IF(AND(OR(Dashboard!$C$4="All",D776=Dashboard!$C$4),OR(Dashboard!$C$5="All",E776=Dashboard!$C$5)),1,0)</f>
        <v/>
      </c>
      <c r="Y776" s="43">
        <f>IF(AND(X776=1,S776="Yes"),O776+ROW()/1000000,0)</f>
        <v/>
      </c>
    </row>
    <row r="777">
      <c r="A777" s="35" t="inlineStr">
        <is>
          <t>LN100776</t>
        </is>
      </c>
      <c r="B777" s="35" t="inlineStr">
        <is>
          <t>Zoya Gupta</t>
        </is>
      </c>
      <c r="C777" s="35" t="inlineStr">
        <is>
          <t>KOC-01</t>
        </is>
      </c>
      <c r="D777" s="36">
        <f>INDEX(Branches!$C$2:$C$15,MATCH(C777,Branches!$A$2:$A$15,0))</f>
        <v/>
      </c>
      <c r="E777" s="35" t="inlineStr">
        <is>
          <t>Personal Loan</t>
        </is>
      </c>
      <c r="F777" s="37" t="n">
        <v>45814</v>
      </c>
      <c r="G777" s="38" t="n">
        <v>1287000</v>
      </c>
      <c r="H777" s="39" t="n">
        <v>0.1067</v>
      </c>
      <c r="I777" s="35" t="n">
        <v>60</v>
      </c>
      <c r="J777" s="35" t="n">
        <v>763</v>
      </c>
      <c r="K777" s="35" t="n">
        <v>223</v>
      </c>
      <c r="L777" s="40">
        <f>ROUND(PMT(H777/12,I777,-G777),0)</f>
        <v/>
      </c>
      <c r="M777" s="41">
        <f>MAX(0,(YEAR(AsOfDate)-YEAR(F777))*12+MONTH(AsOfDate)-MONTH(F777))</f>
        <v/>
      </c>
      <c r="N777" s="41">
        <f>MAX(0,MIN(I777,M777)-INT(K777/30))</f>
        <v/>
      </c>
      <c r="O777" s="40">
        <f>IF(N777&gt;=I777,0,ROUND(PV(H777/12,I777-N777,-L777),0))</f>
        <v/>
      </c>
      <c r="P777" s="40">
        <f>MIN(I777,M777)*L777-N777*L777</f>
        <v/>
      </c>
      <c r="Q777" s="41">
        <f>INDEX(DPD_Bucket,MATCH(K777,DPD_From,1))</f>
        <v/>
      </c>
      <c r="R777" s="41">
        <f>INDEX(DPD_Class,MATCH(K777,DPD_From,1))</f>
        <v/>
      </c>
      <c r="S777" s="41">
        <f>INDEX(DPD_NPA,MATCH(K777,DPD_From,1))</f>
        <v/>
      </c>
      <c r="T777" s="42">
        <f>INDEX(DPD_Prov,MATCH(K777,DPD_From,1))</f>
        <v/>
      </c>
      <c r="U777" s="40">
        <f>ROUND(O777*T777,0)</f>
        <v/>
      </c>
      <c r="V777" s="41">
        <f>INDEX(CIBIL_Grade,MATCH(J777,CIBIL_From,1))</f>
        <v/>
      </c>
      <c r="W777" s="41">
        <f>YEAR(F777)&amp;"-Q"&amp;ROUNDUP(MONTH(F777)/3,0)</f>
        <v/>
      </c>
      <c r="X777" s="41">
        <f>IF(AND(OR(Dashboard!$C$4="All",D777=Dashboard!$C$4),OR(Dashboard!$C$5="All",E777=Dashboard!$C$5)),1,0)</f>
        <v/>
      </c>
      <c r="Y777" s="43">
        <f>IF(AND(X777=1,S777="Yes"),O777+ROW()/1000000,0)</f>
        <v/>
      </c>
    </row>
    <row r="778">
      <c r="A778" s="35" t="inlineStr">
        <is>
          <t>LN100777</t>
        </is>
      </c>
      <c r="B778" s="35" t="inlineStr">
        <is>
          <t>Lakshmi Verma</t>
        </is>
      </c>
      <c r="C778" s="35" t="inlineStr">
        <is>
          <t>GUW-01</t>
        </is>
      </c>
      <c r="D778" s="36">
        <f>INDEX(Branches!$C$2:$C$15,MATCH(C778,Branches!$A$2:$A$15,0))</f>
        <v/>
      </c>
      <c r="E778" s="35" t="inlineStr">
        <is>
          <t>Gold Loan</t>
        </is>
      </c>
      <c r="F778" s="37" t="n">
        <v>45244</v>
      </c>
      <c r="G778" s="38" t="n">
        <v>472000</v>
      </c>
      <c r="H778" s="39" t="n">
        <v>0.103</v>
      </c>
      <c r="I778" s="35" t="n">
        <v>12</v>
      </c>
      <c r="J778" s="35" t="n">
        <v>793</v>
      </c>
      <c r="K778" s="35" t="n">
        <v>0</v>
      </c>
      <c r="L778" s="40">
        <f>ROUND(PMT(H778/12,I778,-G778),0)</f>
        <v/>
      </c>
      <c r="M778" s="41">
        <f>MAX(0,(YEAR(AsOfDate)-YEAR(F778))*12+MONTH(AsOfDate)-MONTH(F778))</f>
        <v/>
      </c>
      <c r="N778" s="41">
        <f>MAX(0,MIN(I778,M778)-INT(K778/30))</f>
        <v/>
      </c>
      <c r="O778" s="40">
        <f>IF(N778&gt;=I778,0,ROUND(PV(H778/12,I778-N778,-L778),0))</f>
        <v/>
      </c>
      <c r="P778" s="40">
        <f>MIN(I778,M778)*L778-N778*L778</f>
        <v/>
      </c>
      <c r="Q778" s="41">
        <f>INDEX(DPD_Bucket,MATCH(K778,DPD_From,1))</f>
        <v/>
      </c>
      <c r="R778" s="41">
        <f>INDEX(DPD_Class,MATCH(K778,DPD_From,1))</f>
        <v/>
      </c>
      <c r="S778" s="41">
        <f>INDEX(DPD_NPA,MATCH(K778,DPD_From,1))</f>
        <v/>
      </c>
      <c r="T778" s="42">
        <f>INDEX(DPD_Prov,MATCH(K778,DPD_From,1))</f>
        <v/>
      </c>
      <c r="U778" s="40">
        <f>ROUND(O778*T778,0)</f>
        <v/>
      </c>
      <c r="V778" s="41">
        <f>INDEX(CIBIL_Grade,MATCH(J778,CIBIL_From,1))</f>
        <v/>
      </c>
      <c r="W778" s="41">
        <f>YEAR(F778)&amp;"-Q"&amp;ROUNDUP(MONTH(F778)/3,0)</f>
        <v/>
      </c>
      <c r="X778" s="41">
        <f>IF(AND(OR(Dashboard!$C$4="All",D778=Dashboard!$C$4),OR(Dashboard!$C$5="All",E778=Dashboard!$C$5)),1,0)</f>
        <v/>
      </c>
      <c r="Y778" s="43">
        <f>IF(AND(X778=1,S778="Yes"),O778+ROW()/1000000,0)</f>
        <v/>
      </c>
    </row>
    <row r="779">
      <c r="A779" s="35" t="inlineStr">
        <is>
          <t>LN100778</t>
        </is>
      </c>
      <c r="B779" s="35" t="inlineStr">
        <is>
          <t>Riya Pillai</t>
        </is>
      </c>
      <c r="C779" s="35" t="inlineStr">
        <is>
          <t>PUN-01</t>
        </is>
      </c>
      <c r="D779" s="36">
        <f>INDEX(Branches!$C$2:$C$15,MATCH(C779,Branches!$A$2:$A$15,0))</f>
        <v/>
      </c>
      <c r="E779" s="35" t="inlineStr">
        <is>
          <t>Gold Loan</t>
        </is>
      </c>
      <c r="F779" s="37" t="n">
        <v>45924</v>
      </c>
      <c r="G779" s="38" t="n">
        <v>283000</v>
      </c>
      <c r="H779" s="39" t="n">
        <v>0.09130000000000001</v>
      </c>
      <c r="I779" s="35" t="n">
        <v>12</v>
      </c>
      <c r="J779" s="35" t="n">
        <v>735</v>
      </c>
      <c r="K779" s="35" t="n">
        <v>0</v>
      </c>
      <c r="L779" s="40">
        <f>ROUND(PMT(H779/12,I779,-G779),0)</f>
        <v/>
      </c>
      <c r="M779" s="41">
        <f>MAX(0,(YEAR(AsOfDate)-YEAR(F779))*12+MONTH(AsOfDate)-MONTH(F779))</f>
        <v/>
      </c>
      <c r="N779" s="41">
        <f>MAX(0,MIN(I779,M779)-INT(K779/30))</f>
        <v/>
      </c>
      <c r="O779" s="40">
        <f>IF(N779&gt;=I779,0,ROUND(PV(H779/12,I779-N779,-L779),0))</f>
        <v/>
      </c>
      <c r="P779" s="40">
        <f>MIN(I779,M779)*L779-N779*L779</f>
        <v/>
      </c>
      <c r="Q779" s="41">
        <f>INDEX(DPD_Bucket,MATCH(K779,DPD_From,1))</f>
        <v/>
      </c>
      <c r="R779" s="41">
        <f>INDEX(DPD_Class,MATCH(K779,DPD_From,1))</f>
        <v/>
      </c>
      <c r="S779" s="41">
        <f>INDEX(DPD_NPA,MATCH(K779,DPD_From,1))</f>
        <v/>
      </c>
      <c r="T779" s="42">
        <f>INDEX(DPD_Prov,MATCH(K779,DPD_From,1))</f>
        <v/>
      </c>
      <c r="U779" s="40">
        <f>ROUND(O779*T779,0)</f>
        <v/>
      </c>
      <c r="V779" s="41">
        <f>INDEX(CIBIL_Grade,MATCH(J779,CIBIL_From,1))</f>
        <v/>
      </c>
      <c r="W779" s="41">
        <f>YEAR(F779)&amp;"-Q"&amp;ROUNDUP(MONTH(F779)/3,0)</f>
        <v/>
      </c>
      <c r="X779" s="41">
        <f>IF(AND(OR(Dashboard!$C$4="All",D779=Dashboard!$C$4),OR(Dashboard!$C$5="All",E779=Dashboard!$C$5)),1,0)</f>
        <v/>
      </c>
      <c r="Y779" s="43">
        <f>IF(AND(X779=1,S779="Yes"),O779+ROW()/1000000,0)</f>
        <v/>
      </c>
    </row>
    <row r="780">
      <c r="A780" s="35" t="inlineStr">
        <is>
          <t>LN100779</t>
        </is>
      </c>
      <c r="B780" s="35" t="inlineStr">
        <is>
          <t>Kavya Das</t>
        </is>
      </c>
      <c r="C780" s="35" t="inlineStr">
        <is>
          <t>PUN-01</t>
        </is>
      </c>
      <c r="D780" s="36">
        <f>INDEX(Branches!$C$2:$C$15,MATCH(C780,Branches!$A$2:$A$15,0))</f>
        <v/>
      </c>
      <c r="E780" s="35" t="inlineStr">
        <is>
          <t>Business Loan</t>
        </is>
      </c>
      <c r="F780" s="37" t="n">
        <v>45604</v>
      </c>
      <c r="G780" s="38" t="n">
        <v>868000</v>
      </c>
      <c r="H780" s="39" t="n">
        <v>0.17</v>
      </c>
      <c r="I780" s="35" t="n">
        <v>12</v>
      </c>
      <c r="J780" s="35" t="n">
        <v>794</v>
      </c>
      <c r="K780" s="35" t="n">
        <v>0</v>
      </c>
      <c r="L780" s="40">
        <f>ROUND(PMT(H780/12,I780,-G780),0)</f>
        <v/>
      </c>
      <c r="M780" s="41">
        <f>MAX(0,(YEAR(AsOfDate)-YEAR(F780))*12+MONTH(AsOfDate)-MONTH(F780))</f>
        <v/>
      </c>
      <c r="N780" s="41">
        <f>MAX(0,MIN(I780,M780)-INT(K780/30))</f>
        <v/>
      </c>
      <c r="O780" s="40">
        <f>IF(N780&gt;=I780,0,ROUND(PV(H780/12,I780-N780,-L780),0))</f>
        <v/>
      </c>
      <c r="P780" s="40">
        <f>MIN(I780,M780)*L780-N780*L780</f>
        <v/>
      </c>
      <c r="Q780" s="41">
        <f>INDEX(DPD_Bucket,MATCH(K780,DPD_From,1))</f>
        <v/>
      </c>
      <c r="R780" s="41">
        <f>INDEX(DPD_Class,MATCH(K780,DPD_From,1))</f>
        <v/>
      </c>
      <c r="S780" s="41">
        <f>INDEX(DPD_NPA,MATCH(K780,DPD_From,1))</f>
        <v/>
      </c>
      <c r="T780" s="42">
        <f>INDEX(DPD_Prov,MATCH(K780,DPD_From,1))</f>
        <v/>
      </c>
      <c r="U780" s="40">
        <f>ROUND(O780*T780,0)</f>
        <v/>
      </c>
      <c r="V780" s="41">
        <f>INDEX(CIBIL_Grade,MATCH(J780,CIBIL_From,1))</f>
        <v/>
      </c>
      <c r="W780" s="41">
        <f>YEAR(F780)&amp;"-Q"&amp;ROUNDUP(MONTH(F780)/3,0)</f>
        <v/>
      </c>
      <c r="X780" s="41">
        <f>IF(AND(OR(Dashboard!$C$4="All",D780=Dashboard!$C$4),OR(Dashboard!$C$5="All",E780=Dashboard!$C$5)),1,0)</f>
        <v/>
      </c>
      <c r="Y780" s="43">
        <f>IF(AND(X780=1,S780="Yes"),O780+ROW()/1000000,0)</f>
        <v/>
      </c>
    </row>
    <row r="781">
      <c r="A781" s="35" t="inlineStr">
        <is>
          <t>LN100780</t>
        </is>
      </c>
      <c r="B781" s="35" t="inlineStr">
        <is>
          <t>Meera Iyer</t>
        </is>
      </c>
      <c r="C781" s="35" t="inlineStr">
        <is>
          <t>KOC-01</t>
        </is>
      </c>
      <c r="D781" s="36">
        <f>INDEX(Branches!$C$2:$C$15,MATCH(C781,Branches!$A$2:$A$15,0))</f>
        <v/>
      </c>
      <c r="E781" s="35" t="inlineStr">
        <is>
          <t>Home Loan</t>
        </is>
      </c>
      <c r="F781" s="37" t="n">
        <v>45711</v>
      </c>
      <c r="G781" s="38" t="n">
        <v>4559000</v>
      </c>
      <c r="H781" s="39" t="n">
        <v>0.0886</v>
      </c>
      <c r="I781" s="35" t="n">
        <v>240</v>
      </c>
      <c r="J781" s="35" t="n">
        <v>701</v>
      </c>
      <c r="K781" s="35" t="n">
        <v>0</v>
      </c>
      <c r="L781" s="40">
        <f>ROUND(PMT(H781/12,I781,-G781),0)</f>
        <v/>
      </c>
      <c r="M781" s="41">
        <f>MAX(0,(YEAR(AsOfDate)-YEAR(F781))*12+MONTH(AsOfDate)-MONTH(F781))</f>
        <v/>
      </c>
      <c r="N781" s="41">
        <f>MAX(0,MIN(I781,M781)-INT(K781/30))</f>
        <v/>
      </c>
      <c r="O781" s="40">
        <f>IF(N781&gt;=I781,0,ROUND(PV(H781/12,I781-N781,-L781),0))</f>
        <v/>
      </c>
      <c r="P781" s="40">
        <f>MIN(I781,M781)*L781-N781*L781</f>
        <v/>
      </c>
      <c r="Q781" s="41">
        <f>INDEX(DPD_Bucket,MATCH(K781,DPD_From,1))</f>
        <v/>
      </c>
      <c r="R781" s="41">
        <f>INDEX(DPD_Class,MATCH(K781,DPD_From,1))</f>
        <v/>
      </c>
      <c r="S781" s="41">
        <f>INDEX(DPD_NPA,MATCH(K781,DPD_From,1))</f>
        <v/>
      </c>
      <c r="T781" s="42">
        <f>INDEX(DPD_Prov,MATCH(K781,DPD_From,1))</f>
        <v/>
      </c>
      <c r="U781" s="40">
        <f>ROUND(O781*T781,0)</f>
        <v/>
      </c>
      <c r="V781" s="41">
        <f>INDEX(CIBIL_Grade,MATCH(J781,CIBIL_From,1))</f>
        <v/>
      </c>
      <c r="W781" s="41">
        <f>YEAR(F781)&amp;"-Q"&amp;ROUNDUP(MONTH(F781)/3,0)</f>
        <v/>
      </c>
      <c r="X781" s="41">
        <f>IF(AND(OR(Dashboard!$C$4="All",D781=Dashboard!$C$4),OR(Dashboard!$C$5="All",E781=Dashboard!$C$5)),1,0)</f>
        <v/>
      </c>
      <c r="Y781" s="43">
        <f>IF(AND(X781=1,S781="Yes"),O781+ROW()/1000000,0)</f>
        <v/>
      </c>
    </row>
    <row r="782">
      <c r="A782" s="35" t="inlineStr">
        <is>
          <t>LN100781</t>
        </is>
      </c>
      <c r="B782" s="35" t="inlineStr">
        <is>
          <t>Kabir Rao</t>
        </is>
      </c>
      <c r="C782" s="35" t="inlineStr">
        <is>
          <t>GUW-01</t>
        </is>
      </c>
      <c r="D782" s="36">
        <f>INDEX(Branches!$C$2:$C$15,MATCH(C782,Branches!$A$2:$A$15,0))</f>
        <v/>
      </c>
      <c r="E782" s="35" t="inlineStr">
        <is>
          <t>Home Loan</t>
        </is>
      </c>
      <c r="F782" s="37" t="n">
        <v>45975</v>
      </c>
      <c r="G782" s="38" t="n">
        <v>2708000</v>
      </c>
      <c r="H782" s="39" t="n">
        <v>0.0887</v>
      </c>
      <c r="I782" s="35" t="n">
        <v>240</v>
      </c>
      <c r="J782" s="35" t="n">
        <v>792</v>
      </c>
      <c r="K782" s="35" t="n">
        <v>195</v>
      </c>
      <c r="L782" s="40">
        <f>ROUND(PMT(H782/12,I782,-G782),0)</f>
        <v/>
      </c>
      <c r="M782" s="41">
        <f>MAX(0,(YEAR(AsOfDate)-YEAR(F782))*12+MONTH(AsOfDate)-MONTH(F782))</f>
        <v/>
      </c>
      <c r="N782" s="41">
        <f>MAX(0,MIN(I782,M782)-INT(K782/30))</f>
        <v/>
      </c>
      <c r="O782" s="40">
        <f>IF(N782&gt;=I782,0,ROUND(PV(H782/12,I782-N782,-L782),0))</f>
        <v/>
      </c>
      <c r="P782" s="40">
        <f>MIN(I782,M782)*L782-N782*L782</f>
        <v/>
      </c>
      <c r="Q782" s="41">
        <f>INDEX(DPD_Bucket,MATCH(K782,DPD_From,1))</f>
        <v/>
      </c>
      <c r="R782" s="41">
        <f>INDEX(DPD_Class,MATCH(K782,DPD_From,1))</f>
        <v/>
      </c>
      <c r="S782" s="41">
        <f>INDEX(DPD_NPA,MATCH(K782,DPD_From,1))</f>
        <v/>
      </c>
      <c r="T782" s="42">
        <f>INDEX(DPD_Prov,MATCH(K782,DPD_From,1))</f>
        <v/>
      </c>
      <c r="U782" s="40">
        <f>ROUND(O782*T782,0)</f>
        <v/>
      </c>
      <c r="V782" s="41">
        <f>INDEX(CIBIL_Grade,MATCH(J782,CIBIL_From,1))</f>
        <v/>
      </c>
      <c r="W782" s="41">
        <f>YEAR(F782)&amp;"-Q"&amp;ROUNDUP(MONTH(F782)/3,0)</f>
        <v/>
      </c>
      <c r="X782" s="41">
        <f>IF(AND(OR(Dashboard!$C$4="All",D782=Dashboard!$C$4),OR(Dashboard!$C$5="All",E782=Dashboard!$C$5)),1,0)</f>
        <v/>
      </c>
      <c r="Y782" s="43">
        <f>IF(AND(X782=1,S782="Yes"),O782+ROW()/1000000,0)</f>
        <v/>
      </c>
    </row>
    <row r="783">
      <c r="A783" s="35" t="inlineStr">
        <is>
          <t>LN100782</t>
        </is>
      </c>
      <c r="B783" s="35" t="inlineStr">
        <is>
          <t>Lakshmi Joshi</t>
        </is>
      </c>
      <c r="C783" s="35" t="inlineStr">
        <is>
          <t>JAI-01</t>
        </is>
      </c>
      <c r="D783" s="36">
        <f>INDEX(Branches!$C$2:$C$15,MATCH(C783,Branches!$A$2:$A$15,0))</f>
        <v/>
      </c>
      <c r="E783" s="35" t="inlineStr">
        <is>
          <t>Business Loan</t>
        </is>
      </c>
      <c r="F783" s="37" t="n">
        <v>45275</v>
      </c>
      <c r="G783" s="38" t="n">
        <v>1062000</v>
      </c>
      <c r="H783" s="39" t="n">
        <v>0.1982</v>
      </c>
      <c r="I783" s="35" t="n">
        <v>12</v>
      </c>
      <c r="J783" s="35" t="n">
        <v>745</v>
      </c>
      <c r="K783" s="35" t="n">
        <v>0</v>
      </c>
      <c r="L783" s="40">
        <f>ROUND(PMT(H783/12,I783,-G783),0)</f>
        <v/>
      </c>
      <c r="M783" s="41">
        <f>MAX(0,(YEAR(AsOfDate)-YEAR(F783))*12+MONTH(AsOfDate)-MONTH(F783))</f>
        <v/>
      </c>
      <c r="N783" s="41">
        <f>MAX(0,MIN(I783,M783)-INT(K783/30))</f>
        <v/>
      </c>
      <c r="O783" s="40">
        <f>IF(N783&gt;=I783,0,ROUND(PV(H783/12,I783-N783,-L783),0))</f>
        <v/>
      </c>
      <c r="P783" s="40">
        <f>MIN(I783,M783)*L783-N783*L783</f>
        <v/>
      </c>
      <c r="Q783" s="41">
        <f>INDEX(DPD_Bucket,MATCH(K783,DPD_From,1))</f>
        <v/>
      </c>
      <c r="R783" s="41">
        <f>INDEX(DPD_Class,MATCH(K783,DPD_From,1))</f>
        <v/>
      </c>
      <c r="S783" s="41">
        <f>INDEX(DPD_NPA,MATCH(K783,DPD_From,1))</f>
        <v/>
      </c>
      <c r="T783" s="42">
        <f>INDEX(DPD_Prov,MATCH(K783,DPD_From,1))</f>
        <v/>
      </c>
      <c r="U783" s="40">
        <f>ROUND(O783*T783,0)</f>
        <v/>
      </c>
      <c r="V783" s="41">
        <f>INDEX(CIBIL_Grade,MATCH(J783,CIBIL_From,1))</f>
        <v/>
      </c>
      <c r="W783" s="41">
        <f>YEAR(F783)&amp;"-Q"&amp;ROUNDUP(MONTH(F783)/3,0)</f>
        <v/>
      </c>
      <c r="X783" s="41">
        <f>IF(AND(OR(Dashboard!$C$4="All",D783=Dashboard!$C$4),OR(Dashboard!$C$5="All",E783=Dashboard!$C$5)),1,0)</f>
        <v/>
      </c>
      <c r="Y783" s="43">
        <f>IF(AND(X783=1,S783="Yes"),O783+ROW()/1000000,0)</f>
        <v/>
      </c>
    </row>
    <row r="784">
      <c r="A784" s="35" t="inlineStr">
        <is>
          <t>LN100783</t>
        </is>
      </c>
      <c r="B784" s="35" t="inlineStr">
        <is>
          <t>Vivaan Joshi</t>
        </is>
      </c>
      <c r="C784" s="35" t="inlineStr">
        <is>
          <t>BLR-01</t>
        </is>
      </c>
      <c r="D784" s="36">
        <f>INDEX(Branches!$C$2:$C$15,MATCH(C784,Branches!$A$2:$A$15,0))</f>
        <v/>
      </c>
      <c r="E784" s="35" t="inlineStr">
        <is>
          <t>Gold Loan</t>
        </is>
      </c>
      <c r="F784" s="37" t="n">
        <v>45532</v>
      </c>
      <c r="G784" s="38" t="n">
        <v>186000</v>
      </c>
      <c r="H784" s="39" t="n">
        <v>0.1088</v>
      </c>
      <c r="I784" s="35" t="n">
        <v>12</v>
      </c>
      <c r="J784" s="35" t="n">
        <v>800</v>
      </c>
      <c r="K784" s="35" t="n">
        <v>0</v>
      </c>
      <c r="L784" s="40">
        <f>ROUND(PMT(H784/12,I784,-G784),0)</f>
        <v/>
      </c>
      <c r="M784" s="41">
        <f>MAX(0,(YEAR(AsOfDate)-YEAR(F784))*12+MONTH(AsOfDate)-MONTH(F784))</f>
        <v/>
      </c>
      <c r="N784" s="41">
        <f>MAX(0,MIN(I784,M784)-INT(K784/30))</f>
        <v/>
      </c>
      <c r="O784" s="40">
        <f>IF(N784&gt;=I784,0,ROUND(PV(H784/12,I784-N784,-L784),0))</f>
        <v/>
      </c>
      <c r="P784" s="40">
        <f>MIN(I784,M784)*L784-N784*L784</f>
        <v/>
      </c>
      <c r="Q784" s="41">
        <f>INDEX(DPD_Bucket,MATCH(K784,DPD_From,1))</f>
        <v/>
      </c>
      <c r="R784" s="41">
        <f>INDEX(DPD_Class,MATCH(K784,DPD_From,1))</f>
        <v/>
      </c>
      <c r="S784" s="41">
        <f>INDEX(DPD_NPA,MATCH(K784,DPD_From,1))</f>
        <v/>
      </c>
      <c r="T784" s="42">
        <f>INDEX(DPD_Prov,MATCH(K784,DPD_From,1))</f>
        <v/>
      </c>
      <c r="U784" s="40">
        <f>ROUND(O784*T784,0)</f>
        <v/>
      </c>
      <c r="V784" s="41">
        <f>INDEX(CIBIL_Grade,MATCH(J784,CIBIL_From,1))</f>
        <v/>
      </c>
      <c r="W784" s="41">
        <f>YEAR(F784)&amp;"-Q"&amp;ROUNDUP(MONTH(F784)/3,0)</f>
        <v/>
      </c>
      <c r="X784" s="41">
        <f>IF(AND(OR(Dashboard!$C$4="All",D784=Dashboard!$C$4),OR(Dashboard!$C$5="All",E784=Dashboard!$C$5)),1,0)</f>
        <v/>
      </c>
      <c r="Y784" s="43">
        <f>IF(AND(X784=1,S784="Yes"),O784+ROW()/1000000,0)</f>
        <v/>
      </c>
    </row>
    <row r="785">
      <c r="A785" s="35" t="inlineStr">
        <is>
          <t>LN100784</t>
        </is>
      </c>
      <c r="B785" s="35" t="inlineStr">
        <is>
          <t>Diya Banerjee</t>
        </is>
      </c>
      <c r="C785" s="35" t="inlineStr">
        <is>
          <t>AMD-01</t>
        </is>
      </c>
      <c r="D785" s="36">
        <f>INDEX(Branches!$C$2:$C$15,MATCH(C785,Branches!$A$2:$A$15,0))</f>
        <v/>
      </c>
      <c r="E785" s="35" t="inlineStr">
        <is>
          <t>Home Loan</t>
        </is>
      </c>
      <c r="F785" s="37" t="n">
        <v>46059</v>
      </c>
      <c r="G785" s="38" t="n">
        <v>3246000</v>
      </c>
      <c r="H785" s="39" t="n">
        <v>0.0945</v>
      </c>
      <c r="I785" s="35" t="n">
        <v>240</v>
      </c>
      <c r="J785" s="35" t="n">
        <v>681</v>
      </c>
      <c r="K785" s="35" t="n">
        <v>0</v>
      </c>
      <c r="L785" s="40">
        <f>ROUND(PMT(H785/12,I785,-G785),0)</f>
        <v/>
      </c>
      <c r="M785" s="41">
        <f>MAX(0,(YEAR(AsOfDate)-YEAR(F785))*12+MONTH(AsOfDate)-MONTH(F785))</f>
        <v/>
      </c>
      <c r="N785" s="41">
        <f>MAX(0,MIN(I785,M785)-INT(K785/30))</f>
        <v/>
      </c>
      <c r="O785" s="40">
        <f>IF(N785&gt;=I785,0,ROUND(PV(H785/12,I785-N785,-L785),0))</f>
        <v/>
      </c>
      <c r="P785" s="40">
        <f>MIN(I785,M785)*L785-N785*L785</f>
        <v/>
      </c>
      <c r="Q785" s="41">
        <f>INDEX(DPD_Bucket,MATCH(K785,DPD_From,1))</f>
        <v/>
      </c>
      <c r="R785" s="41">
        <f>INDEX(DPD_Class,MATCH(K785,DPD_From,1))</f>
        <v/>
      </c>
      <c r="S785" s="41">
        <f>INDEX(DPD_NPA,MATCH(K785,DPD_From,1))</f>
        <v/>
      </c>
      <c r="T785" s="42">
        <f>INDEX(DPD_Prov,MATCH(K785,DPD_From,1))</f>
        <v/>
      </c>
      <c r="U785" s="40">
        <f>ROUND(O785*T785,0)</f>
        <v/>
      </c>
      <c r="V785" s="41">
        <f>INDEX(CIBIL_Grade,MATCH(J785,CIBIL_From,1))</f>
        <v/>
      </c>
      <c r="W785" s="41">
        <f>YEAR(F785)&amp;"-Q"&amp;ROUNDUP(MONTH(F785)/3,0)</f>
        <v/>
      </c>
      <c r="X785" s="41">
        <f>IF(AND(OR(Dashboard!$C$4="All",D785=Dashboard!$C$4),OR(Dashboard!$C$5="All",E785=Dashboard!$C$5)),1,0)</f>
        <v/>
      </c>
      <c r="Y785" s="43">
        <f>IF(AND(X785=1,S785="Yes"),O785+ROW()/1000000,0)</f>
        <v/>
      </c>
    </row>
    <row r="786">
      <c r="A786" s="35" t="inlineStr">
        <is>
          <t>LN100785</t>
        </is>
      </c>
      <c r="B786" s="35" t="inlineStr">
        <is>
          <t>Suresh Nair</t>
        </is>
      </c>
      <c r="C786" s="35" t="inlineStr">
        <is>
          <t>PUN-01</t>
        </is>
      </c>
      <c r="D786" s="36">
        <f>INDEX(Branches!$C$2:$C$15,MATCH(C786,Branches!$A$2:$A$15,0))</f>
        <v/>
      </c>
      <c r="E786" s="35" t="inlineStr">
        <is>
          <t>Auto Loan</t>
        </is>
      </c>
      <c r="F786" s="37" t="n">
        <v>45245</v>
      </c>
      <c r="G786" s="38" t="n">
        <v>1441000</v>
      </c>
      <c r="H786" s="39" t="n">
        <v>0.1099</v>
      </c>
      <c r="I786" s="35" t="n">
        <v>36</v>
      </c>
      <c r="J786" s="35" t="n">
        <v>661</v>
      </c>
      <c r="K786" s="35" t="n">
        <v>0</v>
      </c>
      <c r="L786" s="40">
        <f>ROUND(PMT(H786/12,I786,-G786),0)</f>
        <v/>
      </c>
      <c r="M786" s="41">
        <f>MAX(0,(YEAR(AsOfDate)-YEAR(F786))*12+MONTH(AsOfDate)-MONTH(F786))</f>
        <v/>
      </c>
      <c r="N786" s="41">
        <f>MAX(0,MIN(I786,M786)-INT(K786/30))</f>
        <v/>
      </c>
      <c r="O786" s="40">
        <f>IF(N786&gt;=I786,0,ROUND(PV(H786/12,I786-N786,-L786),0))</f>
        <v/>
      </c>
      <c r="P786" s="40">
        <f>MIN(I786,M786)*L786-N786*L786</f>
        <v/>
      </c>
      <c r="Q786" s="41">
        <f>INDEX(DPD_Bucket,MATCH(K786,DPD_From,1))</f>
        <v/>
      </c>
      <c r="R786" s="41">
        <f>INDEX(DPD_Class,MATCH(K786,DPD_From,1))</f>
        <v/>
      </c>
      <c r="S786" s="41">
        <f>INDEX(DPD_NPA,MATCH(K786,DPD_From,1))</f>
        <v/>
      </c>
      <c r="T786" s="42">
        <f>INDEX(DPD_Prov,MATCH(K786,DPD_From,1))</f>
        <v/>
      </c>
      <c r="U786" s="40">
        <f>ROUND(O786*T786,0)</f>
        <v/>
      </c>
      <c r="V786" s="41">
        <f>INDEX(CIBIL_Grade,MATCH(J786,CIBIL_From,1))</f>
        <v/>
      </c>
      <c r="W786" s="41">
        <f>YEAR(F786)&amp;"-Q"&amp;ROUNDUP(MONTH(F786)/3,0)</f>
        <v/>
      </c>
      <c r="X786" s="41">
        <f>IF(AND(OR(Dashboard!$C$4="All",D786=Dashboard!$C$4),OR(Dashboard!$C$5="All",E786=Dashboard!$C$5)),1,0)</f>
        <v/>
      </c>
      <c r="Y786" s="43">
        <f>IF(AND(X786=1,S786="Yes"),O786+ROW()/1000000,0)</f>
        <v/>
      </c>
    </row>
    <row r="787">
      <c r="A787" s="35" t="inlineStr">
        <is>
          <t>LN100786</t>
        </is>
      </c>
      <c r="B787" s="35" t="inlineStr">
        <is>
          <t>Arjun Nair</t>
        </is>
      </c>
      <c r="C787" s="35" t="inlineStr">
        <is>
          <t>BLR-01</t>
        </is>
      </c>
      <c r="D787" s="36">
        <f>INDEX(Branches!$C$2:$C$15,MATCH(C787,Branches!$A$2:$A$15,0))</f>
        <v/>
      </c>
      <c r="E787" s="35" t="inlineStr">
        <is>
          <t>Home Loan</t>
        </is>
      </c>
      <c r="F787" s="37" t="n">
        <v>45501</v>
      </c>
      <c r="G787" s="38" t="n">
        <v>9737000</v>
      </c>
      <c r="H787" s="39" t="n">
        <v>0.0849</v>
      </c>
      <c r="I787" s="35" t="n">
        <v>240</v>
      </c>
      <c r="J787" s="35" t="n">
        <v>800</v>
      </c>
      <c r="K787" s="35" t="n">
        <v>0</v>
      </c>
      <c r="L787" s="40">
        <f>ROUND(PMT(H787/12,I787,-G787),0)</f>
        <v/>
      </c>
      <c r="M787" s="41">
        <f>MAX(0,(YEAR(AsOfDate)-YEAR(F787))*12+MONTH(AsOfDate)-MONTH(F787))</f>
        <v/>
      </c>
      <c r="N787" s="41">
        <f>MAX(0,MIN(I787,M787)-INT(K787/30))</f>
        <v/>
      </c>
      <c r="O787" s="40">
        <f>IF(N787&gt;=I787,0,ROUND(PV(H787/12,I787-N787,-L787),0))</f>
        <v/>
      </c>
      <c r="P787" s="40">
        <f>MIN(I787,M787)*L787-N787*L787</f>
        <v/>
      </c>
      <c r="Q787" s="41">
        <f>INDEX(DPD_Bucket,MATCH(K787,DPD_From,1))</f>
        <v/>
      </c>
      <c r="R787" s="41">
        <f>INDEX(DPD_Class,MATCH(K787,DPD_From,1))</f>
        <v/>
      </c>
      <c r="S787" s="41">
        <f>INDEX(DPD_NPA,MATCH(K787,DPD_From,1))</f>
        <v/>
      </c>
      <c r="T787" s="42">
        <f>INDEX(DPD_Prov,MATCH(K787,DPD_From,1))</f>
        <v/>
      </c>
      <c r="U787" s="40">
        <f>ROUND(O787*T787,0)</f>
        <v/>
      </c>
      <c r="V787" s="41">
        <f>INDEX(CIBIL_Grade,MATCH(J787,CIBIL_From,1))</f>
        <v/>
      </c>
      <c r="W787" s="41">
        <f>YEAR(F787)&amp;"-Q"&amp;ROUNDUP(MONTH(F787)/3,0)</f>
        <v/>
      </c>
      <c r="X787" s="41">
        <f>IF(AND(OR(Dashboard!$C$4="All",D787=Dashboard!$C$4),OR(Dashboard!$C$5="All",E787=Dashboard!$C$5)),1,0)</f>
        <v/>
      </c>
      <c r="Y787" s="43">
        <f>IF(AND(X787=1,S787="Yes"),O787+ROW()/1000000,0)</f>
        <v/>
      </c>
    </row>
    <row r="788">
      <c r="A788" s="35" t="inlineStr">
        <is>
          <t>LN100787</t>
        </is>
      </c>
      <c r="B788" s="35" t="inlineStr">
        <is>
          <t>Zoya Sahoo</t>
        </is>
      </c>
      <c r="C788" s="35" t="inlineStr">
        <is>
          <t>DEL-01</t>
        </is>
      </c>
      <c r="D788" s="36">
        <f>INDEX(Branches!$C$2:$C$15,MATCH(C788,Branches!$A$2:$A$15,0))</f>
        <v/>
      </c>
      <c r="E788" s="35" t="inlineStr">
        <is>
          <t>Business Loan</t>
        </is>
      </c>
      <c r="F788" s="37" t="n">
        <v>45915</v>
      </c>
      <c r="G788" s="38" t="n">
        <v>1337000</v>
      </c>
      <c r="H788" s="39" t="n">
        <v>0.1396</v>
      </c>
      <c r="I788" s="35" t="n">
        <v>24</v>
      </c>
      <c r="J788" s="35" t="n">
        <v>707</v>
      </c>
      <c r="K788" s="35" t="n">
        <v>0</v>
      </c>
      <c r="L788" s="40">
        <f>ROUND(PMT(H788/12,I788,-G788),0)</f>
        <v/>
      </c>
      <c r="M788" s="41">
        <f>MAX(0,(YEAR(AsOfDate)-YEAR(F788))*12+MONTH(AsOfDate)-MONTH(F788))</f>
        <v/>
      </c>
      <c r="N788" s="41">
        <f>MAX(0,MIN(I788,M788)-INT(K788/30))</f>
        <v/>
      </c>
      <c r="O788" s="40">
        <f>IF(N788&gt;=I788,0,ROUND(PV(H788/12,I788-N788,-L788),0))</f>
        <v/>
      </c>
      <c r="P788" s="40">
        <f>MIN(I788,M788)*L788-N788*L788</f>
        <v/>
      </c>
      <c r="Q788" s="41">
        <f>INDEX(DPD_Bucket,MATCH(K788,DPD_From,1))</f>
        <v/>
      </c>
      <c r="R788" s="41">
        <f>INDEX(DPD_Class,MATCH(K788,DPD_From,1))</f>
        <v/>
      </c>
      <c r="S788" s="41">
        <f>INDEX(DPD_NPA,MATCH(K788,DPD_From,1))</f>
        <v/>
      </c>
      <c r="T788" s="42">
        <f>INDEX(DPD_Prov,MATCH(K788,DPD_From,1))</f>
        <v/>
      </c>
      <c r="U788" s="40">
        <f>ROUND(O788*T788,0)</f>
        <v/>
      </c>
      <c r="V788" s="41">
        <f>INDEX(CIBIL_Grade,MATCH(J788,CIBIL_From,1))</f>
        <v/>
      </c>
      <c r="W788" s="41">
        <f>YEAR(F788)&amp;"-Q"&amp;ROUNDUP(MONTH(F788)/3,0)</f>
        <v/>
      </c>
      <c r="X788" s="41">
        <f>IF(AND(OR(Dashboard!$C$4="All",D788=Dashboard!$C$4),OR(Dashboard!$C$5="All",E788=Dashboard!$C$5)),1,0)</f>
        <v/>
      </c>
      <c r="Y788" s="43">
        <f>IF(AND(X788=1,S788="Yes"),O788+ROW()/1000000,0)</f>
        <v/>
      </c>
    </row>
    <row r="789">
      <c r="A789" s="35" t="inlineStr">
        <is>
          <t>LN100788</t>
        </is>
      </c>
      <c r="B789" s="35" t="inlineStr">
        <is>
          <t>Rahul Menon</t>
        </is>
      </c>
      <c r="C789" s="35" t="inlineStr">
        <is>
          <t>MUM-01</t>
        </is>
      </c>
      <c r="D789" s="36">
        <f>INDEX(Branches!$C$2:$C$15,MATCH(C789,Branches!$A$2:$A$15,0))</f>
        <v/>
      </c>
      <c r="E789" s="35" t="inlineStr">
        <is>
          <t>Home Loan</t>
        </is>
      </c>
      <c r="F789" s="37" t="n">
        <v>45535</v>
      </c>
      <c r="G789" s="38" t="n">
        <v>9588000</v>
      </c>
      <c r="H789" s="39" t="n">
        <v>0.0916</v>
      </c>
      <c r="I789" s="35" t="n">
        <v>120</v>
      </c>
      <c r="J789" s="35" t="n">
        <v>702</v>
      </c>
      <c r="K789" s="35" t="n">
        <v>0</v>
      </c>
      <c r="L789" s="40">
        <f>ROUND(PMT(H789/12,I789,-G789),0)</f>
        <v/>
      </c>
      <c r="M789" s="41">
        <f>MAX(0,(YEAR(AsOfDate)-YEAR(F789))*12+MONTH(AsOfDate)-MONTH(F789))</f>
        <v/>
      </c>
      <c r="N789" s="41">
        <f>MAX(0,MIN(I789,M789)-INT(K789/30))</f>
        <v/>
      </c>
      <c r="O789" s="40">
        <f>IF(N789&gt;=I789,0,ROUND(PV(H789/12,I789-N789,-L789),0))</f>
        <v/>
      </c>
      <c r="P789" s="40">
        <f>MIN(I789,M789)*L789-N789*L789</f>
        <v/>
      </c>
      <c r="Q789" s="41">
        <f>INDEX(DPD_Bucket,MATCH(K789,DPD_From,1))</f>
        <v/>
      </c>
      <c r="R789" s="41">
        <f>INDEX(DPD_Class,MATCH(K789,DPD_From,1))</f>
        <v/>
      </c>
      <c r="S789" s="41">
        <f>INDEX(DPD_NPA,MATCH(K789,DPD_From,1))</f>
        <v/>
      </c>
      <c r="T789" s="42">
        <f>INDEX(DPD_Prov,MATCH(K789,DPD_From,1))</f>
        <v/>
      </c>
      <c r="U789" s="40">
        <f>ROUND(O789*T789,0)</f>
        <v/>
      </c>
      <c r="V789" s="41">
        <f>INDEX(CIBIL_Grade,MATCH(J789,CIBIL_From,1))</f>
        <v/>
      </c>
      <c r="W789" s="41">
        <f>YEAR(F789)&amp;"-Q"&amp;ROUNDUP(MONTH(F789)/3,0)</f>
        <v/>
      </c>
      <c r="X789" s="41">
        <f>IF(AND(OR(Dashboard!$C$4="All",D789=Dashboard!$C$4),OR(Dashboard!$C$5="All",E789=Dashboard!$C$5)),1,0)</f>
        <v/>
      </c>
      <c r="Y789" s="43">
        <f>IF(AND(X789=1,S789="Yes"),O789+ROW()/1000000,0)</f>
        <v/>
      </c>
    </row>
    <row r="790">
      <c r="A790" s="35" t="inlineStr">
        <is>
          <t>LN100789</t>
        </is>
      </c>
      <c r="B790" s="35" t="inlineStr">
        <is>
          <t>Rahul Mishra</t>
        </is>
      </c>
      <c r="C790" s="35" t="inlineStr">
        <is>
          <t>KOL-01</t>
        </is>
      </c>
      <c r="D790" s="36">
        <f>INDEX(Branches!$C$2:$C$15,MATCH(C790,Branches!$A$2:$A$15,0))</f>
        <v/>
      </c>
      <c r="E790" s="35" t="inlineStr">
        <is>
          <t>Home Loan</t>
        </is>
      </c>
      <c r="F790" s="37" t="n">
        <v>45541</v>
      </c>
      <c r="G790" s="38" t="n">
        <v>10818000</v>
      </c>
      <c r="H790" s="39" t="n">
        <v>0.0848</v>
      </c>
      <c r="I790" s="35" t="n">
        <v>180</v>
      </c>
      <c r="J790" s="35" t="n">
        <v>698</v>
      </c>
      <c r="K790" s="35" t="n">
        <v>0</v>
      </c>
      <c r="L790" s="40">
        <f>ROUND(PMT(H790/12,I790,-G790),0)</f>
        <v/>
      </c>
      <c r="M790" s="41">
        <f>MAX(0,(YEAR(AsOfDate)-YEAR(F790))*12+MONTH(AsOfDate)-MONTH(F790))</f>
        <v/>
      </c>
      <c r="N790" s="41">
        <f>MAX(0,MIN(I790,M790)-INT(K790/30))</f>
        <v/>
      </c>
      <c r="O790" s="40">
        <f>IF(N790&gt;=I790,0,ROUND(PV(H790/12,I790-N790,-L790),0))</f>
        <v/>
      </c>
      <c r="P790" s="40">
        <f>MIN(I790,M790)*L790-N790*L790</f>
        <v/>
      </c>
      <c r="Q790" s="41">
        <f>INDEX(DPD_Bucket,MATCH(K790,DPD_From,1))</f>
        <v/>
      </c>
      <c r="R790" s="41">
        <f>INDEX(DPD_Class,MATCH(K790,DPD_From,1))</f>
        <v/>
      </c>
      <c r="S790" s="41">
        <f>INDEX(DPD_NPA,MATCH(K790,DPD_From,1))</f>
        <v/>
      </c>
      <c r="T790" s="42">
        <f>INDEX(DPD_Prov,MATCH(K790,DPD_From,1))</f>
        <v/>
      </c>
      <c r="U790" s="40">
        <f>ROUND(O790*T790,0)</f>
        <v/>
      </c>
      <c r="V790" s="41">
        <f>INDEX(CIBIL_Grade,MATCH(J790,CIBIL_From,1))</f>
        <v/>
      </c>
      <c r="W790" s="41">
        <f>YEAR(F790)&amp;"-Q"&amp;ROUNDUP(MONTH(F790)/3,0)</f>
        <v/>
      </c>
      <c r="X790" s="41">
        <f>IF(AND(OR(Dashboard!$C$4="All",D790=Dashboard!$C$4),OR(Dashboard!$C$5="All",E790=Dashboard!$C$5)),1,0)</f>
        <v/>
      </c>
      <c r="Y790" s="43">
        <f>IF(AND(X790=1,S790="Yes"),O790+ROW()/1000000,0)</f>
        <v/>
      </c>
    </row>
    <row r="791">
      <c r="A791" s="35" t="inlineStr">
        <is>
          <t>LN100790</t>
        </is>
      </c>
      <c r="B791" s="35" t="inlineStr">
        <is>
          <t>Ishaan Das</t>
        </is>
      </c>
      <c r="C791" s="35" t="inlineStr">
        <is>
          <t>KOL-01</t>
        </is>
      </c>
      <c r="D791" s="36">
        <f>INDEX(Branches!$C$2:$C$15,MATCH(C791,Branches!$A$2:$A$15,0))</f>
        <v/>
      </c>
      <c r="E791" s="35" t="inlineStr">
        <is>
          <t>Personal Loan</t>
        </is>
      </c>
      <c r="F791" s="37" t="n">
        <v>46062</v>
      </c>
      <c r="G791" s="38" t="n">
        <v>1372000</v>
      </c>
      <c r="H791" s="39" t="n">
        <v>0.1639</v>
      </c>
      <c r="I791" s="35" t="n">
        <v>60</v>
      </c>
      <c r="J791" s="35" t="n">
        <v>707</v>
      </c>
      <c r="K791" s="35" t="n">
        <v>0</v>
      </c>
      <c r="L791" s="40">
        <f>ROUND(PMT(H791/12,I791,-G791),0)</f>
        <v/>
      </c>
      <c r="M791" s="41">
        <f>MAX(0,(YEAR(AsOfDate)-YEAR(F791))*12+MONTH(AsOfDate)-MONTH(F791))</f>
        <v/>
      </c>
      <c r="N791" s="41">
        <f>MAX(0,MIN(I791,M791)-INT(K791/30))</f>
        <v/>
      </c>
      <c r="O791" s="40">
        <f>IF(N791&gt;=I791,0,ROUND(PV(H791/12,I791-N791,-L791),0))</f>
        <v/>
      </c>
      <c r="P791" s="40">
        <f>MIN(I791,M791)*L791-N791*L791</f>
        <v/>
      </c>
      <c r="Q791" s="41">
        <f>INDEX(DPD_Bucket,MATCH(K791,DPD_From,1))</f>
        <v/>
      </c>
      <c r="R791" s="41">
        <f>INDEX(DPD_Class,MATCH(K791,DPD_From,1))</f>
        <v/>
      </c>
      <c r="S791" s="41">
        <f>INDEX(DPD_NPA,MATCH(K791,DPD_From,1))</f>
        <v/>
      </c>
      <c r="T791" s="42">
        <f>INDEX(DPD_Prov,MATCH(K791,DPD_From,1))</f>
        <v/>
      </c>
      <c r="U791" s="40">
        <f>ROUND(O791*T791,0)</f>
        <v/>
      </c>
      <c r="V791" s="41">
        <f>INDEX(CIBIL_Grade,MATCH(J791,CIBIL_From,1))</f>
        <v/>
      </c>
      <c r="W791" s="41">
        <f>YEAR(F791)&amp;"-Q"&amp;ROUNDUP(MONTH(F791)/3,0)</f>
        <v/>
      </c>
      <c r="X791" s="41">
        <f>IF(AND(OR(Dashboard!$C$4="All",D791=Dashboard!$C$4),OR(Dashboard!$C$5="All",E791=Dashboard!$C$5)),1,0)</f>
        <v/>
      </c>
      <c r="Y791" s="43">
        <f>IF(AND(X791=1,S791="Yes"),O791+ROW()/1000000,0)</f>
        <v/>
      </c>
    </row>
    <row r="792">
      <c r="A792" s="35" t="inlineStr">
        <is>
          <t>LN100791</t>
        </is>
      </c>
      <c r="B792" s="35" t="inlineStr">
        <is>
          <t>Priya Sahoo</t>
        </is>
      </c>
      <c r="C792" s="35" t="inlineStr">
        <is>
          <t>MUM-01</t>
        </is>
      </c>
      <c r="D792" s="36">
        <f>INDEX(Branches!$C$2:$C$15,MATCH(C792,Branches!$A$2:$A$15,0))</f>
        <v/>
      </c>
      <c r="E792" s="35" t="inlineStr">
        <is>
          <t>Auto Loan</t>
        </is>
      </c>
      <c r="F792" s="37" t="n">
        <v>45216</v>
      </c>
      <c r="G792" s="38" t="n">
        <v>1070000</v>
      </c>
      <c r="H792" s="39" t="n">
        <v>0.094</v>
      </c>
      <c r="I792" s="35" t="n">
        <v>84</v>
      </c>
      <c r="J792" s="35" t="n">
        <v>695</v>
      </c>
      <c r="K792" s="35" t="n">
        <v>0</v>
      </c>
      <c r="L792" s="40">
        <f>ROUND(PMT(H792/12,I792,-G792),0)</f>
        <v/>
      </c>
      <c r="M792" s="41">
        <f>MAX(0,(YEAR(AsOfDate)-YEAR(F792))*12+MONTH(AsOfDate)-MONTH(F792))</f>
        <v/>
      </c>
      <c r="N792" s="41">
        <f>MAX(0,MIN(I792,M792)-INT(K792/30))</f>
        <v/>
      </c>
      <c r="O792" s="40">
        <f>IF(N792&gt;=I792,0,ROUND(PV(H792/12,I792-N792,-L792),0))</f>
        <v/>
      </c>
      <c r="P792" s="40">
        <f>MIN(I792,M792)*L792-N792*L792</f>
        <v/>
      </c>
      <c r="Q792" s="41">
        <f>INDEX(DPD_Bucket,MATCH(K792,DPD_From,1))</f>
        <v/>
      </c>
      <c r="R792" s="41">
        <f>INDEX(DPD_Class,MATCH(K792,DPD_From,1))</f>
        <v/>
      </c>
      <c r="S792" s="41">
        <f>INDEX(DPD_NPA,MATCH(K792,DPD_From,1))</f>
        <v/>
      </c>
      <c r="T792" s="42">
        <f>INDEX(DPD_Prov,MATCH(K792,DPD_From,1))</f>
        <v/>
      </c>
      <c r="U792" s="40">
        <f>ROUND(O792*T792,0)</f>
        <v/>
      </c>
      <c r="V792" s="41">
        <f>INDEX(CIBIL_Grade,MATCH(J792,CIBIL_From,1))</f>
        <v/>
      </c>
      <c r="W792" s="41">
        <f>YEAR(F792)&amp;"-Q"&amp;ROUNDUP(MONTH(F792)/3,0)</f>
        <v/>
      </c>
      <c r="X792" s="41">
        <f>IF(AND(OR(Dashboard!$C$4="All",D792=Dashboard!$C$4),OR(Dashboard!$C$5="All",E792=Dashboard!$C$5)),1,0)</f>
        <v/>
      </c>
      <c r="Y792" s="43">
        <f>IF(AND(X792=1,S792="Yes"),O792+ROW()/1000000,0)</f>
        <v/>
      </c>
    </row>
    <row r="793">
      <c r="A793" s="35" t="inlineStr">
        <is>
          <t>LN100792</t>
        </is>
      </c>
      <c r="B793" s="35" t="inlineStr">
        <is>
          <t>Aarav Mohanty</t>
        </is>
      </c>
      <c r="C793" s="35" t="inlineStr">
        <is>
          <t>BBS-01</t>
        </is>
      </c>
      <c r="D793" s="36">
        <f>INDEX(Branches!$C$2:$C$15,MATCH(C793,Branches!$A$2:$A$15,0))</f>
        <v/>
      </c>
      <c r="E793" s="35" t="inlineStr">
        <is>
          <t>Personal Loan</t>
        </is>
      </c>
      <c r="F793" s="37" t="n">
        <v>45158</v>
      </c>
      <c r="G793" s="38" t="n">
        <v>422000</v>
      </c>
      <c r="H793" s="39" t="n">
        <v>0.1518</v>
      </c>
      <c r="I793" s="35" t="n">
        <v>12</v>
      </c>
      <c r="J793" s="35" t="n">
        <v>706</v>
      </c>
      <c r="K793" s="35" t="n">
        <v>0</v>
      </c>
      <c r="L793" s="40">
        <f>ROUND(PMT(H793/12,I793,-G793),0)</f>
        <v/>
      </c>
      <c r="M793" s="41">
        <f>MAX(0,(YEAR(AsOfDate)-YEAR(F793))*12+MONTH(AsOfDate)-MONTH(F793))</f>
        <v/>
      </c>
      <c r="N793" s="41">
        <f>MAX(0,MIN(I793,M793)-INT(K793/30))</f>
        <v/>
      </c>
      <c r="O793" s="40">
        <f>IF(N793&gt;=I793,0,ROUND(PV(H793/12,I793-N793,-L793),0))</f>
        <v/>
      </c>
      <c r="P793" s="40">
        <f>MIN(I793,M793)*L793-N793*L793</f>
        <v/>
      </c>
      <c r="Q793" s="41">
        <f>INDEX(DPD_Bucket,MATCH(K793,DPD_From,1))</f>
        <v/>
      </c>
      <c r="R793" s="41">
        <f>INDEX(DPD_Class,MATCH(K793,DPD_From,1))</f>
        <v/>
      </c>
      <c r="S793" s="41">
        <f>INDEX(DPD_NPA,MATCH(K793,DPD_From,1))</f>
        <v/>
      </c>
      <c r="T793" s="42">
        <f>INDEX(DPD_Prov,MATCH(K793,DPD_From,1))</f>
        <v/>
      </c>
      <c r="U793" s="40">
        <f>ROUND(O793*T793,0)</f>
        <v/>
      </c>
      <c r="V793" s="41">
        <f>INDEX(CIBIL_Grade,MATCH(J793,CIBIL_From,1))</f>
        <v/>
      </c>
      <c r="W793" s="41">
        <f>YEAR(F793)&amp;"-Q"&amp;ROUNDUP(MONTH(F793)/3,0)</f>
        <v/>
      </c>
      <c r="X793" s="41">
        <f>IF(AND(OR(Dashboard!$C$4="All",D793=Dashboard!$C$4),OR(Dashboard!$C$5="All",E793=Dashboard!$C$5)),1,0)</f>
        <v/>
      </c>
      <c r="Y793" s="43">
        <f>IF(AND(X793=1,S793="Yes"),O793+ROW()/1000000,0)</f>
        <v/>
      </c>
    </row>
    <row r="794">
      <c r="A794" s="35" t="inlineStr">
        <is>
          <t>LN100793</t>
        </is>
      </c>
      <c r="B794" s="35" t="inlineStr">
        <is>
          <t>Sneha Sharma</t>
        </is>
      </c>
      <c r="C794" s="35" t="inlineStr">
        <is>
          <t>CHN-01</t>
        </is>
      </c>
      <c r="D794" s="36">
        <f>INDEX(Branches!$C$2:$C$15,MATCH(C794,Branches!$A$2:$A$15,0))</f>
        <v/>
      </c>
      <c r="E794" s="35" t="inlineStr">
        <is>
          <t>Auto Loan</t>
        </is>
      </c>
      <c r="F794" s="37" t="n">
        <v>45404</v>
      </c>
      <c r="G794" s="38" t="n">
        <v>973000</v>
      </c>
      <c r="H794" s="39" t="n">
        <v>0.1062</v>
      </c>
      <c r="I794" s="35" t="n">
        <v>60</v>
      </c>
      <c r="J794" s="35" t="n">
        <v>744</v>
      </c>
      <c r="K794" s="35" t="n">
        <v>0</v>
      </c>
      <c r="L794" s="40">
        <f>ROUND(PMT(H794/12,I794,-G794),0)</f>
        <v/>
      </c>
      <c r="M794" s="41">
        <f>MAX(0,(YEAR(AsOfDate)-YEAR(F794))*12+MONTH(AsOfDate)-MONTH(F794))</f>
        <v/>
      </c>
      <c r="N794" s="41">
        <f>MAX(0,MIN(I794,M794)-INT(K794/30))</f>
        <v/>
      </c>
      <c r="O794" s="40">
        <f>IF(N794&gt;=I794,0,ROUND(PV(H794/12,I794-N794,-L794),0))</f>
        <v/>
      </c>
      <c r="P794" s="40">
        <f>MIN(I794,M794)*L794-N794*L794</f>
        <v/>
      </c>
      <c r="Q794" s="41">
        <f>INDEX(DPD_Bucket,MATCH(K794,DPD_From,1))</f>
        <v/>
      </c>
      <c r="R794" s="41">
        <f>INDEX(DPD_Class,MATCH(K794,DPD_From,1))</f>
        <v/>
      </c>
      <c r="S794" s="41">
        <f>INDEX(DPD_NPA,MATCH(K794,DPD_From,1))</f>
        <v/>
      </c>
      <c r="T794" s="42">
        <f>INDEX(DPD_Prov,MATCH(K794,DPD_From,1))</f>
        <v/>
      </c>
      <c r="U794" s="40">
        <f>ROUND(O794*T794,0)</f>
        <v/>
      </c>
      <c r="V794" s="41">
        <f>INDEX(CIBIL_Grade,MATCH(J794,CIBIL_From,1))</f>
        <v/>
      </c>
      <c r="W794" s="41">
        <f>YEAR(F794)&amp;"-Q"&amp;ROUNDUP(MONTH(F794)/3,0)</f>
        <v/>
      </c>
      <c r="X794" s="41">
        <f>IF(AND(OR(Dashboard!$C$4="All",D794=Dashboard!$C$4),OR(Dashboard!$C$5="All",E794=Dashboard!$C$5)),1,0)</f>
        <v/>
      </c>
      <c r="Y794" s="43">
        <f>IF(AND(X794=1,S794="Yes"),O794+ROW()/1000000,0)</f>
        <v/>
      </c>
    </row>
    <row r="795">
      <c r="A795" s="35" t="inlineStr">
        <is>
          <t>LN100794</t>
        </is>
      </c>
      <c r="B795" s="35" t="inlineStr">
        <is>
          <t>Harsh Menon</t>
        </is>
      </c>
      <c r="C795" s="35" t="inlineStr">
        <is>
          <t>BLR-01</t>
        </is>
      </c>
      <c r="D795" s="36">
        <f>INDEX(Branches!$C$2:$C$15,MATCH(C795,Branches!$A$2:$A$15,0))</f>
        <v/>
      </c>
      <c r="E795" s="35" t="inlineStr">
        <is>
          <t>Home Loan</t>
        </is>
      </c>
      <c r="F795" s="37" t="n">
        <v>45775</v>
      </c>
      <c r="G795" s="38" t="n">
        <v>14679000</v>
      </c>
      <c r="H795" s="39" t="n">
        <v>0.0868</v>
      </c>
      <c r="I795" s="35" t="n">
        <v>180</v>
      </c>
      <c r="J795" s="35" t="n">
        <v>768</v>
      </c>
      <c r="K795" s="35" t="n">
        <v>0</v>
      </c>
      <c r="L795" s="40">
        <f>ROUND(PMT(H795/12,I795,-G795),0)</f>
        <v/>
      </c>
      <c r="M795" s="41">
        <f>MAX(0,(YEAR(AsOfDate)-YEAR(F795))*12+MONTH(AsOfDate)-MONTH(F795))</f>
        <v/>
      </c>
      <c r="N795" s="41">
        <f>MAX(0,MIN(I795,M795)-INT(K795/30))</f>
        <v/>
      </c>
      <c r="O795" s="40">
        <f>IF(N795&gt;=I795,0,ROUND(PV(H795/12,I795-N795,-L795),0))</f>
        <v/>
      </c>
      <c r="P795" s="40">
        <f>MIN(I795,M795)*L795-N795*L795</f>
        <v/>
      </c>
      <c r="Q795" s="41">
        <f>INDEX(DPD_Bucket,MATCH(K795,DPD_From,1))</f>
        <v/>
      </c>
      <c r="R795" s="41">
        <f>INDEX(DPD_Class,MATCH(K795,DPD_From,1))</f>
        <v/>
      </c>
      <c r="S795" s="41">
        <f>INDEX(DPD_NPA,MATCH(K795,DPD_From,1))</f>
        <v/>
      </c>
      <c r="T795" s="42">
        <f>INDEX(DPD_Prov,MATCH(K795,DPD_From,1))</f>
        <v/>
      </c>
      <c r="U795" s="40">
        <f>ROUND(O795*T795,0)</f>
        <v/>
      </c>
      <c r="V795" s="41">
        <f>INDEX(CIBIL_Grade,MATCH(J795,CIBIL_From,1))</f>
        <v/>
      </c>
      <c r="W795" s="41">
        <f>YEAR(F795)&amp;"-Q"&amp;ROUNDUP(MONTH(F795)/3,0)</f>
        <v/>
      </c>
      <c r="X795" s="41">
        <f>IF(AND(OR(Dashboard!$C$4="All",D795=Dashboard!$C$4),OR(Dashboard!$C$5="All",E795=Dashboard!$C$5)),1,0)</f>
        <v/>
      </c>
      <c r="Y795" s="43">
        <f>IF(AND(X795=1,S795="Yes"),O795+ROW()/1000000,0)</f>
        <v/>
      </c>
    </row>
    <row r="796">
      <c r="A796" s="35" t="inlineStr">
        <is>
          <t>LN100795</t>
        </is>
      </c>
      <c r="B796" s="35" t="inlineStr">
        <is>
          <t>Reyansh Das</t>
        </is>
      </c>
      <c r="C796" s="35" t="inlineStr">
        <is>
          <t>BLR-01</t>
        </is>
      </c>
      <c r="D796" s="36">
        <f>INDEX(Branches!$C$2:$C$15,MATCH(C796,Branches!$A$2:$A$15,0))</f>
        <v/>
      </c>
      <c r="E796" s="35" t="inlineStr">
        <is>
          <t>Auto Loan</t>
        </is>
      </c>
      <c r="F796" s="37" t="n">
        <v>45637</v>
      </c>
      <c r="G796" s="38" t="n">
        <v>682000</v>
      </c>
      <c r="H796" s="39" t="n">
        <v>0.09710000000000001</v>
      </c>
      <c r="I796" s="35" t="n">
        <v>48</v>
      </c>
      <c r="J796" s="35" t="n">
        <v>725</v>
      </c>
      <c r="K796" s="35" t="n">
        <v>0</v>
      </c>
      <c r="L796" s="40">
        <f>ROUND(PMT(H796/12,I796,-G796),0)</f>
        <v/>
      </c>
      <c r="M796" s="41">
        <f>MAX(0,(YEAR(AsOfDate)-YEAR(F796))*12+MONTH(AsOfDate)-MONTH(F796))</f>
        <v/>
      </c>
      <c r="N796" s="41">
        <f>MAX(0,MIN(I796,M796)-INT(K796/30))</f>
        <v/>
      </c>
      <c r="O796" s="40">
        <f>IF(N796&gt;=I796,0,ROUND(PV(H796/12,I796-N796,-L796),0))</f>
        <v/>
      </c>
      <c r="P796" s="40">
        <f>MIN(I796,M796)*L796-N796*L796</f>
        <v/>
      </c>
      <c r="Q796" s="41">
        <f>INDEX(DPD_Bucket,MATCH(K796,DPD_From,1))</f>
        <v/>
      </c>
      <c r="R796" s="41">
        <f>INDEX(DPD_Class,MATCH(K796,DPD_From,1))</f>
        <v/>
      </c>
      <c r="S796" s="41">
        <f>INDEX(DPD_NPA,MATCH(K796,DPD_From,1))</f>
        <v/>
      </c>
      <c r="T796" s="42">
        <f>INDEX(DPD_Prov,MATCH(K796,DPD_From,1))</f>
        <v/>
      </c>
      <c r="U796" s="40">
        <f>ROUND(O796*T796,0)</f>
        <v/>
      </c>
      <c r="V796" s="41">
        <f>INDEX(CIBIL_Grade,MATCH(J796,CIBIL_From,1))</f>
        <v/>
      </c>
      <c r="W796" s="41">
        <f>YEAR(F796)&amp;"-Q"&amp;ROUNDUP(MONTH(F796)/3,0)</f>
        <v/>
      </c>
      <c r="X796" s="41">
        <f>IF(AND(OR(Dashboard!$C$4="All",D796=Dashboard!$C$4),OR(Dashboard!$C$5="All",E796=Dashboard!$C$5)),1,0)</f>
        <v/>
      </c>
      <c r="Y796" s="43">
        <f>IF(AND(X796=1,S796="Yes"),O796+ROW()/1000000,0)</f>
        <v/>
      </c>
    </row>
    <row r="797">
      <c r="A797" s="35" t="inlineStr">
        <is>
          <t>LN100796</t>
        </is>
      </c>
      <c r="B797" s="35" t="inlineStr">
        <is>
          <t>Nikhil Nair</t>
        </is>
      </c>
      <c r="C797" s="35" t="inlineStr">
        <is>
          <t>PUN-01</t>
        </is>
      </c>
      <c r="D797" s="36">
        <f>INDEX(Branches!$C$2:$C$15,MATCH(C797,Branches!$A$2:$A$15,0))</f>
        <v/>
      </c>
      <c r="E797" s="35" t="inlineStr">
        <is>
          <t>Home Loan</t>
        </is>
      </c>
      <c r="F797" s="37" t="n">
        <v>45892</v>
      </c>
      <c r="G797" s="38" t="n">
        <v>14169000</v>
      </c>
      <c r="H797" s="39" t="n">
        <v>0.0883</v>
      </c>
      <c r="I797" s="35" t="n">
        <v>240</v>
      </c>
      <c r="J797" s="35" t="n">
        <v>685</v>
      </c>
      <c r="K797" s="35" t="n">
        <v>0</v>
      </c>
      <c r="L797" s="40">
        <f>ROUND(PMT(H797/12,I797,-G797),0)</f>
        <v/>
      </c>
      <c r="M797" s="41">
        <f>MAX(0,(YEAR(AsOfDate)-YEAR(F797))*12+MONTH(AsOfDate)-MONTH(F797))</f>
        <v/>
      </c>
      <c r="N797" s="41">
        <f>MAX(0,MIN(I797,M797)-INT(K797/30))</f>
        <v/>
      </c>
      <c r="O797" s="40">
        <f>IF(N797&gt;=I797,0,ROUND(PV(H797/12,I797-N797,-L797),0))</f>
        <v/>
      </c>
      <c r="P797" s="40">
        <f>MIN(I797,M797)*L797-N797*L797</f>
        <v/>
      </c>
      <c r="Q797" s="41">
        <f>INDEX(DPD_Bucket,MATCH(K797,DPD_From,1))</f>
        <v/>
      </c>
      <c r="R797" s="41">
        <f>INDEX(DPD_Class,MATCH(K797,DPD_From,1))</f>
        <v/>
      </c>
      <c r="S797" s="41">
        <f>INDEX(DPD_NPA,MATCH(K797,DPD_From,1))</f>
        <v/>
      </c>
      <c r="T797" s="42">
        <f>INDEX(DPD_Prov,MATCH(K797,DPD_From,1))</f>
        <v/>
      </c>
      <c r="U797" s="40">
        <f>ROUND(O797*T797,0)</f>
        <v/>
      </c>
      <c r="V797" s="41">
        <f>INDEX(CIBIL_Grade,MATCH(J797,CIBIL_From,1))</f>
        <v/>
      </c>
      <c r="W797" s="41">
        <f>YEAR(F797)&amp;"-Q"&amp;ROUNDUP(MONTH(F797)/3,0)</f>
        <v/>
      </c>
      <c r="X797" s="41">
        <f>IF(AND(OR(Dashboard!$C$4="All",D797=Dashboard!$C$4),OR(Dashboard!$C$5="All",E797=Dashboard!$C$5)),1,0)</f>
        <v/>
      </c>
      <c r="Y797" s="43">
        <f>IF(AND(X797=1,S797="Yes"),O797+ROW()/1000000,0)</f>
        <v/>
      </c>
    </row>
    <row r="798">
      <c r="A798" s="35" t="inlineStr">
        <is>
          <t>LN100797</t>
        </is>
      </c>
      <c r="B798" s="35" t="inlineStr">
        <is>
          <t>Swati Khan</t>
        </is>
      </c>
      <c r="C798" s="35" t="inlineStr">
        <is>
          <t>BBS-01</t>
        </is>
      </c>
      <c r="D798" s="36">
        <f>INDEX(Branches!$C$2:$C$15,MATCH(C798,Branches!$A$2:$A$15,0))</f>
        <v/>
      </c>
      <c r="E798" s="35" t="inlineStr">
        <is>
          <t>Auto Loan</t>
        </is>
      </c>
      <c r="F798" s="37" t="n">
        <v>45823</v>
      </c>
      <c r="G798" s="38" t="n">
        <v>505000</v>
      </c>
      <c r="H798" s="39" t="n">
        <v>0.0935</v>
      </c>
      <c r="I798" s="35" t="n">
        <v>60</v>
      </c>
      <c r="J798" s="35" t="n">
        <v>875</v>
      </c>
      <c r="K798" s="35" t="n">
        <v>0</v>
      </c>
      <c r="L798" s="40">
        <f>ROUND(PMT(H798/12,I798,-G798),0)</f>
        <v/>
      </c>
      <c r="M798" s="41">
        <f>MAX(0,(YEAR(AsOfDate)-YEAR(F798))*12+MONTH(AsOfDate)-MONTH(F798))</f>
        <v/>
      </c>
      <c r="N798" s="41">
        <f>MAX(0,MIN(I798,M798)-INT(K798/30))</f>
        <v/>
      </c>
      <c r="O798" s="40">
        <f>IF(N798&gt;=I798,0,ROUND(PV(H798/12,I798-N798,-L798),0))</f>
        <v/>
      </c>
      <c r="P798" s="40">
        <f>MIN(I798,M798)*L798-N798*L798</f>
        <v/>
      </c>
      <c r="Q798" s="41">
        <f>INDEX(DPD_Bucket,MATCH(K798,DPD_From,1))</f>
        <v/>
      </c>
      <c r="R798" s="41">
        <f>INDEX(DPD_Class,MATCH(K798,DPD_From,1))</f>
        <v/>
      </c>
      <c r="S798" s="41">
        <f>INDEX(DPD_NPA,MATCH(K798,DPD_From,1))</f>
        <v/>
      </c>
      <c r="T798" s="42">
        <f>INDEX(DPD_Prov,MATCH(K798,DPD_From,1))</f>
        <v/>
      </c>
      <c r="U798" s="40">
        <f>ROUND(O798*T798,0)</f>
        <v/>
      </c>
      <c r="V798" s="41">
        <f>INDEX(CIBIL_Grade,MATCH(J798,CIBIL_From,1))</f>
        <v/>
      </c>
      <c r="W798" s="41">
        <f>YEAR(F798)&amp;"-Q"&amp;ROUNDUP(MONTH(F798)/3,0)</f>
        <v/>
      </c>
      <c r="X798" s="41">
        <f>IF(AND(OR(Dashboard!$C$4="All",D798=Dashboard!$C$4),OR(Dashboard!$C$5="All",E798=Dashboard!$C$5)),1,0)</f>
        <v/>
      </c>
      <c r="Y798" s="43">
        <f>IF(AND(X798=1,S798="Yes"),O798+ROW()/1000000,0)</f>
        <v/>
      </c>
    </row>
    <row r="799">
      <c r="A799" s="35" t="inlineStr">
        <is>
          <t>LN100798</t>
        </is>
      </c>
      <c r="B799" s="35" t="inlineStr">
        <is>
          <t>Farhan Menon</t>
        </is>
      </c>
      <c r="C799" s="35" t="inlineStr">
        <is>
          <t>PUN-01</t>
        </is>
      </c>
      <c r="D799" s="36">
        <f>INDEX(Branches!$C$2:$C$15,MATCH(C799,Branches!$A$2:$A$15,0))</f>
        <v/>
      </c>
      <c r="E799" s="35" t="inlineStr">
        <is>
          <t>Gold Loan</t>
        </is>
      </c>
      <c r="F799" s="37" t="n">
        <v>45781</v>
      </c>
      <c r="G799" s="38" t="n">
        <v>320000</v>
      </c>
      <c r="H799" s="39" t="n">
        <v>0.1193</v>
      </c>
      <c r="I799" s="35" t="n">
        <v>6</v>
      </c>
      <c r="J799" s="35" t="n">
        <v>680</v>
      </c>
      <c r="K799" s="35" t="n">
        <v>0</v>
      </c>
      <c r="L799" s="40">
        <f>ROUND(PMT(H799/12,I799,-G799),0)</f>
        <v/>
      </c>
      <c r="M799" s="41">
        <f>MAX(0,(YEAR(AsOfDate)-YEAR(F799))*12+MONTH(AsOfDate)-MONTH(F799))</f>
        <v/>
      </c>
      <c r="N799" s="41">
        <f>MAX(0,MIN(I799,M799)-INT(K799/30))</f>
        <v/>
      </c>
      <c r="O799" s="40">
        <f>IF(N799&gt;=I799,0,ROUND(PV(H799/12,I799-N799,-L799),0))</f>
        <v/>
      </c>
      <c r="P799" s="40">
        <f>MIN(I799,M799)*L799-N799*L799</f>
        <v/>
      </c>
      <c r="Q799" s="41">
        <f>INDEX(DPD_Bucket,MATCH(K799,DPD_From,1))</f>
        <v/>
      </c>
      <c r="R799" s="41">
        <f>INDEX(DPD_Class,MATCH(K799,DPD_From,1))</f>
        <v/>
      </c>
      <c r="S799" s="41">
        <f>INDEX(DPD_NPA,MATCH(K799,DPD_From,1))</f>
        <v/>
      </c>
      <c r="T799" s="42">
        <f>INDEX(DPD_Prov,MATCH(K799,DPD_From,1))</f>
        <v/>
      </c>
      <c r="U799" s="40">
        <f>ROUND(O799*T799,0)</f>
        <v/>
      </c>
      <c r="V799" s="41">
        <f>INDEX(CIBIL_Grade,MATCH(J799,CIBIL_From,1))</f>
        <v/>
      </c>
      <c r="W799" s="41">
        <f>YEAR(F799)&amp;"-Q"&amp;ROUNDUP(MONTH(F799)/3,0)</f>
        <v/>
      </c>
      <c r="X799" s="41">
        <f>IF(AND(OR(Dashboard!$C$4="All",D799=Dashboard!$C$4),OR(Dashboard!$C$5="All",E799=Dashboard!$C$5)),1,0)</f>
        <v/>
      </c>
      <c r="Y799" s="43">
        <f>IF(AND(X799=1,S799="Yes"),O799+ROW()/1000000,0)</f>
        <v/>
      </c>
    </row>
    <row r="800">
      <c r="A800" s="35" t="inlineStr">
        <is>
          <t>LN100799</t>
        </is>
      </c>
      <c r="B800" s="35" t="inlineStr">
        <is>
          <t>Kabir Verma</t>
        </is>
      </c>
      <c r="C800" s="35" t="inlineStr">
        <is>
          <t>KOL-01</t>
        </is>
      </c>
      <c r="D800" s="36">
        <f>INDEX(Branches!$C$2:$C$15,MATCH(C800,Branches!$A$2:$A$15,0))</f>
        <v/>
      </c>
      <c r="E800" s="35" t="inlineStr">
        <is>
          <t>Auto Loan</t>
        </is>
      </c>
      <c r="F800" s="37" t="n">
        <v>45786</v>
      </c>
      <c r="G800" s="38" t="n">
        <v>1673000</v>
      </c>
      <c r="H800" s="39" t="n">
        <v>0.1161</v>
      </c>
      <c r="I800" s="35" t="n">
        <v>36</v>
      </c>
      <c r="J800" s="35" t="n">
        <v>763</v>
      </c>
      <c r="K800" s="35" t="n">
        <v>0</v>
      </c>
      <c r="L800" s="40">
        <f>ROUND(PMT(H800/12,I800,-G800),0)</f>
        <v/>
      </c>
      <c r="M800" s="41">
        <f>MAX(0,(YEAR(AsOfDate)-YEAR(F800))*12+MONTH(AsOfDate)-MONTH(F800))</f>
        <v/>
      </c>
      <c r="N800" s="41">
        <f>MAX(0,MIN(I800,M800)-INT(K800/30))</f>
        <v/>
      </c>
      <c r="O800" s="40">
        <f>IF(N800&gt;=I800,0,ROUND(PV(H800/12,I800-N800,-L800),0))</f>
        <v/>
      </c>
      <c r="P800" s="40">
        <f>MIN(I800,M800)*L800-N800*L800</f>
        <v/>
      </c>
      <c r="Q800" s="41">
        <f>INDEX(DPD_Bucket,MATCH(K800,DPD_From,1))</f>
        <v/>
      </c>
      <c r="R800" s="41">
        <f>INDEX(DPD_Class,MATCH(K800,DPD_From,1))</f>
        <v/>
      </c>
      <c r="S800" s="41">
        <f>INDEX(DPD_NPA,MATCH(K800,DPD_From,1))</f>
        <v/>
      </c>
      <c r="T800" s="42">
        <f>INDEX(DPD_Prov,MATCH(K800,DPD_From,1))</f>
        <v/>
      </c>
      <c r="U800" s="40">
        <f>ROUND(O800*T800,0)</f>
        <v/>
      </c>
      <c r="V800" s="41">
        <f>INDEX(CIBIL_Grade,MATCH(J800,CIBIL_From,1))</f>
        <v/>
      </c>
      <c r="W800" s="41">
        <f>YEAR(F800)&amp;"-Q"&amp;ROUNDUP(MONTH(F800)/3,0)</f>
        <v/>
      </c>
      <c r="X800" s="41">
        <f>IF(AND(OR(Dashboard!$C$4="All",D800=Dashboard!$C$4),OR(Dashboard!$C$5="All",E800=Dashboard!$C$5)),1,0)</f>
        <v/>
      </c>
      <c r="Y800" s="43">
        <f>IF(AND(X800=1,S800="Yes"),O800+ROW()/1000000,0)</f>
        <v/>
      </c>
    </row>
    <row r="801">
      <c r="A801" s="35" t="inlineStr">
        <is>
          <t>LN100800</t>
        </is>
      </c>
      <c r="B801" s="35" t="inlineStr">
        <is>
          <t>Nikhil Pillai</t>
        </is>
      </c>
      <c r="C801" s="35" t="inlineStr">
        <is>
          <t>PAT-01</t>
        </is>
      </c>
      <c r="D801" s="36">
        <f>INDEX(Branches!$C$2:$C$15,MATCH(C801,Branches!$A$2:$A$15,0))</f>
        <v/>
      </c>
      <c r="E801" s="35" t="inlineStr">
        <is>
          <t>Business Loan</t>
        </is>
      </c>
      <c r="F801" s="37" t="n">
        <v>45745</v>
      </c>
      <c r="G801" s="38" t="n">
        <v>3486000</v>
      </c>
      <c r="H801" s="39" t="n">
        <v>0.1345</v>
      </c>
      <c r="I801" s="35" t="n">
        <v>60</v>
      </c>
      <c r="J801" s="35" t="n">
        <v>698</v>
      </c>
      <c r="K801" s="35" t="n">
        <v>0</v>
      </c>
      <c r="L801" s="40">
        <f>ROUND(PMT(H801/12,I801,-G801),0)</f>
        <v/>
      </c>
      <c r="M801" s="41">
        <f>MAX(0,(YEAR(AsOfDate)-YEAR(F801))*12+MONTH(AsOfDate)-MONTH(F801))</f>
        <v/>
      </c>
      <c r="N801" s="41">
        <f>MAX(0,MIN(I801,M801)-INT(K801/30))</f>
        <v/>
      </c>
      <c r="O801" s="40">
        <f>IF(N801&gt;=I801,0,ROUND(PV(H801/12,I801-N801,-L801),0))</f>
        <v/>
      </c>
      <c r="P801" s="40">
        <f>MIN(I801,M801)*L801-N801*L801</f>
        <v/>
      </c>
      <c r="Q801" s="41">
        <f>INDEX(DPD_Bucket,MATCH(K801,DPD_From,1))</f>
        <v/>
      </c>
      <c r="R801" s="41">
        <f>INDEX(DPD_Class,MATCH(K801,DPD_From,1))</f>
        <v/>
      </c>
      <c r="S801" s="41">
        <f>INDEX(DPD_NPA,MATCH(K801,DPD_From,1))</f>
        <v/>
      </c>
      <c r="T801" s="42">
        <f>INDEX(DPD_Prov,MATCH(K801,DPD_From,1))</f>
        <v/>
      </c>
      <c r="U801" s="40">
        <f>ROUND(O801*T801,0)</f>
        <v/>
      </c>
      <c r="V801" s="41">
        <f>INDEX(CIBIL_Grade,MATCH(J801,CIBIL_From,1))</f>
        <v/>
      </c>
      <c r="W801" s="41">
        <f>YEAR(F801)&amp;"-Q"&amp;ROUNDUP(MONTH(F801)/3,0)</f>
        <v/>
      </c>
      <c r="X801" s="41">
        <f>IF(AND(OR(Dashboard!$C$4="All",D801=Dashboard!$C$4),OR(Dashboard!$C$5="All",E801=Dashboard!$C$5)),1,0)</f>
        <v/>
      </c>
      <c r="Y801" s="43">
        <f>IF(AND(X801=1,S801="Yes"),O801+ROW()/1000000,0)</f>
        <v/>
      </c>
    </row>
    <row r="802">
      <c r="A802" s="35" t="inlineStr">
        <is>
          <t>LN100801</t>
        </is>
      </c>
      <c r="B802" s="35" t="inlineStr">
        <is>
          <t>Sneha Chatterjee</t>
        </is>
      </c>
      <c r="C802" s="35" t="inlineStr">
        <is>
          <t>BBS-01</t>
        </is>
      </c>
      <c r="D802" s="36">
        <f>INDEX(Branches!$C$2:$C$15,MATCH(C802,Branches!$A$2:$A$15,0))</f>
        <v/>
      </c>
      <c r="E802" s="35" t="inlineStr">
        <is>
          <t>Personal Loan</t>
        </is>
      </c>
      <c r="F802" s="37" t="n">
        <v>45407</v>
      </c>
      <c r="G802" s="38" t="n">
        <v>777000</v>
      </c>
      <c r="H802" s="39" t="n">
        <v>0.1767</v>
      </c>
      <c r="I802" s="35" t="n">
        <v>60</v>
      </c>
      <c r="J802" s="35" t="n">
        <v>673</v>
      </c>
      <c r="K802" s="35" t="n">
        <v>0</v>
      </c>
      <c r="L802" s="40">
        <f>ROUND(PMT(H802/12,I802,-G802),0)</f>
        <v/>
      </c>
      <c r="M802" s="41">
        <f>MAX(0,(YEAR(AsOfDate)-YEAR(F802))*12+MONTH(AsOfDate)-MONTH(F802))</f>
        <v/>
      </c>
      <c r="N802" s="41">
        <f>MAX(0,MIN(I802,M802)-INT(K802/30))</f>
        <v/>
      </c>
      <c r="O802" s="40">
        <f>IF(N802&gt;=I802,0,ROUND(PV(H802/12,I802-N802,-L802),0))</f>
        <v/>
      </c>
      <c r="P802" s="40">
        <f>MIN(I802,M802)*L802-N802*L802</f>
        <v/>
      </c>
      <c r="Q802" s="41">
        <f>INDEX(DPD_Bucket,MATCH(K802,DPD_From,1))</f>
        <v/>
      </c>
      <c r="R802" s="41">
        <f>INDEX(DPD_Class,MATCH(K802,DPD_From,1))</f>
        <v/>
      </c>
      <c r="S802" s="41">
        <f>INDEX(DPD_NPA,MATCH(K802,DPD_From,1))</f>
        <v/>
      </c>
      <c r="T802" s="42">
        <f>INDEX(DPD_Prov,MATCH(K802,DPD_From,1))</f>
        <v/>
      </c>
      <c r="U802" s="40">
        <f>ROUND(O802*T802,0)</f>
        <v/>
      </c>
      <c r="V802" s="41">
        <f>INDEX(CIBIL_Grade,MATCH(J802,CIBIL_From,1))</f>
        <v/>
      </c>
      <c r="W802" s="41">
        <f>YEAR(F802)&amp;"-Q"&amp;ROUNDUP(MONTH(F802)/3,0)</f>
        <v/>
      </c>
      <c r="X802" s="41">
        <f>IF(AND(OR(Dashboard!$C$4="All",D802=Dashboard!$C$4),OR(Dashboard!$C$5="All",E802=Dashboard!$C$5)),1,0)</f>
        <v/>
      </c>
      <c r="Y802" s="43">
        <f>IF(AND(X802=1,S802="Yes"),O802+ROW()/1000000,0)</f>
        <v/>
      </c>
    </row>
    <row r="803">
      <c r="A803" s="35" t="inlineStr">
        <is>
          <t>LN100802</t>
        </is>
      </c>
      <c r="B803" s="35" t="inlineStr">
        <is>
          <t>Nikhil Mishra</t>
        </is>
      </c>
      <c r="C803" s="35" t="inlineStr">
        <is>
          <t>KOL-01</t>
        </is>
      </c>
      <c r="D803" s="36">
        <f>INDEX(Branches!$C$2:$C$15,MATCH(C803,Branches!$A$2:$A$15,0))</f>
        <v/>
      </c>
      <c r="E803" s="35" t="inlineStr">
        <is>
          <t>Personal Loan</t>
        </is>
      </c>
      <c r="F803" s="37" t="n">
        <v>45352</v>
      </c>
      <c r="G803" s="38" t="n">
        <v>151000</v>
      </c>
      <c r="H803" s="39" t="n">
        <v>0.1215</v>
      </c>
      <c r="I803" s="35" t="n">
        <v>60</v>
      </c>
      <c r="J803" s="35" t="n">
        <v>735</v>
      </c>
      <c r="K803" s="35" t="n">
        <v>0</v>
      </c>
      <c r="L803" s="40">
        <f>ROUND(PMT(H803/12,I803,-G803),0)</f>
        <v/>
      </c>
      <c r="M803" s="41">
        <f>MAX(0,(YEAR(AsOfDate)-YEAR(F803))*12+MONTH(AsOfDate)-MONTH(F803))</f>
        <v/>
      </c>
      <c r="N803" s="41">
        <f>MAX(0,MIN(I803,M803)-INT(K803/30))</f>
        <v/>
      </c>
      <c r="O803" s="40">
        <f>IF(N803&gt;=I803,0,ROUND(PV(H803/12,I803-N803,-L803),0))</f>
        <v/>
      </c>
      <c r="P803" s="40">
        <f>MIN(I803,M803)*L803-N803*L803</f>
        <v/>
      </c>
      <c r="Q803" s="41">
        <f>INDEX(DPD_Bucket,MATCH(K803,DPD_From,1))</f>
        <v/>
      </c>
      <c r="R803" s="41">
        <f>INDEX(DPD_Class,MATCH(K803,DPD_From,1))</f>
        <v/>
      </c>
      <c r="S803" s="41">
        <f>INDEX(DPD_NPA,MATCH(K803,DPD_From,1))</f>
        <v/>
      </c>
      <c r="T803" s="42">
        <f>INDEX(DPD_Prov,MATCH(K803,DPD_From,1))</f>
        <v/>
      </c>
      <c r="U803" s="40">
        <f>ROUND(O803*T803,0)</f>
        <v/>
      </c>
      <c r="V803" s="41">
        <f>INDEX(CIBIL_Grade,MATCH(J803,CIBIL_From,1))</f>
        <v/>
      </c>
      <c r="W803" s="41">
        <f>YEAR(F803)&amp;"-Q"&amp;ROUNDUP(MONTH(F803)/3,0)</f>
        <v/>
      </c>
      <c r="X803" s="41">
        <f>IF(AND(OR(Dashboard!$C$4="All",D803=Dashboard!$C$4),OR(Dashboard!$C$5="All",E803=Dashboard!$C$5)),1,0)</f>
        <v/>
      </c>
      <c r="Y803" s="43">
        <f>IF(AND(X803=1,S803="Yes"),O803+ROW()/1000000,0)</f>
        <v/>
      </c>
    </row>
    <row r="804">
      <c r="A804" s="35" t="inlineStr">
        <is>
          <t>LN100803</t>
        </is>
      </c>
      <c r="B804" s="35" t="inlineStr">
        <is>
          <t>Reyansh Menon</t>
        </is>
      </c>
      <c r="C804" s="35" t="inlineStr">
        <is>
          <t>MUM-01</t>
        </is>
      </c>
      <c r="D804" s="36">
        <f>INDEX(Branches!$C$2:$C$15,MATCH(C804,Branches!$A$2:$A$15,0))</f>
        <v/>
      </c>
      <c r="E804" s="35" t="inlineStr">
        <is>
          <t>Home Loan</t>
        </is>
      </c>
      <c r="F804" s="37" t="n">
        <v>45363</v>
      </c>
      <c r="G804" s="38" t="n">
        <v>9157000</v>
      </c>
      <c r="H804" s="39" t="n">
        <v>0.0859</v>
      </c>
      <c r="I804" s="35" t="n">
        <v>120</v>
      </c>
      <c r="J804" s="35" t="n">
        <v>746</v>
      </c>
      <c r="K804" s="35" t="n">
        <v>0</v>
      </c>
      <c r="L804" s="40">
        <f>ROUND(PMT(H804/12,I804,-G804),0)</f>
        <v/>
      </c>
      <c r="M804" s="41">
        <f>MAX(0,(YEAR(AsOfDate)-YEAR(F804))*12+MONTH(AsOfDate)-MONTH(F804))</f>
        <v/>
      </c>
      <c r="N804" s="41">
        <f>MAX(0,MIN(I804,M804)-INT(K804/30))</f>
        <v/>
      </c>
      <c r="O804" s="40">
        <f>IF(N804&gt;=I804,0,ROUND(PV(H804/12,I804-N804,-L804),0))</f>
        <v/>
      </c>
      <c r="P804" s="40">
        <f>MIN(I804,M804)*L804-N804*L804</f>
        <v/>
      </c>
      <c r="Q804" s="41">
        <f>INDEX(DPD_Bucket,MATCH(K804,DPD_From,1))</f>
        <v/>
      </c>
      <c r="R804" s="41">
        <f>INDEX(DPD_Class,MATCH(K804,DPD_From,1))</f>
        <v/>
      </c>
      <c r="S804" s="41">
        <f>INDEX(DPD_NPA,MATCH(K804,DPD_From,1))</f>
        <v/>
      </c>
      <c r="T804" s="42">
        <f>INDEX(DPD_Prov,MATCH(K804,DPD_From,1))</f>
        <v/>
      </c>
      <c r="U804" s="40">
        <f>ROUND(O804*T804,0)</f>
        <v/>
      </c>
      <c r="V804" s="41">
        <f>INDEX(CIBIL_Grade,MATCH(J804,CIBIL_From,1))</f>
        <v/>
      </c>
      <c r="W804" s="41">
        <f>YEAR(F804)&amp;"-Q"&amp;ROUNDUP(MONTH(F804)/3,0)</f>
        <v/>
      </c>
      <c r="X804" s="41">
        <f>IF(AND(OR(Dashboard!$C$4="All",D804=Dashboard!$C$4),OR(Dashboard!$C$5="All",E804=Dashboard!$C$5)),1,0)</f>
        <v/>
      </c>
      <c r="Y804" s="43">
        <f>IF(AND(X804=1,S804="Yes"),O804+ROW()/1000000,0)</f>
        <v/>
      </c>
    </row>
    <row r="805">
      <c r="A805" s="35" t="inlineStr">
        <is>
          <t>LN100804</t>
        </is>
      </c>
      <c r="B805" s="35" t="inlineStr">
        <is>
          <t>Karthik Verma</t>
        </is>
      </c>
      <c r="C805" s="35" t="inlineStr">
        <is>
          <t>DEL-01</t>
        </is>
      </c>
      <c r="D805" s="36">
        <f>INDEX(Branches!$C$2:$C$15,MATCH(C805,Branches!$A$2:$A$15,0))</f>
        <v/>
      </c>
      <c r="E805" s="35" t="inlineStr">
        <is>
          <t>Home Loan</t>
        </is>
      </c>
      <c r="F805" s="37" t="n">
        <v>45111</v>
      </c>
      <c r="G805" s="38" t="n">
        <v>8659000</v>
      </c>
      <c r="H805" s="39" t="n">
        <v>0.0887</v>
      </c>
      <c r="I805" s="35" t="n">
        <v>180</v>
      </c>
      <c r="J805" s="35" t="n">
        <v>791</v>
      </c>
      <c r="K805" s="35" t="n">
        <v>0</v>
      </c>
      <c r="L805" s="40">
        <f>ROUND(PMT(H805/12,I805,-G805),0)</f>
        <v/>
      </c>
      <c r="M805" s="41">
        <f>MAX(0,(YEAR(AsOfDate)-YEAR(F805))*12+MONTH(AsOfDate)-MONTH(F805))</f>
        <v/>
      </c>
      <c r="N805" s="41">
        <f>MAX(0,MIN(I805,M805)-INT(K805/30))</f>
        <v/>
      </c>
      <c r="O805" s="40">
        <f>IF(N805&gt;=I805,0,ROUND(PV(H805/12,I805-N805,-L805),0))</f>
        <v/>
      </c>
      <c r="P805" s="40">
        <f>MIN(I805,M805)*L805-N805*L805</f>
        <v/>
      </c>
      <c r="Q805" s="41">
        <f>INDEX(DPD_Bucket,MATCH(K805,DPD_From,1))</f>
        <v/>
      </c>
      <c r="R805" s="41">
        <f>INDEX(DPD_Class,MATCH(K805,DPD_From,1))</f>
        <v/>
      </c>
      <c r="S805" s="41">
        <f>INDEX(DPD_NPA,MATCH(K805,DPD_From,1))</f>
        <v/>
      </c>
      <c r="T805" s="42">
        <f>INDEX(DPD_Prov,MATCH(K805,DPD_From,1))</f>
        <v/>
      </c>
      <c r="U805" s="40">
        <f>ROUND(O805*T805,0)</f>
        <v/>
      </c>
      <c r="V805" s="41">
        <f>INDEX(CIBIL_Grade,MATCH(J805,CIBIL_From,1))</f>
        <v/>
      </c>
      <c r="W805" s="41">
        <f>YEAR(F805)&amp;"-Q"&amp;ROUNDUP(MONTH(F805)/3,0)</f>
        <v/>
      </c>
      <c r="X805" s="41">
        <f>IF(AND(OR(Dashboard!$C$4="All",D805=Dashboard!$C$4),OR(Dashboard!$C$5="All",E805=Dashboard!$C$5)),1,0)</f>
        <v/>
      </c>
      <c r="Y805" s="43">
        <f>IF(AND(X805=1,S805="Yes"),O805+ROW()/1000000,0)</f>
        <v/>
      </c>
    </row>
    <row r="806">
      <c r="A806" s="35" t="inlineStr">
        <is>
          <t>LN100805</t>
        </is>
      </c>
      <c r="B806" s="35" t="inlineStr">
        <is>
          <t>Aarav Patel</t>
        </is>
      </c>
      <c r="C806" s="35" t="inlineStr">
        <is>
          <t>DEL-01</t>
        </is>
      </c>
      <c r="D806" s="36">
        <f>INDEX(Branches!$C$2:$C$15,MATCH(C806,Branches!$A$2:$A$15,0))</f>
        <v/>
      </c>
      <c r="E806" s="35" t="inlineStr">
        <is>
          <t>Personal Loan</t>
        </is>
      </c>
      <c r="F806" s="37" t="n">
        <v>45336</v>
      </c>
      <c r="G806" s="38" t="n">
        <v>427000</v>
      </c>
      <c r="H806" s="39" t="n">
        <v>0.1534</v>
      </c>
      <c r="I806" s="35" t="n">
        <v>48</v>
      </c>
      <c r="J806" s="35" t="n">
        <v>691</v>
      </c>
      <c r="K806" s="35" t="n">
        <v>0</v>
      </c>
      <c r="L806" s="40">
        <f>ROUND(PMT(H806/12,I806,-G806),0)</f>
        <v/>
      </c>
      <c r="M806" s="41">
        <f>MAX(0,(YEAR(AsOfDate)-YEAR(F806))*12+MONTH(AsOfDate)-MONTH(F806))</f>
        <v/>
      </c>
      <c r="N806" s="41">
        <f>MAX(0,MIN(I806,M806)-INT(K806/30))</f>
        <v/>
      </c>
      <c r="O806" s="40">
        <f>IF(N806&gt;=I806,0,ROUND(PV(H806/12,I806-N806,-L806),0))</f>
        <v/>
      </c>
      <c r="P806" s="40">
        <f>MIN(I806,M806)*L806-N806*L806</f>
        <v/>
      </c>
      <c r="Q806" s="41">
        <f>INDEX(DPD_Bucket,MATCH(K806,DPD_From,1))</f>
        <v/>
      </c>
      <c r="R806" s="41">
        <f>INDEX(DPD_Class,MATCH(K806,DPD_From,1))</f>
        <v/>
      </c>
      <c r="S806" s="41">
        <f>INDEX(DPD_NPA,MATCH(K806,DPD_From,1))</f>
        <v/>
      </c>
      <c r="T806" s="42">
        <f>INDEX(DPD_Prov,MATCH(K806,DPD_From,1))</f>
        <v/>
      </c>
      <c r="U806" s="40">
        <f>ROUND(O806*T806,0)</f>
        <v/>
      </c>
      <c r="V806" s="41">
        <f>INDEX(CIBIL_Grade,MATCH(J806,CIBIL_From,1))</f>
        <v/>
      </c>
      <c r="W806" s="41">
        <f>YEAR(F806)&amp;"-Q"&amp;ROUNDUP(MONTH(F806)/3,0)</f>
        <v/>
      </c>
      <c r="X806" s="41">
        <f>IF(AND(OR(Dashboard!$C$4="All",D806=Dashboard!$C$4),OR(Dashboard!$C$5="All",E806=Dashboard!$C$5)),1,0)</f>
        <v/>
      </c>
      <c r="Y806" s="43">
        <f>IF(AND(X806=1,S806="Yes"),O806+ROW()/1000000,0)</f>
        <v/>
      </c>
    </row>
    <row r="807">
      <c r="A807" s="35" t="inlineStr">
        <is>
          <t>LN100806</t>
        </is>
      </c>
      <c r="B807" s="35" t="inlineStr">
        <is>
          <t>Rahul Kulkarni</t>
        </is>
      </c>
      <c r="C807" s="35" t="inlineStr">
        <is>
          <t>KOL-01</t>
        </is>
      </c>
      <c r="D807" s="36">
        <f>INDEX(Branches!$C$2:$C$15,MATCH(C807,Branches!$A$2:$A$15,0))</f>
        <v/>
      </c>
      <c r="E807" s="35" t="inlineStr">
        <is>
          <t>Auto Loan</t>
        </is>
      </c>
      <c r="F807" s="37" t="n">
        <v>45570</v>
      </c>
      <c r="G807" s="38" t="n">
        <v>525000</v>
      </c>
      <c r="H807" s="39" t="n">
        <v>0.09760000000000001</v>
      </c>
      <c r="I807" s="35" t="n">
        <v>36</v>
      </c>
      <c r="J807" s="35" t="n">
        <v>782</v>
      </c>
      <c r="K807" s="35" t="n">
        <v>0</v>
      </c>
      <c r="L807" s="40">
        <f>ROUND(PMT(H807/12,I807,-G807),0)</f>
        <v/>
      </c>
      <c r="M807" s="41">
        <f>MAX(0,(YEAR(AsOfDate)-YEAR(F807))*12+MONTH(AsOfDate)-MONTH(F807))</f>
        <v/>
      </c>
      <c r="N807" s="41">
        <f>MAX(0,MIN(I807,M807)-INT(K807/30))</f>
        <v/>
      </c>
      <c r="O807" s="40">
        <f>IF(N807&gt;=I807,0,ROUND(PV(H807/12,I807-N807,-L807),0))</f>
        <v/>
      </c>
      <c r="P807" s="40">
        <f>MIN(I807,M807)*L807-N807*L807</f>
        <v/>
      </c>
      <c r="Q807" s="41">
        <f>INDEX(DPD_Bucket,MATCH(K807,DPD_From,1))</f>
        <v/>
      </c>
      <c r="R807" s="41">
        <f>INDEX(DPD_Class,MATCH(K807,DPD_From,1))</f>
        <v/>
      </c>
      <c r="S807" s="41">
        <f>INDEX(DPD_NPA,MATCH(K807,DPD_From,1))</f>
        <v/>
      </c>
      <c r="T807" s="42">
        <f>INDEX(DPD_Prov,MATCH(K807,DPD_From,1))</f>
        <v/>
      </c>
      <c r="U807" s="40">
        <f>ROUND(O807*T807,0)</f>
        <v/>
      </c>
      <c r="V807" s="41">
        <f>INDEX(CIBIL_Grade,MATCH(J807,CIBIL_From,1))</f>
        <v/>
      </c>
      <c r="W807" s="41">
        <f>YEAR(F807)&amp;"-Q"&amp;ROUNDUP(MONTH(F807)/3,0)</f>
        <v/>
      </c>
      <c r="X807" s="41">
        <f>IF(AND(OR(Dashboard!$C$4="All",D807=Dashboard!$C$4),OR(Dashboard!$C$5="All",E807=Dashboard!$C$5)),1,0)</f>
        <v/>
      </c>
      <c r="Y807" s="43">
        <f>IF(AND(X807=1,S807="Yes"),O807+ROW()/1000000,0)</f>
        <v/>
      </c>
    </row>
    <row r="808">
      <c r="A808" s="35" t="inlineStr">
        <is>
          <t>LN100807</t>
        </is>
      </c>
      <c r="B808" s="35" t="inlineStr">
        <is>
          <t>Deepa Rao</t>
        </is>
      </c>
      <c r="C808" s="35" t="inlineStr">
        <is>
          <t>MUM-01</t>
        </is>
      </c>
      <c r="D808" s="36">
        <f>INDEX(Branches!$C$2:$C$15,MATCH(C808,Branches!$A$2:$A$15,0))</f>
        <v/>
      </c>
      <c r="E808" s="35" t="inlineStr">
        <is>
          <t>Auto Loan</t>
        </is>
      </c>
      <c r="F808" s="37" t="n">
        <v>46027</v>
      </c>
      <c r="G808" s="38" t="n">
        <v>884000</v>
      </c>
      <c r="H808" s="39" t="n">
        <v>0.1143</v>
      </c>
      <c r="I808" s="35" t="n">
        <v>36</v>
      </c>
      <c r="J808" s="35" t="n">
        <v>690</v>
      </c>
      <c r="K808" s="35" t="n">
        <v>0</v>
      </c>
      <c r="L808" s="40">
        <f>ROUND(PMT(H808/12,I808,-G808),0)</f>
        <v/>
      </c>
      <c r="M808" s="41">
        <f>MAX(0,(YEAR(AsOfDate)-YEAR(F808))*12+MONTH(AsOfDate)-MONTH(F808))</f>
        <v/>
      </c>
      <c r="N808" s="41">
        <f>MAX(0,MIN(I808,M808)-INT(K808/30))</f>
        <v/>
      </c>
      <c r="O808" s="40">
        <f>IF(N808&gt;=I808,0,ROUND(PV(H808/12,I808-N808,-L808),0))</f>
        <v/>
      </c>
      <c r="P808" s="40">
        <f>MIN(I808,M808)*L808-N808*L808</f>
        <v/>
      </c>
      <c r="Q808" s="41">
        <f>INDEX(DPD_Bucket,MATCH(K808,DPD_From,1))</f>
        <v/>
      </c>
      <c r="R808" s="41">
        <f>INDEX(DPD_Class,MATCH(K808,DPD_From,1))</f>
        <v/>
      </c>
      <c r="S808" s="41">
        <f>INDEX(DPD_NPA,MATCH(K808,DPD_From,1))</f>
        <v/>
      </c>
      <c r="T808" s="42">
        <f>INDEX(DPD_Prov,MATCH(K808,DPD_From,1))</f>
        <v/>
      </c>
      <c r="U808" s="40">
        <f>ROUND(O808*T808,0)</f>
        <v/>
      </c>
      <c r="V808" s="41">
        <f>INDEX(CIBIL_Grade,MATCH(J808,CIBIL_From,1))</f>
        <v/>
      </c>
      <c r="W808" s="41">
        <f>YEAR(F808)&amp;"-Q"&amp;ROUNDUP(MONTH(F808)/3,0)</f>
        <v/>
      </c>
      <c r="X808" s="41">
        <f>IF(AND(OR(Dashboard!$C$4="All",D808=Dashboard!$C$4),OR(Dashboard!$C$5="All",E808=Dashboard!$C$5)),1,0)</f>
        <v/>
      </c>
      <c r="Y808" s="43">
        <f>IF(AND(X808=1,S808="Yes"),O808+ROW()/1000000,0)</f>
        <v/>
      </c>
    </row>
    <row r="809">
      <c r="A809" s="35" t="inlineStr">
        <is>
          <t>LN100808</t>
        </is>
      </c>
      <c r="B809" s="35" t="inlineStr">
        <is>
          <t>Sai Kulkarni</t>
        </is>
      </c>
      <c r="C809" s="35" t="inlineStr">
        <is>
          <t>MUM-01</t>
        </is>
      </c>
      <c r="D809" s="36">
        <f>INDEX(Branches!$C$2:$C$15,MATCH(C809,Branches!$A$2:$A$15,0))</f>
        <v/>
      </c>
      <c r="E809" s="35" t="inlineStr">
        <is>
          <t>Personal Loan</t>
        </is>
      </c>
      <c r="F809" s="37" t="n">
        <v>45783</v>
      </c>
      <c r="G809" s="38" t="n">
        <v>112000</v>
      </c>
      <c r="H809" s="39" t="n">
        <v>0.1275</v>
      </c>
      <c r="I809" s="35" t="n">
        <v>36</v>
      </c>
      <c r="J809" s="35" t="n">
        <v>788</v>
      </c>
      <c r="K809" s="35" t="n">
        <v>0</v>
      </c>
      <c r="L809" s="40">
        <f>ROUND(PMT(H809/12,I809,-G809),0)</f>
        <v/>
      </c>
      <c r="M809" s="41">
        <f>MAX(0,(YEAR(AsOfDate)-YEAR(F809))*12+MONTH(AsOfDate)-MONTH(F809))</f>
        <v/>
      </c>
      <c r="N809" s="41">
        <f>MAX(0,MIN(I809,M809)-INT(K809/30))</f>
        <v/>
      </c>
      <c r="O809" s="40">
        <f>IF(N809&gt;=I809,0,ROUND(PV(H809/12,I809-N809,-L809),0))</f>
        <v/>
      </c>
      <c r="P809" s="40">
        <f>MIN(I809,M809)*L809-N809*L809</f>
        <v/>
      </c>
      <c r="Q809" s="41">
        <f>INDEX(DPD_Bucket,MATCH(K809,DPD_From,1))</f>
        <v/>
      </c>
      <c r="R809" s="41">
        <f>INDEX(DPD_Class,MATCH(K809,DPD_From,1))</f>
        <v/>
      </c>
      <c r="S809" s="41">
        <f>INDEX(DPD_NPA,MATCH(K809,DPD_From,1))</f>
        <v/>
      </c>
      <c r="T809" s="42">
        <f>INDEX(DPD_Prov,MATCH(K809,DPD_From,1))</f>
        <v/>
      </c>
      <c r="U809" s="40">
        <f>ROUND(O809*T809,0)</f>
        <v/>
      </c>
      <c r="V809" s="41">
        <f>INDEX(CIBIL_Grade,MATCH(J809,CIBIL_From,1))</f>
        <v/>
      </c>
      <c r="W809" s="41">
        <f>YEAR(F809)&amp;"-Q"&amp;ROUNDUP(MONTH(F809)/3,0)</f>
        <v/>
      </c>
      <c r="X809" s="41">
        <f>IF(AND(OR(Dashboard!$C$4="All",D809=Dashboard!$C$4),OR(Dashboard!$C$5="All",E809=Dashboard!$C$5)),1,0)</f>
        <v/>
      </c>
      <c r="Y809" s="43">
        <f>IF(AND(X809=1,S809="Yes"),O809+ROW()/1000000,0)</f>
        <v/>
      </c>
    </row>
    <row r="810">
      <c r="A810" s="35" t="inlineStr">
        <is>
          <t>LN100809</t>
        </is>
      </c>
      <c r="B810" s="35" t="inlineStr">
        <is>
          <t>Zoya Das</t>
        </is>
      </c>
      <c r="C810" s="35" t="inlineStr">
        <is>
          <t>DEL-01</t>
        </is>
      </c>
      <c r="D810" s="36">
        <f>INDEX(Branches!$C$2:$C$15,MATCH(C810,Branches!$A$2:$A$15,0))</f>
        <v/>
      </c>
      <c r="E810" s="35" t="inlineStr">
        <is>
          <t>Business Loan</t>
        </is>
      </c>
      <c r="F810" s="37" t="n">
        <v>45343</v>
      </c>
      <c r="G810" s="38" t="n">
        <v>1552000</v>
      </c>
      <c r="H810" s="39" t="n">
        <v>0.1711</v>
      </c>
      <c r="I810" s="35" t="n">
        <v>60</v>
      </c>
      <c r="J810" s="35" t="n">
        <v>775</v>
      </c>
      <c r="K810" s="35" t="n">
        <v>482</v>
      </c>
      <c r="L810" s="40">
        <f>ROUND(PMT(H810/12,I810,-G810),0)</f>
        <v/>
      </c>
      <c r="M810" s="41">
        <f>MAX(0,(YEAR(AsOfDate)-YEAR(F810))*12+MONTH(AsOfDate)-MONTH(F810))</f>
        <v/>
      </c>
      <c r="N810" s="41">
        <f>MAX(0,MIN(I810,M810)-INT(K810/30))</f>
        <v/>
      </c>
      <c r="O810" s="40">
        <f>IF(N810&gt;=I810,0,ROUND(PV(H810/12,I810-N810,-L810),0))</f>
        <v/>
      </c>
      <c r="P810" s="40">
        <f>MIN(I810,M810)*L810-N810*L810</f>
        <v/>
      </c>
      <c r="Q810" s="41">
        <f>INDEX(DPD_Bucket,MATCH(K810,DPD_From,1))</f>
        <v/>
      </c>
      <c r="R810" s="41">
        <f>INDEX(DPD_Class,MATCH(K810,DPD_From,1))</f>
        <v/>
      </c>
      <c r="S810" s="41">
        <f>INDEX(DPD_NPA,MATCH(K810,DPD_From,1))</f>
        <v/>
      </c>
      <c r="T810" s="42">
        <f>INDEX(DPD_Prov,MATCH(K810,DPD_From,1))</f>
        <v/>
      </c>
      <c r="U810" s="40">
        <f>ROUND(O810*T810,0)</f>
        <v/>
      </c>
      <c r="V810" s="41">
        <f>INDEX(CIBIL_Grade,MATCH(J810,CIBIL_From,1))</f>
        <v/>
      </c>
      <c r="W810" s="41">
        <f>YEAR(F810)&amp;"-Q"&amp;ROUNDUP(MONTH(F810)/3,0)</f>
        <v/>
      </c>
      <c r="X810" s="41">
        <f>IF(AND(OR(Dashboard!$C$4="All",D810=Dashboard!$C$4),OR(Dashboard!$C$5="All",E810=Dashboard!$C$5)),1,0)</f>
        <v/>
      </c>
      <c r="Y810" s="43">
        <f>IF(AND(X810=1,S810="Yes"),O810+ROW()/1000000,0)</f>
        <v/>
      </c>
    </row>
    <row r="811">
      <c r="A811" s="35" t="inlineStr">
        <is>
          <t>LN100810</t>
        </is>
      </c>
      <c r="B811" s="35" t="inlineStr">
        <is>
          <t>Aditya Rao</t>
        </is>
      </c>
      <c r="C811" s="35" t="inlineStr">
        <is>
          <t>GUW-01</t>
        </is>
      </c>
      <c r="D811" s="36">
        <f>INDEX(Branches!$C$2:$C$15,MATCH(C811,Branches!$A$2:$A$15,0))</f>
        <v/>
      </c>
      <c r="E811" s="35" t="inlineStr">
        <is>
          <t>Personal Loan</t>
        </is>
      </c>
      <c r="F811" s="37" t="n">
        <v>45229</v>
      </c>
      <c r="G811" s="38" t="n">
        <v>363000</v>
      </c>
      <c r="H811" s="39" t="n">
        <v>0.1628</v>
      </c>
      <c r="I811" s="35" t="n">
        <v>48</v>
      </c>
      <c r="J811" s="35" t="n">
        <v>651</v>
      </c>
      <c r="K811" s="35" t="n">
        <v>0</v>
      </c>
      <c r="L811" s="40">
        <f>ROUND(PMT(H811/12,I811,-G811),0)</f>
        <v/>
      </c>
      <c r="M811" s="41">
        <f>MAX(0,(YEAR(AsOfDate)-YEAR(F811))*12+MONTH(AsOfDate)-MONTH(F811))</f>
        <v/>
      </c>
      <c r="N811" s="41">
        <f>MAX(0,MIN(I811,M811)-INT(K811/30))</f>
        <v/>
      </c>
      <c r="O811" s="40">
        <f>IF(N811&gt;=I811,0,ROUND(PV(H811/12,I811-N811,-L811),0))</f>
        <v/>
      </c>
      <c r="P811" s="40">
        <f>MIN(I811,M811)*L811-N811*L811</f>
        <v/>
      </c>
      <c r="Q811" s="41">
        <f>INDEX(DPD_Bucket,MATCH(K811,DPD_From,1))</f>
        <v/>
      </c>
      <c r="R811" s="41">
        <f>INDEX(DPD_Class,MATCH(K811,DPD_From,1))</f>
        <v/>
      </c>
      <c r="S811" s="41">
        <f>INDEX(DPD_NPA,MATCH(K811,DPD_From,1))</f>
        <v/>
      </c>
      <c r="T811" s="42">
        <f>INDEX(DPD_Prov,MATCH(K811,DPD_From,1))</f>
        <v/>
      </c>
      <c r="U811" s="40">
        <f>ROUND(O811*T811,0)</f>
        <v/>
      </c>
      <c r="V811" s="41">
        <f>INDEX(CIBIL_Grade,MATCH(J811,CIBIL_From,1))</f>
        <v/>
      </c>
      <c r="W811" s="41">
        <f>YEAR(F811)&amp;"-Q"&amp;ROUNDUP(MONTH(F811)/3,0)</f>
        <v/>
      </c>
      <c r="X811" s="41">
        <f>IF(AND(OR(Dashboard!$C$4="All",D811=Dashboard!$C$4),OR(Dashboard!$C$5="All",E811=Dashboard!$C$5)),1,0)</f>
        <v/>
      </c>
      <c r="Y811" s="43">
        <f>IF(AND(X811=1,S811="Yes"),O811+ROW()/1000000,0)</f>
        <v/>
      </c>
    </row>
    <row r="812">
      <c r="A812" s="35" t="inlineStr">
        <is>
          <t>LN100811</t>
        </is>
      </c>
      <c r="B812" s="35" t="inlineStr">
        <is>
          <t>Karthik Reddy</t>
        </is>
      </c>
      <c r="C812" s="35" t="inlineStr">
        <is>
          <t>MUM-01</t>
        </is>
      </c>
      <c r="D812" s="36">
        <f>INDEX(Branches!$C$2:$C$15,MATCH(C812,Branches!$A$2:$A$15,0))</f>
        <v/>
      </c>
      <c r="E812" s="35" t="inlineStr">
        <is>
          <t>Personal Loan</t>
        </is>
      </c>
      <c r="F812" s="37" t="n">
        <v>45275</v>
      </c>
      <c r="G812" s="38" t="n">
        <v>1421000</v>
      </c>
      <c r="H812" s="39" t="n">
        <v>0.1057</v>
      </c>
      <c r="I812" s="35" t="n">
        <v>24</v>
      </c>
      <c r="J812" s="35" t="n">
        <v>668</v>
      </c>
      <c r="K812" s="35" t="n">
        <v>0</v>
      </c>
      <c r="L812" s="40">
        <f>ROUND(PMT(H812/12,I812,-G812),0)</f>
        <v/>
      </c>
      <c r="M812" s="41">
        <f>MAX(0,(YEAR(AsOfDate)-YEAR(F812))*12+MONTH(AsOfDate)-MONTH(F812))</f>
        <v/>
      </c>
      <c r="N812" s="41">
        <f>MAX(0,MIN(I812,M812)-INT(K812/30))</f>
        <v/>
      </c>
      <c r="O812" s="40">
        <f>IF(N812&gt;=I812,0,ROUND(PV(H812/12,I812-N812,-L812),0))</f>
        <v/>
      </c>
      <c r="P812" s="40">
        <f>MIN(I812,M812)*L812-N812*L812</f>
        <v/>
      </c>
      <c r="Q812" s="41">
        <f>INDEX(DPD_Bucket,MATCH(K812,DPD_From,1))</f>
        <v/>
      </c>
      <c r="R812" s="41">
        <f>INDEX(DPD_Class,MATCH(K812,DPD_From,1))</f>
        <v/>
      </c>
      <c r="S812" s="41">
        <f>INDEX(DPD_NPA,MATCH(K812,DPD_From,1))</f>
        <v/>
      </c>
      <c r="T812" s="42">
        <f>INDEX(DPD_Prov,MATCH(K812,DPD_From,1))</f>
        <v/>
      </c>
      <c r="U812" s="40">
        <f>ROUND(O812*T812,0)</f>
        <v/>
      </c>
      <c r="V812" s="41">
        <f>INDEX(CIBIL_Grade,MATCH(J812,CIBIL_From,1))</f>
        <v/>
      </c>
      <c r="W812" s="41">
        <f>YEAR(F812)&amp;"-Q"&amp;ROUNDUP(MONTH(F812)/3,0)</f>
        <v/>
      </c>
      <c r="X812" s="41">
        <f>IF(AND(OR(Dashboard!$C$4="All",D812=Dashboard!$C$4),OR(Dashboard!$C$5="All",E812=Dashboard!$C$5)),1,0)</f>
        <v/>
      </c>
      <c r="Y812" s="43">
        <f>IF(AND(X812=1,S812="Yes"),O812+ROW()/1000000,0)</f>
        <v/>
      </c>
    </row>
    <row r="813">
      <c r="A813" s="35" t="inlineStr">
        <is>
          <t>LN100812</t>
        </is>
      </c>
      <c r="B813" s="35" t="inlineStr">
        <is>
          <t>Meera Banerjee</t>
        </is>
      </c>
      <c r="C813" s="35" t="inlineStr">
        <is>
          <t>PAT-01</t>
        </is>
      </c>
      <c r="D813" s="36">
        <f>INDEX(Branches!$C$2:$C$15,MATCH(C813,Branches!$A$2:$A$15,0))</f>
        <v/>
      </c>
      <c r="E813" s="35" t="inlineStr">
        <is>
          <t>Business Loan</t>
        </is>
      </c>
      <c r="F813" s="37" t="n">
        <v>45478</v>
      </c>
      <c r="G813" s="38" t="n">
        <v>4004000</v>
      </c>
      <c r="H813" s="39" t="n">
        <v>0.1676</v>
      </c>
      <c r="I813" s="35" t="n">
        <v>36</v>
      </c>
      <c r="J813" s="35" t="n">
        <v>756</v>
      </c>
      <c r="K813" s="35" t="n">
        <v>0</v>
      </c>
      <c r="L813" s="40">
        <f>ROUND(PMT(H813/12,I813,-G813),0)</f>
        <v/>
      </c>
      <c r="M813" s="41">
        <f>MAX(0,(YEAR(AsOfDate)-YEAR(F813))*12+MONTH(AsOfDate)-MONTH(F813))</f>
        <v/>
      </c>
      <c r="N813" s="41">
        <f>MAX(0,MIN(I813,M813)-INT(K813/30))</f>
        <v/>
      </c>
      <c r="O813" s="40">
        <f>IF(N813&gt;=I813,0,ROUND(PV(H813/12,I813-N813,-L813),0))</f>
        <v/>
      </c>
      <c r="P813" s="40">
        <f>MIN(I813,M813)*L813-N813*L813</f>
        <v/>
      </c>
      <c r="Q813" s="41">
        <f>INDEX(DPD_Bucket,MATCH(K813,DPD_From,1))</f>
        <v/>
      </c>
      <c r="R813" s="41">
        <f>INDEX(DPD_Class,MATCH(K813,DPD_From,1))</f>
        <v/>
      </c>
      <c r="S813" s="41">
        <f>INDEX(DPD_NPA,MATCH(K813,DPD_From,1))</f>
        <v/>
      </c>
      <c r="T813" s="42">
        <f>INDEX(DPD_Prov,MATCH(K813,DPD_From,1))</f>
        <v/>
      </c>
      <c r="U813" s="40">
        <f>ROUND(O813*T813,0)</f>
        <v/>
      </c>
      <c r="V813" s="41">
        <f>INDEX(CIBIL_Grade,MATCH(J813,CIBIL_From,1))</f>
        <v/>
      </c>
      <c r="W813" s="41">
        <f>YEAR(F813)&amp;"-Q"&amp;ROUNDUP(MONTH(F813)/3,0)</f>
        <v/>
      </c>
      <c r="X813" s="41">
        <f>IF(AND(OR(Dashboard!$C$4="All",D813=Dashboard!$C$4),OR(Dashboard!$C$5="All",E813=Dashboard!$C$5)),1,0)</f>
        <v/>
      </c>
      <c r="Y813" s="43">
        <f>IF(AND(X813=1,S813="Yes"),O813+ROW()/1000000,0)</f>
        <v/>
      </c>
    </row>
    <row r="814">
      <c r="A814" s="35" t="inlineStr">
        <is>
          <t>LN100813</t>
        </is>
      </c>
      <c r="B814" s="35" t="inlineStr">
        <is>
          <t>Priya Mishra</t>
        </is>
      </c>
      <c r="C814" s="35" t="inlineStr">
        <is>
          <t>KOL-01</t>
        </is>
      </c>
      <c r="D814" s="36">
        <f>INDEX(Branches!$C$2:$C$15,MATCH(C814,Branches!$A$2:$A$15,0))</f>
        <v/>
      </c>
      <c r="E814" s="35" t="inlineStr">
        <is>
          <t>Auto Loan</t>
        </is>
      </c>
      <c r="F814" s="37" t="n">
        <v>46108</v>
      </c>
      <c r="G814" s="38" t="n">
        <v>1679000</v>
      </c>
      <c r="H814" s="39" t="n">
        <v>0.1173</v>
      </c>
      <c r="I814" s="35" t="n">
        <v>36</v>
      </c>
      <c r="J814" s="35" t="n">
        <v>763</v>
      </c>
      <c r="K814" s="35" t="n">
        <v>0</v>
      </c>
      <c r="L814" s="40">
        <f>ROUND(PMT(H814/12,I814,-G814),0)</f>
        <v/>
      </c>
      <c r="M814" s="41">
        <f>MAX(0,(YEAR(AsOfDate)-YEAR(F814))*12+MONTH(AsOfDate)-MONTH(F814))</f>
        <v/>
      </c>
      <c r="N814" s="41">
        <f>MAX(0,MIN(I814,M814)-INT(K814/30))</f>
        <v/>
      </c>
      <c r="O814" s="40">
        <f>IF(N814&gt;=I814,0,ROUND(PV(H814/12,I814-N814,-L814),0))</f>
        <v/>
      </c>
      <c r="P814" s="40">
        <f>MIN(I814,M814)*L814-N814*L814</f>
        <v/>
      </c>
      <c r="Q814" s="41">
        <f>INDEX(DPD_Bucket,MATCH(K814,DPD_From,1))</f>
        <v/>
      </c>
      <c r="R814" s="41">
        <f>INDEX(DPD_Class,MATCH(K814,DPD_From,1))</f>
        <v/>
      </c>
      <c r="S814" s="41">
        <f>INDEX(DPD_NPA,MATCH(K814,DPD_From,1))</f>
        <v/>
      </c>
      <c r="T814" s="42">
        <f>INDEX(DPD_Prov,MATCH(K814,DPD_From,1))</f>
        <v/>
      </c>
      <c r="U814" s="40">
        <f>ROUND(O814*T814,0)</f>
        <v/>
      </c>
      <c r="V814" s="41">
        <f>INDEX(CIBIL_Grade,MATCH(J814,CIBIL_From,1))</f>
        <v/>
      </c>
      <c r="W814" s="41">
        <f>YEAR(F814)&amp;"-Q"&amp;ROUNDUP(MONTH(F814)/3,0)</f>
        <v/>
      </c>
      <c r="X814" s="41">
        <f>IF(AND(OR(Dashboard!$C$4="All",D814=Dashboard!$C$4),OR(Dashboard!$C$5="All",E814=Dashboard!$C$5)),1,0)</f>
        <v/>
      </c>
      <c r="Y814" s="43">
        <f>IF(AND(X814=1,S814="Yes"),O814+ROW()/1000000,0)</f>
        <v/>
      </c>
    </row>
    <row r="815">
      <c r="A815" s="35" t="inlineStr">
        <is>
          <t>LN100814</t>
        </is>
      </c>
      <c r="B815" s="35" t="inlineStr">
        <is>
          <t>Kavya Iyer</t>
        </is>
      </c>
      <c r="C815" s="35" t="inlineStr">
        <is>
          <t>LKO-01</t>
        </is>
      </c>
      <c r="D815" s="36">
        <f>INDEX(Branches!$C$2:$C$15,MATCH(C815,Branches!$A$2:$A$15,0))</f>
        <v/>
      </c>
      <c r="E815" s="35" t="inlineStr">
        <is>
          <t>Personal Loan</t>
        </is>
      </c>
      <c r="F815" s="37" t="n">
        <v>45393</v>
      </c>
      <c r="G815" s="38" t="n">
        <v>641000</v>
      </c>
      <c r="H815" s="39" t="n">
        <v>0.1406</v>
      </c>
      <c r="I815" s="35" t="n">
        <v>48</v>
      </c>
      <c r="J815" s="35" t="n">
        <v>720</v>
      </c>
      <c r="K815" s="35" t="n">
        <v>0</v>
      </c>
      <c r="L815" s="40">
        <f>ROUND(PMT(H815/12,I815,-G815),0)</f>
        <v/>
      </c>
      <c r="M815" s="41">
        <f>MAX(0,(YEAR(AsOfDate)-YEAR(F815))*12+MONTH(AsOfDate)-MONTH(F815))</f>
        <v/>
      </c>
      <c r="N815" s="41">
        <f>MAX(0,MIN(I815,M815)-INT(K815/30))</f>
        <v/>
      </c>
      <c r="O815" s="40">
        <f>IF(N815&gt;=I815,0,ROUND(PV(H815/12,I815-N815,-L815),0))</f>
        <v/>
      </c>
      <c r="P815" s="40">
        <f>MIN(I815,M815)*L815-N815*L815</f>
        <v/>
      </c>
      <c r="Q815" s="41">
        <f>INDEX(DPD_Bucket,MATCH(K815,DPD_From,1))</f>
        <v/>
      </c>
      <c r="R815" s="41">
        <f>INDEX(DPD_Class,MATCH(K815,DPD_From,1))</f>
        <v/>
      </c>
      <c r="S815" s="41">
        <f>INDEX(DPD_NPA,MATCH(K815,DPD_From,1))</f>
        <v/>
      </c>
      <c r="T815" s="42">
        <f>INDEX(DPD_Prov,MATCH(K815,DPD_From,1))</f>
        <v/>
      </c>
      <c r="U815" s="40">
        <f>ROUND(O815*T815,0)</f>
        <v/>
      </c>
      <c r="V815" s="41">
        <f>INDEX(CIBIL_Grade,MATCH(J815,CIBIL_From,1))</f>
        <v/>
      </c>
      <c r="W815" s="41">
        <f>YEAR(F815)&amp;"-Q"&amp;ROUNDUP(MONTH(F815)/3,0)</f>
        <v/>
      </c>
      <c r="X815" s="41">
        <f>IF(AND(OR(Dashboard!$C$4="All",D815=Dashboard!$C$4),OR(Dashboard!$C$5="All",E815=Dashboard!$C$5)),1,0)</f>
        <v/>
      </c>
      <c r="Y815" s="43">
        <f>IF(AND(X815=1,S815="Yes"),O815+ROW()/1000000,0)</f>
        <v/>
      </c>
    </row>
    <row r="816">
      <c r="A816" s="35" t="inlineStr">
        <is>
          <t>LN100815</t>
        </is>
      </c>
      <c r="B816" s="35" t="inlineStr">
        <is>
          <t>Vivaan Sahoo</t>
        </is>
      </c>
      <c r="C816" s="35" t="inlineStr">
        <is>
          <t>DEL-01</t>
        </is>
      </c>
      <c r="D816" s="36">
        <f>INDEX(Branches!$C$2:$C$15,MATCH(C816,Branches!$A$2:$A$15,0))</f>
        <v/>
      </c>
      <c r="E816" s="35" t="inlineStr">
        <is>
          <t>Auto Loan</t>
        </is>
      </c>
      <c r="F816" s="37" t="n">
        <v>45550</v>
      </c>
      <c r="G816" s="38" t="n">
        <v>443000</v>
      </c>
      <c r="H816" s="39" t="n">
        <v>0.09520000000000001</v>
      </c>
      <c r="I816" s="35" t="n">
        <v>84</v>
      </c>
      <c r="J816" s="35" t="n">
        <v>756</v>
      </c>
      <c r="K816" s="35" t="n">
        <v>0</v>
      </c>
      <c r="L816" s="40">
        <f>ROUND(PMT(H816/12,I816,-G816),0)</f>
        <v/>
      </c>
      <c r="M816" s="41">
        <f>MAX(0,(YEAR(AsOfDate)-YEAR(F816))*12+MONTH(AsOfDate)-MONTH(F816))</f>
        <v/>
      </c>
      <c r="N816" s="41">
        <f>MAX(0,MIN(I816,M816)-INT(K816/30))</f>
        <v/>
      </c>
      <c r="O816" s="40">
        <f>IF(N816&gt;=I816,0,ROUND(PV(H816/12,I816-N816,-L816),0))</f>
        <v/>
      </c>
      <c r="P816" s="40">
        <f>MIN(I816,M816)*L816-N816*L816</f>
        <v/>
      </c>
      <c r="Q816" s="41">
        <f>INDEX(DPD_Bucket,MATCH(K816,DPD_From,1))</f>
        <v/>
      </c>
      <c r="R816" s="41">
        <f>INDEX(DPD_Class,MATCH(K816,DPD_From,1))</f>
        <v/>
      </c>
      <c r="S816" s="41">
        <f>INDEX(DPD_NPA,MATCH(K816,DPD_From,1))</f>
        <v/>
      </c>
      <c r="T816" s="42">
        <f>INDEX(DPD_Prov,MATCH(K816,DPD_From,1))</f>
        <v/>
      </c>
      <c r="U816" s="40">
        <f>ROUND(O816*T816,0)</f>
        <v/>
      </c>
      <c r="V816" s="41">
        <f>INDEX(CIBIL_Grade,MATCH(J816,CIBIL_From,1))</f>
        <v/>
      </c>
      <c r="W816" s="41">
        <f>YEAR(F816)&amp;"-Q"&amp;ROUNDUP(MONTH(F816)/3,0)</f>
        <v/>
      </c>
      <c r="X816" s="41">
        <f>IF(AND(OR(Dashboard!$C$4="All",D816=Dashboard!$C$4),OR(Dashboard!$C$5="All",E816=Dashboard!$C$5)),1,0)</f>
        <v/>
      </c>
      <c r="Y816" s="43">
        <f>IF(AND(X816=1,S816="Yes"),O816+ROW()/1000000,0)</f>
        <v/>
      </c>
    </row>
    <row r="817">
      <c r="A817" s="35" t="inlineStr">
        <is>
          <t>LN100816</t>
        </is>
      </c>
      <c r="B817" s="35" t="inlineStr">
        <is>
          <t>Diya Chatterjee</t>
        </is>
      </c>
      <c r="C817" s="35" t="inlineStr">
        <is>
          <t>CHN-01</t>
        </is>
      </c>
      <c r="D817" s="36">
        <f>INDEX(Branches!$C$2:$C$15,MATCH(C817,Branches!$A$2:$A$15,0))</f>
        <v/>
      </c>
      <c r="E817" s="35" t="inlineStr">
        <is>
          <t>Gold Loan</t>
        </is>
      </c>
      <c r="F817" s="37" t="n">
        <v>45592</v>
      </c>
      <c r="G817" s="38" t="n">
        <v>255000</v>
      </c>
      <c r="H817" s="39" t="n">
        <v>0.1011</v>
      </c>
      <c r="I817" s="35" t="n">
        <v>12</v>
      </c>
      <c r="J817" s="35" t="n">
        <v>749</v>
      </c>
      <c r="K817" s="35" t="n">
        <v>0</v>
      </c>
      <c r="L817" s="40">
        <f>ROUND(PMT(H817/12,I817,-G817),0)</f>
        <v/>
      </c>
      <c r="M817" s="41">
        <f>MAX(0,(YEAR(AsOfDate)-YEAR(F817))*12+MONTH(AsOfDate)-MONTH(F817))</f>
        <v/>
      </c>
      <c r="N817" s="41">
        <f>MAX(0,MIN(I817,M817)-INT(K817/30))</f>
        <v/>
      </c>
      <c r="O817" s="40">
        <f>IF(N817&gt;=I817,0,ROUND(PV(H817/12,I817-N817,-L817),0))</f>
        <v/>
      </c>
      <c r="P817" s="40">
        <f>MIN(I817,M817)*L817-N817*L817</f>
        <v/>
      </c>
      <c r="Q817" s="41">
        <f>INDEX(DPD_Bucket,MATCH(K817,DPD_From,1))</f>
        <v/>
      </c>
      <c r="R817" s="41">
        <f>INDEX(DPD_Class,MATCH(K817,DPD_From,1))</f>
        <v/>
      </c>
      <c r="S817" s="41">
        <f>INDEX(DPD_NPA,MATCH(K817,DPD_From,1))</f>
        <v/>
      </c>
      <c r="T817" s="42">
        <f>INDEX(DPD_Prov,MATCH(K817,DPD_From,1))</f>
        <v/>
      </c>
      <c r="U817" s="40">
        <f>ROUND(O817*T817,0)</f>
        <v/>
      </c>
      <c r="V817" s="41">
        <f>INDEX(CIBIL_Grade,MATCH(J817,CIBIL_From,1))</f>
        <v/>
      </c>
      <c r="W817" s="41">
        <f>YEAR(F817)&amp;"-Q"&amp;ROUNDUP(MONTH(F817)/3,0)</f>
        <v/>
      </c>
      <c r="X817" s="41">
        <f>IF(AND(OR(Dashboard!$C$4="All",D817=Dashboard!$C$4),OR(Dashboard!$C$5="All",E817=Dashboard!$C$5)),1,0)</f>
        <v/>
      </c>
      <c r="Y817" s="43">
        <f>IF(AND(X817=1,S817="Yes"),O817+ROW()/1000000,0)</f>
        <v/>
      </c>
    </row>
    <row r="818">
      <c r="A818" s="35" t="inlineStr">
        <is>
          <t>LN100817</t>
        </is>
      </c>
      <c r="B818" s="35" t="inlineStr">
        <is>
          <t>Meera Pillai</t>
        </is>
      </c>
      <c r="C818" s="35" t="inlineStr">
        <is>
          <t>BBS-01</t>
        </is>
      </c>
      <c r="D818" s="36">
        <f>INDEX(Branches!$C$2:$C$15,MATCH(C818,Branches!$A$2:$A$15,0))</f>
        <v/>
      </c>
      <c r="E818" s="35" t="inlineStr">
        <is>
          <t>Home Loan</t>
        </is>
      </c>
      <c r="F818" s="37" t="n">
        <v>45332</v>
      </c>
      <c r="G818" s="38" t="n">
        <v>2894000</v>
      </c>
      <c r="H818" s="39" t="n">
        <v>0.0974</v>
      </c>
      <c r="I818" s="35" t="n">
        <v>180</v>
      </c>
      <c r="J818" s="35" t="n">
        <v>606</v>
      </c>
      <c r="K818" s="35" t="n">
        <v>0</v>
      </c>
      <c r="L818" s="40">
        <f>ROUND(PMT(H818/12,I818,-G818),0)</f>
        <v/>
      </c>
      <c r="M818" s="41">
        <f>MAX(0,(YEAR(AsOfDate)-YEAR(F818))*12+MONTH(AsOfDate)-MONTH(F818))</f>
        <v/>
      </c>
      <c r="N818" s="41">
        <f>MAX(0,MIN(I818,M818)-INT(K818/30))</f>
        <v/>
      </c>
      <c r="O818" s="40">
        <f>IF(N818&gt;=I818,0,ROUND(PV(H818/12,I818-N818,-L818),0))</f>
        <v/>
      </c>
      <c r="P818" s="40">
        <f>MIN(I818,M818)*L818-N818*L818</f>
        <v/>
      </c>
      <c r="Q818" s="41">
        <f>INDEX(DPD_Bucket,MATCH(K818,DPD_From,1))</f>
        <v/>
      </c>
      <c r="R818" s="41">
        <f>INDEX(DPD_Class,MATCH(K818,DPD_From,1))</f>
        <v/>
      </c>
      <c r="S818" s="41">
        <f>INDEX(DPD_NPA,MATCH(K818,DPD_From,1))</f>
        <v/>
      </c>
      <c r="T818" s="42">
        <f>INDEX(DPD_Prov,MATCH(K818,DPD_From,1))</f>
        <v/>
      </c>
      <c r="U818" s="40">
        <f>ROUND(O818*T818,0)</f>
        <v/>
      </c>
      <c r="V818" s="41">
        <f>INDEX(CIBIL_Grade,MATCH(J818,CIBIL_From,1))</f>
        <v/>
      </c>
      <c r="W818" s="41">
        <f>YEAR(F818)&amp;"-Q"&amp;ROUNDUP(MONTH(F818)/3,0)</f>
        <v/>
      </c>
      <c r="X818" s="41">
        <f>IF(AND(OR(Dashboard!$C$4="All",D818=Dashboard!$C$4),OR(Dashboard!$C$5="All",E818=Dashboard!$C$5)),1,0)</f>
        <v/>
      </c>
      <c r="Y818" s="43">
        <f>IF(AND(X818=1,S818="Yes"),O818+ROW()/1000000,0)</f>
        <v/>
      </c>
    </row>
    <row r="819">
      <c r="A819" s="35" t="inlineStr">
        <is>
          <t>LN100818</t>
        </is>
      </c>
      <c r="B819" s="35" t="inlineStr">
        <is>
          <t>Tanvi Pillai</t>
        </is>
      </c>
      <c r="C819" s="35" t="inlineStr">
        <is>
          <t>HYD-01</t>
        </is>
      </c>
      <c r="D819" s="36">
        <f>INDEX(Branches!$C$2:$C$15,MATCH(C819,Branches!$A$2:$A$15,0))</f>
        <v/>
      </c>
      <c r="E819" s="35" t="inlineStr">
        <is>
          <t>Business Loan</t>
        </is>
      </c>
      <c r="F819" s="37" t="n">
        <v>45752</v>
      </c>
      <c r="G819" s="38" t="n">
        <v>3217000</v>
      </c>
      <c r="H819" s="39" t="n">
        <v>0.1957</v>
      </c>
      <c r="I819" s="35" t="n">
        <v>24</v>
      </c>
      <c r="J819" s="35" t="n">
        <v>840</v>
      </c>
      <c r="K819" s="35" t="n">
        <v>0</v>
      </c>
      <c r="L819" s="40">
        <f>ROUND(PMT(H819/12,I819,-G819),0)</f>
        <v/>
      </c>
      <c r="M819" s="41">
        <f>MAX(0,(YEAR(AsOfDate)-YEAR(F819))*12+MONTH(AsOfDate)-MONTH(F819))</f>
        <v/>
      </c>
      <c r="N819" s="41">
        <f>MAX(0,MIN(I819,M819)-INT(K819/30))</f>
        <v/>
      </c>
      <c r="O819" s="40">
        <f>IF(N819&gt;=I819,0,ROUND(PV(H819/12,I819-N819,-L819),0))</f>
        <v/>
      </c>
      <c r="P819" s="40">
        <f>MIN(I819,M819)*L819-N819*L819</f>
        <v/>
      </c>
      <c r="Q819" s="41">
        <f>INDEX(DPD_Bucket,MATCH(K819,DPD_From,1))</f>
        <v/>
      </c>
      <c r="R819" s="41">
        <f>INDEX(DPD_Class,MATCH(K819,DPD_From,1))</f>
        <v/>
      </c>
      <c r="S819" s="41">
        <f>INDEX(DPD_NPA,MATCH(K819,DPD_From,1))</f>
        <v/>
      </c>
      <c r="T819" s="42">
        <f>INDEX(DPD_Prov,MATCH(K819,DPD_From,1))</f>
        <v/>
      </c>
      <c r="U819" s="40">
        <f>ROUND(O819*T819,0)</f>
        <v/>
      </c>
      <c r="V819" s="41">
        <f>INDEX(CIBIL_Grade,MATCH(J819,CIBIL_From,1))</f>
        <v/>
      </c>
      <c r="W819" s="41">
        <f>YEAR(F819)&amp;"-Q"&amp;ROUNDUP(MONTH(F819)/3,0)</f>
        <v/>
      </c>
      <c r="X819" s="41">
        <f>IF(AND(OR(Dashboard!$C$4="All",D819=Dashboard!$C$4),OR(Dashboard!$C$5="All",E819=Dashboard!$C$5)),1,0)</f>
        <v/>
      </c>
      <c r="Y819" s="43">
        <f>IF(AND(X819=1,S819="Yes"),O819+ROW()/1000000,0)</f>
        <v/>
      </c>
    </row>
    <row r="820">
      <c r="A820" s="35" t="inlineStr">
        <is>
          <t>LN100819</t>
        </is>
      </c>
      <c r="B820" s="35" t="inlineStr">
        <is>
          <t>Aditya Banerjee</t>
        </is>
      </c>
      <c r="C820" s="35" t="inlineStr">
        <is>
          <t>JAI-01</t>
        </is>
      </c>
      <c r="D820" s="36">
        <f>INDEX(Branches!$C$2:$C$15,MATCH(C820,Branches!$A$2:$A$15,0))</f>
        <v/>
      </c>
      <c r="E820" s="35" t="inlineStr">
        <is>
          <t>Personal Loan</t>
        </is>
      </c>
      <c r="F820" s="37" t="n">
        <v>45234</v>
      </c>
      <c r="G820" s="38" t="n">
        <v>1231000</v>
      </c>
      <c r="H820" s="39" t="n">
        <v>0.1444</v>
      </c>
      <c r="I820" s="35" t="n">
        <v>60</v>
      </c>
      <c r="J820" s="35" t="n">
        <v>733</v>
      </c>
      <c r="K820" s="35" t="n">
        <v>0</v>
      </c>
      <c r="L820" s="40">
        <f>ROUND(PMT(H820/12,I820,-G820),0)</f>
        <v/>
      </c>
      <c r="M820" s="41">
        <f>MAX(0,(YEAR(AsOfDate)-YEAR(F820))*12+MONTH(AsOfDate)-MONTH(F820))</f>
        <v/>
      </c>
      <c r="N820" s="41">
        <f>MAX(0,MIN(I820,M820)-INT(K820/30))</f>
        <v/>
      </c>
      <c r="O820" s="40">
        <f>IF(N820&gt;=I820,0,ROUND(PV(H820/12,I820-N820,-L820),0))</f>
        <v/>
      </c>
      <c r="P820" s="40">
        <f>MIN(I820,M820)*L820-N820*L820</f>
        <v/>
      </c>
      <c r="Q820" s="41">
        <f>INDEX(DPD_Bucket,MATCH(K820,DPD_From,1))</f>
        <v/>
      </c>
      <c r="R820" s="41">
        <f>INDEX(DPD_Class,MATCH(K820,DPD_From,1))</f>
        <v/>
      </c>
      <c r="S820" s="41">
        <f>INDEX(DPD_NPA,MATCH(K820,DPD_From,1))</f>
        <v/>
      </c>
      <c r="T820" s="42">
        <f>INDEX(DPD_Prov,MATCH(K820,DPD_From,1))</f>
        <v/>
      </c>
      <c r="U820" s="40">
        <f>ROUND(O820*T820,0)</f>
        <v/>
      </c>
      <c r="V820" s="41">
        <f>INDEX(CIBIL_Grade,MATCH(J820,CIBIL_From,1))</f>
        <v/>
      </c>
      <c r="W820" s="41">
        <f>YEAR(F820)&amp;"-Q"&amp;ROUNDUP(MONTH(F820)/3,0)</f>
        <v/>
      </c>
      <c r="X820" s="41">
        <f>IF(AND(OR(Dashboard!$C$4="All",D820=Dashboard!$C$4),OR(Dashboard!$C$5="All",E820=Dashboard!$C$5)),1,0)</f>
        <v/>
      </c>
      <c r="Y820" s="43">
        <f>IF(AND(X820=1,S820="Yes"),O820+ROW()/1000000,0)</f>
        <v/>
      </c>
    </row>
    <row r="821">
      <c r="A821" s="35" t="inlineStr">
        <is>
          <t>LN100820</t>
        </is>
      </c>
      <c r="B821" s="35" t="inlineStr">
        <is>
          <t>Vivaan Iyer</t>
        </is>
      </c>
      <c r="C821" s="35" t="inlineStr">
        <is>
          <t>MUM-01</t>
        </is>
      </c>
      <c r="D821" s="36">
        <f>INDEX(Branches!$C$2:$C$15,MATCH(C821,Branches!$A$2:$A$15,0))</f>
        <v/>
      </c>
      <c r="E821" s="35" t="inlineStr">
        <is>
          <t>Gold Loan</t>
        </is>
      </c>
      <c r="F821" s="37" t="n">
        <v>45231</v>
      </c>
      <c r="G821" s="38" t="n">
        <v>341000</v>
      </c>
      <c r="H821" s="39" t="n">
        <v>0.1176</v>
      </c>
      <c r="I821" s="35" t="n">
        <v>12</v>
      </c>
      <c r="J821" s="35" t="n">
        <v>741</v>
      </c>
      <c r="K821" s="35" t="n">
        <v>0</v>
      </c>
      <c r="L821" s="40">
        <f>ROUND(PMT(H821/12,I821,-G821),0)</f>
        <v/>
      </c>
      <c r="M821" s="41">
        <f>MAX(0,(YEAR(AsOfDate)-YEAR(F821))*12+MONTH(AsOfDate)-MONTH(F821))</f>
        <v/>
      </c>
      <c r="N821" s="41">
        <f>MAX(0,MIN(I821,M821)-INT(K821/30))</f>
        <v/>
      </c>
      <c r="O821" s="40">
        <f>IF(N821&gt;=I821,0,ROUND(PV(H821/12,I821-N821,-L821),0))</f>
        <v/>
      </c>
      <c r="P821" s="40">
        <f>MIN(I821,M821)*L821-N821*L821</f>
        <v/>
      </c>
      <c r="Q821" s="41">
        <f>INDEX(DPD_Bucket,MATCH(K821,DPD_From,1))</f>
        <v/>
      </c>
      <c r="R821" s="41">
        <f>INDEX(DPD_Class,MATCH(K821,DPD_From,1))</f>
        <v/>
      </c>
      <c r="S821" s="41">
        <f>INDEX(DPD_NPA,MATCH(K821,DPD_From,1))</f>
        <v/>
      </c>
      <c r="T821" s="42">
        <f>INDEX(DPD_Prov,MATCH(K821,DPD_From,1))</f>
        <v/>
      </c>
      <c r="U821" s="40">
        <f>ROUND(O821*T821,0)</f>
        <v/>
      </c>
      <c r="V821" s="41">
        <f>INDEX(CIBIL_Grade,MATCH(J821,CIBIL_From,1))</f>
        <v/>
      </c>
      <c r="W821" s="41">
        <f>YEAR(F821)&amp;"-Q"&amp;ROUNDUP(MONTH(F821)/3,0)</f>
        <v/>
      </c>
      <c r="X821" s="41">
        <f>IF(AND(OR(Dashboard!$C$4="All",D821=Dashboard!$C$4),OR(Dashboard!$C$5="All",E821=Dashboard!$C$5)),1,0)</f>
        <v/>
      </c>
      <c r="Y821" s="43">
        <f>IF(AND(X821=1,S821="Yes"),O821+ROW()/1000000,0)</f>
        <v/>
      </c>
    </row>
    <row r="822">
      <c r="A822" s="35" t="inlineStr">
        <is>
          <t>LN100821</t>
        </is>
      </c>
      <c r="B822" s="35" t="inlineStr">
        <is>
          <t>Kabir Patel</t>
        </is>
      </c>
      <c r="C822" s="35" t="inlineStr">
        <is>
          <t>JAI-01</t>
        </is>
      </c>
      <c r="D822" s="36">
        <f>INDEX(Branches!$C$2:$C$15,MATCH(C822,Branches!$A$2:$A$15,0))</f>
        <v/>
      </c>
      <c r="E822" s="35" t="inlineStr">
        <is>
          <t>Auto Loan</t>
        </is>
      </c>
      <c r="F822" s="37" t="n">
        <v>45373</v>
      </c>
      <c r="G822" s="38" t="n">
        <v>1573000</v>
      </c>
      <c r="H822" s="39" t="n">
        <v>0.1032</v>
      </c>
      <c r="I822" s="35" t="n">
        <v>60</v>
      </c>
      <c r="J822" s="35" t="n">
        <v>658</v>
      </c>
      <c r="K822" s="35" t="n">
        <v>0</v>
      </c>
      <c r="L822" s="40">
        <f>ROUND(PMT(H822/12,I822,-G822),0)</f>
        <v/>
      </c>
      <c r="M822" s="41">
        <f>MAX(0,(YEAR(AsOfDate)-YEAR(F822))*12+MONTH(AsOfDate)-MONTH(F822))</f>
        <v/>
      </c>
      <c r="N822" s="41">
        <f>MAX(0,MIN(I822,M822)-INT(K822/30))</f>
        <v/>
      </c>
      <c r="O822" s="40">
        <f>IF(N822&gt;=I822,0,ROUND(PV(H822/12,I822-N822,-L822),0))</f>
        <v/>
      </c>
      <c r="P822" s="40">
        <f>MIN(I822,M822)*L822-N822*L822</f>
        <v/>
      </c>
      <c r="Q822" s="41">
        <f>INDEX(DPD_Bucket,MATCH(K822,DPD_From,1))</f>
        <v/>
      </c>
      <c r="R822" s="41">
        <f>INDEX(DPD_Class,MATCH(K822,DPD_From,1))</f>
        <v/>
      </c>
      <c r="S822" s="41">
        <f>INDEX(DPD_NPA,MATCH(K822,DPD_From,1))</f>
        <v/>
      </c>
      <c r="T822" s="42">
        <f>INDEX(DPD_Prov,MATCH(K822,DPD_From,1))</f>
        <v/>
      </c>
      <c r="U822" s="40">
        <f>ROUND(O822*T822,0)</f>
        <v/>
      </c>
      <c r="V822" s="41">
        <f>INDEX(CIBIL_Grade,MATCH(J822,CIBIL_From,1))</f>
        <v/>
      </c>
      <c r="W822" s="41">
        <f>YEAR(F822)&amp;"-Q"&amp;ROUNDUP(MONTH(F822)/3,0)</f>
        <v/>
      </c>
      <c r="X822" s="41">
        <f>IF(AND(OR(Dashboard!$C$4="All",D822=Dashboard!$C$4),OR(Dashboard!$C$5="All",E822=Dashboard!$C$5)),1,0)</f>
        <v/>
      </c>
      <c r="Y822" s="43">
        <f>IF(AND(X822=1,S822="Yes"),O822+ROW()/1000000,0)</f>
        <v/>
      </c>
    </row>
    <row r="823">
      <c r="A823" s="35" t="inlineStr">
        <is>
          <t>LN100822</t>
        </is>
      </c>
      <c r="B823" s="35" t="inlineStr">
        <is>
          <t>Vivaan Mohanty</t>
        </is>
      </c>
      <c r="C823" s="35" t="inlineStr">
        <is>
          <t>GUW-01</t>
        </is>
      </c>
      <c r="D823" s="36">
        <f>INDEX(Branches!$C$2:$C$15,MATCH(C823,Branches!$A$2:$A$15,0))</f>
        <v/>
      </c>
      <c r="E823" s="35" t="inlineStr">
        <is>
          <t>Gold Loan</t>
        </is>
      </c>
      <c r="F823" s="37" t="n">
        <v>45978</v>
      </c>
      <c r="G823" s="38" t="n">
        <v>121000</v>
      </c>
      <c r="H823" s="39" t="n">
        <v>0.1165</v>
      </c>
      <c r="I823" s="35" t="n">
        <v>6</v>
      </c>
      <c r="J823" s="35" t="n">
        <v>669</v>
      </c>
      <c r="K823" s="35" t="n">
        <v>0</v>
      </c>
      <c r="L823" s="40">
        <f>ROUND(PMT(H823/12,I823,-G823),0)</f>
        <v/>
      </c>
      <c r="M823" s="41">
        <f>MAX(0,(YEAR(AsOfDate)-YEAR(F823))*12+MONTH(AsOfDate)-MONTH(F823))</f>
        <v/>
      </c>
      <c r="N823" s="41">
        <f>MAX(0,MIN(I823,M823)-INT(K823/30))</f>
        <v/>
      </c>
      <c r="O823" s="40">
        <f>IF(N823&gt;=I823,0,ROUND(PV(H823/12,I823-N823,-L823),0))</f>
        <v/>
      </c>
      <c r="P823" s="40">
        <f>MIN(I823,M823)*L823-N823*L823</f>
        <v/>
      </c>
      <c r="Q823" s="41">
        <f>INDEX(DPD_Bucket,MATCH(K823,DPD_From,1))</f>
        <v/>
      </c>
      <c r="R823" s="41">
        <f>INDEX(DPD_Class,MATCH(K823,DPD_From,1))</f>
        <v/>
      </c>
      <c r="S823" s="41">
        <f>INDEX(DPD_NPA,MATCH(K823,DPD_From,1))</f>
        <v/>
      </c>
      <c r="T823" s="42">
        <f>INDEX(DPD_Prov,MATCH(K823,DPD_From,1))</f>
        <v/>
      </c>
      <c r="U823" s="40">
        <f>ROUND(O823*T823,0)</f>
        <v/>
      </c>
      <c r="V823" s="41">
        <f>INDEX(CIBIL_Grade,MATCH(J823,CIBIL_From,1))</f>
        <v/>
      </c>
      <c r="W823" s="41">
        <f>YEAR(F823)&amp;"-Q"&amp;ROUNDUP(MONTH(F823)/3,0)</f>
        <v/>
      </c>
      <c r="X823" s="41">
        <f>IF(AND(OR(Dashboard!$C$4="All",D823=Dashboard!$C$4),OR(Dashboard!$C$5="All",E823=Dashboard!$C$5)),1,0)</f>
        <v/>
      </c>
      <c r="Y823" s="43">
        <f>IF(AND(X823=1,S823="Yes"),O823+ROW()/1000000,0)</f>
        <v/>
      </c>
    </row>
    <row r="824">
      <c r="A824" s="35" t="inlineStr">
        <is>
          <t>LN100823</t>
        </is>
      </c>
      <c r="B824" s="35" t="inlineStr">
        <is>
          <t>Arjun Menon</t>
        </is>
      </c>
      <c r="C824" s="35" t="inlineStr">
        <is>
          <t>CHN-01</t>
        </is>
      </c>
      <c r="D824" s="36">
        <f>INDEX(Branches!$C$2:$C$15,MATCH(C824,Branches!$A$2:$A$15,0))</f>
        <v/>
      </c>
      <c r="E824" s="35" t="inlineStr">
        <is>
          <t>Personal Loan</t>
        </is>
      </c>
      <c r="F824" s="37" t="n">
        <v>45729</v>
      </c>
      <c r="G824" s="38" t="n">
        <v>1158000</v>
      </c>
      <c r="H824" s="39" t="n">
        <v>0.1428</v>
      </c>
      <c r="I824" s="35" t="n">
        <v>12</v>
      </c>
      <c r="J824" s="35" t="n">
        <v>782</v>
      </c>
      <c r="K824" s="35" t="n">
        <v>0</v>
      </c>
      <c r="L824" s="40">
        <f>ROUND(PMT(H824/12,I824,-G824),0)</f>
        <v/>
      </c>
      <c r="M824" s="41">
        <f>MAX(0,(YEAR(AsOfDate)-YEAR(F824))*12+MONTH(AsOfDate)-MONTH(F824))</f>
        <v/>
      </c>
      <c r="N824" s="41">
        <f>MAX(0,MIN(I824,M824)-INT(K824/30))</f>
        <v/>
      </c>
      <c r="O824" s="40">
        <f>IF(N824&gt;=I824,0,ROUND(PV(H824/12,I824-N824,-L824),0))</f>
        <v/>
      </c>
      <c r="P824" s="40">
        <f>MIN(I824,M824)*L824-N824*L824</f>
        <v/>
      </c>
      <c r="Q824" s="41">
        <f>INDEX(DPD_Bucket,MATCH(K824,DPD_From,1))</f>
        <v/>
      </c>
      <c r="R824" s="41">
        <f>INDEX(DPD_Class,MATCH(K824,DPD_From,1))</f>
        <v/>
      </c>
      <c r="S824" s="41">
        <f>INDEX(DPD_NPA,MATCH(K824,DPD_From,1))</f>
        <v/>
      </c>
      <c r="T824" s="42">
        <f>INDEX(DPD_Prov,MATCH(K824,DPD_From,1))</f>
        <v/>
      </c>
      <c r="U824" s="40">
        <f>ROUND(O824*T824,0)</f>
        <v/>
      </c>
      <c r="V824" s="41">
        <f>INDEX(CIBIL_Grade,MATCH(J824,CIBIL_From,1))</f>
        <v/>
      </c>
      <c r="W824" s="41">
        <f>YEAR(F824)&amp;"-Q"&amp;ROUNDUP(MONTH(F824)/3,0)</f>
        <v/>
      </c>
      <c r="X824" s="41">
        <f>IF(AND(OR(Dashboard!$C$4="All",D824=Dashboard!$C$4),OR(Dashboard!$C$5="All",E824=Dashboard!$C$5)),1,0)</f>
        <v/>
      </c>
      <c r="Y824" s="43">
        <f>IF(AND(X824=1,S824="Yes"),O824+ROW()/1000000,0)</f>
        <v/>
      </c>
    </row>
    <row r="825">
      <c r="A825" s="35" t="inlineStr">
        <is>
          <t>LN100824</t>
        </is>
      </c>
      <c r="B825" s="35" t="inlineStr">
        <is>
          <t>Deepa Joshi</t>
        </is>
      </c>
      <c r="C825" s="35" t="inlineStr">
        <is>
          <t>AMD-01</t>
        </is>
      </c>
      <c r="D825" s="36">
        <f>INDEX(Branches!$C$2:$C$15,MATCH(C825,Branches!$A$2:$A$15,0))</f>
        <v/>
      </c>
      <c r="E825" s="35" t="inlineStr">
        <is>
          <t>Business Loan</t>
        </is>
      </c>
      <c r="F825" s="37" t="n">
        <v>45250</v>
      </c>
      <c r="G825" s="38" t="n">
        <v>2046000</v>
      </c>
      <c r="H825" s="39" t="n">
        <v>0.158</v>
      </c>
      <c r="I825" s="35" t="n">
        <v>60</v>
      </c>
      <c r="J825" s="35" t="n">
        <v>704</v>
      </c>
      <c r="K825" s="35" t="n">
        <v>403</v>
      </c>
      <c r="L825" s="40">
        <f>ROUND(PMT(H825/12,I825,-G825),0)</f>
        <v/>
      </c>
      <c r="M825" s="41">
        <f>MAX(0,(YEAR(AsOfDate)-YEAR(F825))*12+MONTH(AsOfDate)-MONTH(F825))</f>
        <v/>
      </c>
      <c r="N825" s="41">
        <f>MAX(0,MIN(I825,M825)-INT(K825/30))</f>
        <v/>
      </c>
      <c r="O825" s="40">
        <f>IF(N825&gt;=I825,0,ROUND(PV(H825/12,I825-N825,-L825),0))</f>
        <v/>
      </c>
      <c r="P825" s="40">
        <f>MIN(I825,M825)*L825-N825*L825</f>
        <v/>
      </c>
      <c r="Q825" s="41">
        <f>INDEX(DPD_Bucket,MATCH(K825,DPD_From,1))</f>
        <v/>
      </c>
      <c r="R825" s="41">
        <f>INDEX(DPD_Class,MATCH(K825,DPD_From,1))</f>
        <v/>
      </c>
      <c r="S825" s="41">
        <f>INDEX(DPD_NPA,MATCH(K825,DPD_From,1))</f>
        <v/>
      </c>
      <c r="T825" s="42">
        <f>INDEX(DPD_Prov,MATCH(K825,DPD_From,1))</f>
        <v/>
      </c>
      <c r="U825" s="40">
        <f>ROUND(O825*T825,0)</f>
        <v/>
      </c>
      <c r="V825" s="41">
        <f>INDEX(CIBIL_Grade,MATCH(J825,CIBIL_From,1))</f>
        <v/>
      </c>
      <c r="W825" s="41">
        <f>YEAR(F825)&amp;"-Q"&amp;ROUNDUP(MONTH(F825)/3,0)</f>
        <v/>
      </c>
      <c r="X825" s="41">
        <f>IF(AND(OR(Dashboard!$C$4="All",D825=Dashboard!$C$4),OR(Dashboard!$C$5="All",E825=Dashboard!$C$5)),1,0)</f>
        <v/>
      </c>
      <c r="Y825" s="43">
        <f>IF(AND(X825=1,S825="Yes"),O825+ROW()/1000000,0)</f>
        <v/>
      </c>
    </row>
    <row r="826">
      <c r="A826" s="35" t="inlineStr">
        <is>
          <t>LN100825</t>
        </is>
      </c>
      <c r="B826" s="35" t="inlineStr">
        <is>
          <t>Deepa Joshi</t>
        </is>
      </c>
      <c r="C826" s="35" t="inlineStr">
        <is>
          <t>DEL-01</t>
        </is>
      </c>
      <c r="D826" s="36">
        <f>INDEX(Branches!$C$2:$C$15,MATCH(C826,Branches!$A$2:$A$15,0))</f>
        <v/>
      </c>
      <c r="E826" s="35" t="inlineStr">
        <is>
          <t>Home Loan</t>
        </is>
      </c>
      <c r="F826" s="37" t="n">
        <v>46152</v>
      </c>
      <c r="G826" s="38" t="n">
        <v>7998000</v>
      </c>
      <c r="H826" s="39" t="n">
        <v>0.0852</v>
      </c>
      <c r="I826" s="35" t="n">
        <v>120</v>
      </c>
      <c r="J826" s="35" t="n">
        <v>734</v>
      </c>
      <c r="K826" s="35" t="n">
        <v>0</v>
      </c>
      <c r="L826" s="40">
        <f>ROUND(PMT(H826/12,I826,-G826),0)</f>
        <v/>
      </c>
      <c r="M826" s="41">
        <f>MAX(0,(YEAR(AsOfDate)-YEAR(F826))*12+MONTH(AsOfDate)-MONTH(F826))</f>
        <v/>
      </c>
      <c r="N826" s="41">
        <f>MAX(0,MIN(I826,M826)-INT(K826/30))</f>
        <v/>
      </c>
      <c r="O826" s="40">
        <f>IF(N826&gt;=I826,0,ROUND(PV(H826/12,I826-N826,-L826),0))</f>
        <v/>
      </c>
      <c r="P826" s="40">
        <f>MIN(I826,M826)*L826-N826*L826</f>
        <v/>
      </c>
      <c r="Q826" s="41">
        <f>INDEX(DPD_Bucket,MATCH(K826,DPD_From,1))</f>
        <v/>
      </c>
      <c r="R826" s="41">
        <f>INDEX(DPD_Class,MATCH(K826,DPD_From,1))</f>
        <v/>
      </c>
      <c r="S826" s="41">
        <f>INDEX(DPD_NPA,MATCH(K826,DPD_From,1))</f>
        <v/>
      </c>
      <c r="T826" s="42">
        <f>INDEX(DPD_Prov,MATCH(K826,DPD_From,1))</f>
        <v/>
      </c>
      <c r="U826" s="40">
        <f>ROUND(O826*T826,0)</f>
        <v/>
      </c>
      <c r="V826" s="41">
        <f>INDEX(CIBIL_Grade,MATCH(J826,CIBIL_From,1))</f>
        <v/>
      </c>
      <c r="W826" s="41">
        <f>YEAR(F826)&amp;"-Q"&amp;ROUNDUP(MONTH(F826)/3,0)</f>
        <v/>
      </c>
      <c r="X826" s="41">
        <f>IF(AND(OR(Dashboard!$C$4="All",D826=Dashboard!$C$4),OR(Dashboard!$C$5="All",E826=Dashboard!$C$5)),1,0)</f>
        <v/>
      </c>
      <c r="Y826" s="43">
        <f>IF(AND(X826=1,S826="Yes"),O826+ROW()/1000000,0)</f>
        <v/>
      </c>
    </row>
    <row r="827">
      <c r="A827" s="35" t="inlineStr">
        <is>
          <t>LN100826</t>
        </is>
      </c>
      <c r="B827" s="35" t="inlineStr">
        <is>
          <t>Ananya Patel</t>
        </is>
      </c>
      <c r="C827" s="35" t="inlineStr">
        <is>
          <t>HYD-01</t>
        </is>
      </c>
      <c r="D827" s="36">
        <f>INDEX(Branches!$C$2:$C$15,MATCH(C827,Branches!$A$2:$A$15,0))</f>
        <v/>
      </c>
      <c r="E827" s="35" t="inlineStr">
        <is>
          <t>Personal Loan</t>
        </is>
      </c>
      <c r="F827" s="37" t="n">
        <v>45886</v>
      </c>
      <c r="G827" s="38" t="n">
        <v>1274000</v>
      </c>
      <c r="H827" s="39" t="n">
        <v>0.1505</v>
      </c>
      <c r="I827" s="35" t="n">
        <v>48</v>
      </c>
      <c r="J827" s="35" t="n">
        <v>821</v>
      </c>
      <c r="K827" s="35" t="n">
        <v>0</v>
      </c>
      <c r="L827" s="40">
        <f>ROUND(PMT(H827/12,I827,-G827),0)</f>
        <v/>
      </c>
      <c r="M827" s="41">
        <f>MAX(0,(YEAR(AsOfDate)-YEAR(F827))*12+MONTH(AsOfDate)-MONTH(F827))</f>
        <v/>
      </c>
      <c r="N827" s="41">
        <f>MAX(0,MIN(I827,M827)-INT(K827/30))</f>
        <v/>
      </c>
      <c r="O827" s="40">
        <f>IF(N827&gt;=I827,0,ROUND(PV(H827/12,I827-N827,-L827),0))</f>
        <v/>
      </c>
      <c r="P827" s="40">
        <f>MIN(I827,M827)*L827-N827*L827</f>
        <v/>
      </c>
      <c r="Q827" s="41">
        <f>INDEX(DPD_Bucket,MATCH(K827,DPD_From,1))</f>
        <v/>
      </c>
      <c r="R827" s="41">
        <f>INDEX(DPD_Class,MATCH(K827,DPD_From,1))</f>
        <v/>
      </c>
      <c r="S827" s="41">
        <f>INDEX(DPD_NPA,MATCH(K827,DPD_From,1))</f>
        <v/>
      </c>
      <c r="T827" s="42">
        <f>INDEX(DPD_Prov,MATCH(K827,DPD_From,1))</f>
        <v/>
      </c>
      <c r="U827" s="40">
        <f>ROUND(O827*T827,0)</f>
        <v/>
      </c>
      <c r="V827" s="41">
        <f>INDEX(CIBIL_Grade,MATCH(J827,CIBIL_From,1))</f>
        <v/>
      </c>
      <c r="W827" s="41">
        <f>YEAR(F827)&amp;"-Q"&amp;ROUNDUP(MONTH(F827)/3,0)</f>
        <v/>
      </c>
      <c r="X827" s="41">
        <f>IF(AND(OR(Dashboard!$C$4="All",D827=Dashboard!$C$4),OR(Dashboard!$C$5="All",E827=Dashboard!$C$5)),1,0)</f>
        <v/>
      </c>
      <c r="Y827" s="43">
        <f>IF(AND(X827=1,S827="Yes"),O827+ROW()/1000000,0)</f>
        <v/>
      </c>
    </row>
    <row r="828">
      <c r="A828" s="35" t="inlineStr">
        <is>
          <t>LN100827</t>
        </is>
      </c>
      <c r="B828" s="35" t="inlineStr">
        <is>
          <t>Rohan Das</t>
        </is>
      </c>
      <c r="C828" s="35" t="inlineStr">
        <is>
          <t>DEL-01</t>
        </is>
      </c>
      <c r="D828" s="36">
        <f>INDEX(Branches!$C$2:$C$15,MATCH(C828,Branches!$A$2:$A$15,0))</f>
        <v/>
      </c>
      <c r="E828" s="35" t="inlineStr">
        <is>
          <t>Home Loan</t>
        </is>
      </c>
      <c r="F828" s="37" t="n">
        <v>45373</v>
      </c>
      <c r="G828" s="38" t="n">
        <v>11058000</v>
      </c>
      <c r="H828" s="39" t="n">
        <v>0.09569999999999999</v>
      </c>
      <c r="I828" s="35" t="n">
        <v>120</v>
      </c>
      <c r="J828" s="35" t="n">
        <v>775</v>
      </c>
      <c r="K828" s="35" t="n">
        <v>476</v>
      </c>
      <c r="L828" s="40">
        <f>ROUND(PMT(H828/12,I828,-G828),0)</f>
        <v/>
      </c>
      <c r="M828" s="41">
        <f>MAX(0,(YEAR(AsOfDate)-YEAR(F828))*12+MONTH(AsOfDate)-MONTH(F828))</f>
        <v/>
      </c>
      <c r="N828" s="41">
        <f>MAX(0,MIN(I828,M828)-INT(K828/30))</f>
        <v/>
      </c>
      <c r="O828" s="40">
        <f>IF(N828&gt;=I828,0,ROUND(PV(H828/12,I828-N828,-L828),0))</f>
        <v/>
      </c>
      <c r="P828" s="40">
        <f>MIN(I828,M828)*L828-N828*L828</f>
        <v/>
      </c>
      <c r="Q828" s="41">
        <f>INDEX(DPD_Bucket,MATCH(K828,DPD_From,1))</f>
        <v/>
      </c>
      <c r="R828" s="41">
        <f>INDEX(DPD_Class,MATCH(K828,DPD_From,1))</f>
        <v/>
      </c>
      <c r="S828" s="41">
        <f>INDEX(DPD_NPA,MATCH(K828,DPD_From,1))</f>
        <v/>
      </c>
      <c r="T828" s="42">
        <f>INDEX(DPD_Prov,MATCH(K828,DPD_From,1))</f>
        <v/>
      </c>
      <c r="U828" s="40">
        <f>ROUND(O828*T828,0)</f>
        <v/>
      </c>
      <c r="V828" s="41">
        <f>INDEX(CIBIL_Grade,MATCH(J828,CIBIL_From,1))</f>
        <v/>
      </c>
      <c r="W828" s="41">
        <f>YEAR(F828)&amp;"-Q"&amp;ROUNDUP(MONTH(F828)/3,0)</f>
        <v/>
      </c>
      <c r="X828" s="41">
        <f>IF(AND(OR(Dashboard!$C$4="All",D828=Dashboard!$C$4),OR(Dashboard!$C$5="All",E828=Dashboard!$C$5)),1,0)</f>
        <v/>
      </c>
      <c r="Y828" s="43">
        <f>IF(AND(X828=1,S828="Yes"),O828+ROW()/1000000,0)</f>
        <v/>
      </c>
    </row>
    <row r="829">
      <c r="A829" s="35" t="inlineStr">
        <is>
          <t>LN100828</t>
        </is>
      </c>
      <c r="B829" s="35" t="inlineStr">
        <is>
          <t>Riya Verma</t>
        </is>
      </c>
      <c r="C829" s="35" t="inlineStr">
        <is>
          <t>JAI-01</t>
        </is>
      </c>
      <c r="D829" s="36">
        <f>INDEX(Branches!$C$2:$C$15,MATCH(C829,Branches!$A$2:$A$15,0))</f>
        <v/>
      </c>
      <c r="E829" s="35" t="inlineStr">
        <is>
          <t>Business Loan</t>
        </is>
      </c>
      <c r="F829" s="37" t="n">
        <v>45374</v>
      </c>
      <c r="G829" s="38" t="n">
        <v>521000</v>
      </c>
      <c r="H829" s="39" t="n">
        <v>0.1841</v>
      </c>
      <c r="I829" s="35" t="n">
        <v>12</v>
      </c>
      <c r="J829" s="35" t="n">
        <v>806</v>
      </c>
      <c r="K829" s="35" t="n">
        <v>0</v>
      </c>
      <c r="L829" s="40">
        <f>ROUND(PMT(H829/12,I829,-G829),0)</f>
        <v/>
      </c>
      <c r="M829" s="41">
        <f>MAX(0,(YEAR(AsOfDate)-YEAR(F829))*12+MONTH(AsOfDate)-MONTH(F829))</f>
        <v/>
      </c>
      <c r="N829" s="41">
        <f>MAX(0,MIN(I829,M829)-INT(K829/30))</f>
        <v/>
      </c>
      <c r="O829" s="40">
        <f>IF(N829&gt;=I829,0,ROUND(PV(H829/12,I829-N829,-L829),0))</f>
        <v/>
      </c>
      <c r="P829" s="40">
        <f>MIN(I829,M829)*L829-N829*L829</f>
        <v/>
      </c>
      <c r="Q829" s="41">
        <f>INDEX(DPD_Bucket,MATCH(K829,DPD_From,1))</f>
        <v/>
      </c>
      <c r="R829" s="41">
        <f>INDEX(DPD_Class,MATCH(K829,DPD_From,1))</f>
        <v/>
      </c>
      <c r="S829" s="41">
        <f>INDEX(DPD_NPA,MATCH(K829,DPD_From,1))</f>
        <v/>
      </c>
      <c r="T829" s="42">
        <f>INDEX(DPD_Prov,MATCH(K829,DPD_From,1))</f>
        <v/>
      </c>
      <c r="U829" s="40">
        <f>ROUND(O829*T829,0)</f>
        <v/>
      </c>
      <c r="V829" s="41">
        <f>INDEX(CIBIL_Grade,MATCH(J829,CIBIL_From,1))</f>
        <v/>
      </c>
      <c r="W829" s="41">
        <f>YEAR(F829)&amp;"-Q"&amp;ROUNDUP(MONTH(F829)/3,0)</f>
        <v/>
      </c>
      <c r="X829" s="41">
        <f>IF(AND(OR(Dashboard!$C$4="All",D829=Dashboard!$C$4),OR(Dashboard!$C$5="All",E829=Dashboard!$C$5)),1,0)</f>
        <v/>
      </c>
      <c r="Y829" s="43">
        <f>IF(AND(X829=1,S829="Yes"),O829+ROW()/1000000,0)</f>
        <v/>
      </c>
    </row>
    <row r="830">
      <c r="A830" s="35" t="inlineStr">
        <is>
          <t>LN100829</t>
        </is>
      </c>
      <c r="B830" s="35" t="inlineStr">
        <is>
          <t>Tanvi Patel</t>
        </is>
      </c>
      <c r="C830" s="35" t="inlineStr">
        <is>
          <t>BBS-01</t>
        </is>
      </c>
      <c r="D830" s="36">
        <f>INDEX(Branches!$C$2:$C$15,MATCH(C830,Branches!$A$2:$A$15,0))</f>
        <v/>
      </c>
      <c r="E830" s="35" t="inlineStr">
        <is>
          <t>Business Loan</t>
        </is>
      </c>
      <c r="F830" s="37" t="n">
        <v>45406</v>
      </c>
      <c r="G830" s="38" t="n">
        <v>1252000</v>
      </c>
      <c r="H830" s="39" t="n">
        <v>0.1591</v>
      </c>
      <c r="I830" s="35" t="n">
        <v>24</v>
      </c>
      <c r="J830" s="35" t="n">
        <v>765</v>
      </c>
      <c r="K830" s="35" t="n">
        <v>0</v>
      </c>
      <c r="L830" s="40">
        <f>ROUND(PMT(H830/12,I830,-G830),0)</f>
        <v/>
      </c>
      <c r="M830" s="41">
        <f>MAX(0,(YEAR(AsOfDate)-YEAR(F830))*12+MONTH(AsOfDate)-MONTH(F830))</f>
        <v/>
      </c>
      <c r="N830" s="41">
        <f>MAX(0,MIN(I830,M830)-INT(K830/30))</f>
        <v/>
      </c>
      <c r="O830" s="40">
        <f>IF(N830&gt;=I830,0,ROUND(PV(H830/12,I830-N830,-L830),0))</f>
        <v/>
      </c>
      <c r="P830" s="40">
        <f>MIN(I830,M830)*L830-N830*L830</f>
        <v/>
      </c>
      <c r="Q830" s="41">
        <f>INDEX(DPD_Bucket,MATCH(K830,DPD_From,1))</f>
        <v/>
      </c>
      <c r="R830" s="41">
        <f>INDEX(DPD_Class,MATCH(K830,DPD_From,1))</f>
        <v/>
      </c>
      <c r="S830" s="41">
        <f>INDEX(DPD_NPA,MATCH(K830,DPD_From,1))</f>
        <v/>
      </c>
      <c r="T830" s="42">
        <f>INDEX(DPD_Prov,MATCH(K830,DPD_From,1))</f>
        <v/>
      </c>
      <c r="U830" s="40">
        <f>ROUND(O830*T830,0)</f>
        <v/>
      </c>
      <c r="V830" s="41">
        <f>INDEX(CIBIL_Grade,MATCH(J830,CIBIL_From,1))</f>
        <v/>
      </c>
      <c r="W830" s="41">
        <f>YEAR(F830)&amp;"-Q"&amp;ROUNDUP(MONTH(F830)/3,0)</f>
        <v/>
      </c>
      <c r="X830" s="41">
        <f>IF(AND(OR(Dashboard!$C$4="All",D830=Dashboard!$C$4),OR(Dashboard!$C$5="All",E830=Dashboard!$C$5)),1,0)</f>
        <v/>
      </c>
      <c r="Y830" s="43">
        <f>IF(AND(X830=1,S830="Yes"),O830+ROW()/1000000,0)</f>
        <v/>
      </c>
    </row>
    <row r="831">
      <c r="A831" s="35" t="inlineStr">
        <is>
          <t>LN100830</t>
        </is>
      </c>
      <c r="B831" s="35" t="inlineStr">
        <is>
          <t>Ishaan Sahoo</t>
        </is>
      </c>
      <c r="C831" s="35" t="inlineStr">
        <is>
          <t>KOC-01</t>
        </is>
      </c>
      <c r="D831" s="36">
        <f>INDEX(Branches!$C$2:$C$15,MATCH(C831,Branches!$A$2:$A$15,0))</f>
        <v/>
      </c>
      <c r="E831" s="35" t="inlineStr">
        <is>
          <t>Home Loan</t>
        </is>
      </c>
      <c r="F831" s="37" t="n">
        <v>45513</v>
      </c>
      <c r="G831" s="38" t="n">
        <v>14146000</v>
      </c>
      <c r="H831" s="39" t="n">
        <v>0.0895</v>
      </c>
      <c r="I831" s="35" t="n">
        <v>180</v>
      </c>
      <c r="J831" s="35" t="n">
        <v>715</v>
      </c>
      <c r="K831" s="35" t="n">
        <v>0</v>
      </c>
      <c r="L831" s="40">
        <f>ROUND(PMT(H831/12,I831,-G831),0)</f>
        <v/>
      </c>
      <c r="M831" s="41">
        <f>MAX(0,(YEAR(AsOfDate)-YEAR(F831))*12+MONTH(AsOfDate)-MONTH(F831))</f>
        <v/>
      </c>
      <c r="N831" s="41">
        <f>MAX(0,MIN(I831,M831)-INT(K831/30))</f>
        <v/>
      </c>
      <c r="O831" s="40">
        <f>IF(N831&gt;=I831,0,ROUND(PV(H831/12,I831-N831,-L831),0))</f>
        <v/>
      </c>
      <c r="P831" s="40">
        <f>MIN(I831,M831)*L831-N831*L831</f>
        <v/>
      </c>
      <c r="Q831" s="41">
        <f>INDEX(DPD_Bucket,MATCH(K831,DPD_From,1))</f>
        <v/>
      </c>
      <c r="R831" s="41">
        <f>INDEX(DPD_Class,MATCH(K831,DPD_From,1))</f>
        <v/>
      </c>
      <c r="S831" s="41">
        <f>INDEX(DPD_NPA,MATCH(K831,DPD_From,1))</f>
        <v/>
      </c>
      <c r="T831" s="42">
        <f>INDEX(DPD_Prov,MATCH(K831,DPD_From,1))</f>
        <v/>
      </c>
      <c r="U831" s="40">
        <f>ROUND(O831*T831,0)</f>
        <v/>
      </c>
      <c r="V831" s="41">
        <f>INDEX(CIBIL_Grade,MATCH(J831,CIBIL_From,1))</f>
        <v/>
      </c>
      <c r="W831" s="41">
        <f>YEAR(F831)&amp;"-Q"&amp;ROUNDUP(MONTH(F831)/3,0)</f>
        <v/>
      </c>
      <c r="X831" s="41">
        <f>IF(AND(OR(Dashboard!$C$4="All",D831=Dashboard!$C$4),OR(Dashboard!$C$5="All",E831=Dashboard!$C$5)),1,0)</f>
        <v/>
      </c>
      <c r="Y831" s="43">
        <f>IF(AND(X831=1,S831="Yes"),O831+ROW()/1000000,0)</f>
        <v/>
      </c>
    </row>
    <row r="832">
      <c r="A832" s="35" t="inlineStr">
        <is>
          <t>LN100831</t>
        </is>
      </c>
      <c r="B832" s="35" t="inlineStr">
        <is>
          <t>Deepa Gupta</t>
        </is>
      </c>
      <c r="C832" s="35" t="inlineStr">
        <is>
          <t>KOL-01</t>
        </is>
      </c>
      <c r="D832" s="36">
        <f>INDEX(Branches!$C$2:$C$15,MATCH(C832,Branches!$A$2:$A$15,0))</f>
        <v/>
      </c>
      <c r="E832" s="35" t="inlineStr">
        <is>
          <t>Personal Loan</t>
        </is>
      </c>
      <c r="F832" s="37" t="n">
        <v>45736</v>
      </c>
      <c r="G832" s="38" t="n">
        <v>973000</v>
      </c>
      <c r="H832" s="39" t="n">
        <v>0.1083</v>
      </c>
      <c r="I832" s="35" t="n">
        <v>24</v>
      </c>
      <c r="J832" s="35" t="n">
        <v>773</v>
      </c>
      <c r="K832" s="35" t="n">
        <v>21</v>
      </c>
      <c r="L832" s="40">
        <f>ROUND(PMT(H832/12,I832,-G832),0)</f>
        <v/>
      </c>
      <c r="M832" s="41">
        <f>MAX(0,(YEAR(AsOfDate)-YEAR(F832))*12+MONTH(AsOfDate)-MONTH(F832))</f>
        <v/>
      </c>
      <c r="N832" s="41">
        <f>MAX(0,MIN(I832,M832)-INT(K832/30))</f>
        <v/>
      </c>
      <c r="O832" s="40">
        <f>IF(N832&gt;=I832,0,ROUND(PV(H832/12,I832-N832,-L832),0))</f>
        <v/>
      </c>
      <c r="P832" s="40">
        <f>MIN(I832,M832)*L832-N832*L832</f>
        <v/>
      </c>
      <c r="Q832" s="41">
        <f>INDEX(DPD_Bucket,MATCH(K832,DPD_From,1))</f>
        <v/>
      </c>
      <c r="R832" s="41">
        <f>INDEX(DPD_Class,MATCH(K832,DPD_From,1))</f>
        <v/>
      </c>
      <c r="S832" s="41">
        <f>INDEX(DPD_NPA,MATCH(K832,DPD_From,1))</f>
        <v/>
      </c>
      <c r="T832" s="42">
        <f>INDEX(DPD_Prov,MATCH(K832,DPD_From,1))</f>
        <v/>
      </c>
      <c r="U832" s="40">
        <f>ROUND(O832*T832,0)</f>
        <v/>
      </c>
      <c r="V832" s="41">
        <f>INDEX(CIBIL_Grade,MATCH(J832,CIBIL_From,1))</f>
        <v/>
      </c>
      <c r="W832" s="41">
        <f>YEAR(F832)&amp;"-Q"&amp;ROUNDUP(MONTH(F832)/3,0)</f>
        <v/>
      </c>
      <c r="X832" s="41">
        <f>IF(AND(OR(Dashboard!$C$4="All",D832=Dashboard!$C$4),OR(Dashboard!$C$5="All",E832=Dashboard!$C$5)),1,0)</f>
        <v/>
      </c>
      <c r="Y832" s="43">
        <f>IF(AND(X832=1,S832="Yes"),O832+ROW()/1000000,0)</f>
        <v/>
      </c>
    </row>
    <row r="833">
      <c r="A833" s="35" t="inlineStr">
        <is>
          <t>LN100832</t>
        </is>
      </c>
      <c r="B833" s="35" t="inlineStr">
        <is>
          <t>Pooja Nair</t>
        </is>
      </c>
      <c r="C833" s="35" t="inlineStr">
        <is>
          <t>BBS-01</t>
        </is>
      </c>
      <c r="D833" s="36">
        <f>INDEX(Branches!$C$2:$C$15,MATCH(C833,Branches!$A$2:$A$15,0))</f>
        <v/>
      </c>
      <c r="E833" s="35" t="inlineStr">
        <is>
          <t>Gold Loan</t>
        </is>
      </c>
      <c r="F833" s="37" t="n">
        <v>45556</v>
      </c>
      <c r="G833" s="38" t="n">
        <v>291000</v>
      </c>
      <c r="H833" s="39" t="n">
        <v>0.1197</v>
      </c>
      <c r="I833" s="35" t="n">
        <v>12</v>
      </c>
      <c r="J833" s="35" t="n">
        <v>765</v>
      </c>
      <c r="K833" s="35" t="n">
        <v>0</v>
      </c>
      <c r="L833" s="40">
        <f>ROUND(PMT(H833/12,I833,-G833),0)</f>
        <v/>
      </c>
      <c r="M833" s="41">
        <f>MAX(0,(YEAR(AsOfDate)-YEAR(F833))*12+MONTH(AsOfDate)-MONTH(F833))</f>
        <v/>
      </c>
      <c r="N833" s="41">
        <f>MAX(0,MIN(I833,M833)-INT(K833/30))</f>
        <v/>
      </c>
      <c r="O833" s="40">
        <f>IF(N833&gt;=I833,0,ROUND(PV(H833/12,I833-N833,-L833),0))</f>
        <v/>
      </c>
      <c r="P833" s="40">
        <f>MIN(I833,M833)*L833-N833*L833</f>
        <v/>
      </c>
      <c r="Q833" s="41">
        <f>INDEX(DPD_Bucket,MATCH(K833,DPD_From,1))</f>
        <v/>
      </c>
      <c r="R833" s="41">
        <f>INDEX(DPD_Class,MATCH(K833,DPD_From,1))</f>
        <v/>
      </c>
      <c r="S833" s="41">
        <f>INDEX(DPD_NPA,MATCH(K833,DPD_From,1))</f>
        <v/>
      </c>
      <c r="T833" s="42">
        <f>INDEX(DPD_Prov,MATCH(K833,DPD_From,1))</f>
        <v/>
      </c>
      <c r="U833" s="40">
        <f>ROUND(O833*T833,0)</f>
        <v/>
      </c>
      <c r="V833" s="41">
        <f>INDEX(CIBIL_Grade,MATCH(J833,CIBIL_From,1))</f>
        <v/>
      </c>
      <c r="W833" s="41">
        <f>YEAR(F833)&amp;"-Q"&amp;ROUNDUP(MONTH(F833)/3,0)</f>
        <v/>
      </c>
      <c r="X833" s="41">
        <f>IF(AND(OR(Dashboard!$C$4="All",D833=Dashboard!$C$4),OR(Dashboard!$C$5="All",E833=Dashboard!$C$5)),1,0)</f>
        <v/>
      </c>
      <c r="Y833" s="43">
        <f>IF(AND(X833=1,S833="Yes"),O833+ROW()/1000000,0)</f>
        <v/>
      </c>
    </row>
    <row r="834">
      <c r="A834" s="35" t="inlineStr">
        <is>
          <t>LN100833</t>
        </is>
      </c>
      <c r="B834" s="35" t="inlineStr">
        <is>
          <t>Farhan Banerjee</t>
        </is>
      </c>
      <c r="C834" s="35" t="inlineStr">
        <is>
          <t>KOL-01</t>
        </is>
      </c>
      <c r="D834" s="36">
        <f>INDEX(Branches!$C$2:$C$15,MATCH(C834,Branches!$A$2:$A$15,0))</f>
        <v/>
      </c>
      <c r="E834" s="35" t="inlineStr">
        <is>
          <t>Business Loan</t>
        </is>
      </c>
      <c r="F834" s="37" t="n">
        <v>45658</v>
      </c>
      <c r="G834" s="38" t="n">
        <v>4660000</v>
      </c>
      <c r="H834" s="39" t="n">
        <v>0.184</v>
      </c>
      <c r="I834" s="35" t="n">
        <v>24</v>
      </c>
      <c r="J834" s="35" t="n">
        <v>806</v>
      </c>
      <c r="K834" s="35" t="n">
        <v>0</v>
      </c>
      <c r="L834" s="40">
        <f>ROUND(PMT(H834/12,I834,-G834),0)</f>
        <v/>
      </c>
      <c r="M834" s="41">
        <f>MAX(0,(YEAR(AsOfDate)-YEAR(F834))*12+MONTH(AsOfDate)-MONTH(F834))</f>
        <v/>
      </c>
      <c r="N834" s="41">
        <f>MAX(0,MIN(I834,M834)-INT(K834/30))</f>
        <v/>
      </c>
      <c r="O834" s="40">
        <f>IF(N834&gt;=I834,0,ROUND(PV(H834/12,I834-N834,-L834),0))</f>
        <v/>
      </c>
      <c r="P834" s="40">
        <f>MIN(I834,M834)*L834-N834*L834</f>
        <v/>
      </c>
      <c r="Q834" s="41">
        <f>INDEX(DPD_Bucket,MATCH(K834,DPD_From,1))</f>
        <v/>
      </c>
      <c r="R834" s="41">
        <f>INDEX(DPD_Class,MATCH(K834,DPD_From,1))</f>
        <v/>
      </c>
      <c r="S834" s="41">
        <f>INDEX(DPD_NPA,MATCH(K834,DPD_From,1))</f>
        <v/>
      </c>
      <c r="T834" s="42">
        <f>INDEX(DPD_Prov,MATCH(K834,DPD_From,1))</f>
        <v/>
      </c>
      <c r="U834" s="40">
        <f>ROUND(O834*T834,0)</f>
        <v/>
      </c>
      <c r="V834" s="41">
        <f>INDEX(CIBIL_Grade,MATCH(J834,CIBIL_From,1))</f>
        <v/>
      </c>
      <c r="W834" s="41">
        <f>YEAR(F834)&amp;"-Q"&amp;ROUNDUP(MONTH(F834)/3,0)</f>
        <v/>
      </c>
      <c r="X834" s="41">
        <f>IF(AND(OR(Dashboard!$C$4="All",D834=Dashboard!$C$4),OR(Dashboard!$C$5="All",E834=Dashboard!$C$5)),1,0)</f>
        <v/>
      </c>
      <c r="Y834" s="43">
        <f>IF(AND(X834=1,S834="Yes"),O834+ROW()/1000000,0)</f>
        <v/>
      </c>
    </row>
    <row r="835">
      <c r="A835" s="35" t="inlineStr">
        <is>
          <t>LN100834</t>
        </is>
      </c>
      <c r="B835" s="35" t="inlineStr">
        <is>
          <t>Deepa Pillai</t>
        </is>
      </c>
      <c r="C835" s="35" t="inlineStr">
        <is>
          <t>CHN-01</t>
        </is>
      </c>
      <c r="D835" s="36">
        <f>INDEX(Branches!$C$2:$C$15,MATCH(C835,Branches!$A$2:$A$15,0))</f>
        <v/>
      </c>
      <c r="E835" s="35" t="inlineStr">
        <is>
          <t>Home Loan</t>
        </is>
      </c>
      <c r="F835" s="37" t="n">
        <v>45522</v>
      </c>
      <c r="G835" s="38" t="n">
        <v>6356000</v>
      </c>
      <c r="H835" s="39" t="n">
        <v>0.0925</v>
      </c>
      <c r="I835" s="35" t="n">
        <v>120</v>
      </c>
      <c r="J835" s="35" t="n">
        <v>716</v>
      </c>
      <c r="K835" s="35" t="n">
        <v>0</v>
      </c>
      <c r="L835" s="40">
        <f>ROUND(PMT(H835/12,I835,-G835),0)</f>
        <v/>
      </c>
      <c r="M835" s="41">
        <f>MAX(0,(YEAR(AsOfDate)-YEAR(F835))*12+MONTH(AsOfDate)-MONTH(F835))</f>
        <v/>
      </c>
      <c r="N835" s="41">
        <f>MAX(0,MIN(I835,M835)-INT(K835/30))</f>
        <v/>
      </c>
      <c r="O835" s="40">
        <f>IF(N835&gt;=I835,0,ROUND(PV(H835/12,I835-N835,-L835),0))</f>
        <v/>
      </c>
      <c r="P835" s="40">
        <f>MIN(I835,M835)*L835-N835*L835</f>
        <v/>
      </c>
      <c r="Q835" s="41">
        <f>INDEX(DPD_Bucket,MATCH(K835,DPD_From,1))</f>
        <v/>
      </c>
      <c r="R835" s="41">
        <f>INDEX(DPD_Class,MATCH(K835,DPD_From,1))</f>
        <v/>
      </c>
      <c r="S835" s="41">
        <f>INDEX(DPD_NPA,MATCH(K835,DPD_From,1))</f>
        <v/>
      </c>
      <c r="T835" s="42">
        <f>INDEX(DPD_Prov,MATCH(K835,DPD_From,1))</f>
        <v/>
      </c>
      <c r="U835" s="40">
        <f>ROUND(O835*T835,0)</f>
        <v/>
      </c>
      <c r="V835" s="41">
        <f>INDEX(CIBIL_Grade,MATCH(J835,CIBIL_From,1))</f>
        <v/>
      </c>
      <c r="W835" s="41">
        <f>YEAR(F835)&amp;"-Q"&amp;ROUNDUP(MONTH(F835)/3,0)</f>
        <v/>
      </c>
      <c r="X835" s="41">
        <f>IF(AND(OR(Dashboard!$C$4="All",D835=Dashboard!$C$4),OR(Dashboard!$C$5="All",E835=Dashboard!$C$5)),1,0)</f>
        <v/>
      </c>
      <c r="Y835" s="43">
        <f>IF(AND(X835=1,S835="Yes"),O835+ROW()/1000000,0)</f>
        <v/>
      </c>
    </row>
    <row r="836">
      <c r="A836" s="35" t="inlineStr">
        <is>
          <t>LN100835</t>
        </is>
      </c>
      <c r="B836" s="35" t="inlineStr">
        <is>
          <t>Aarav Mohanty</t>
        </is>
      </c>
      <c r="C836" s="35" t="inlineStr">
        <is>
          <t>BLR-01</t>
        </is>
      </c>
      <c r="D836" s="36">
        <f>INDEX(Branches!$C$2:$C$15,MATCH(C836,Branches!$A$2:$A$15,0))</f>
        <v/>
      </c>
      <c r="E836" s="35" t="inlineStr">
        <is>
          <t>Personal Loan</t>
        </is>
      </c>
      <c r="F836" s="37" t="n">
        <v>45127</v>
      </c>
      <c r="G836" s="38" t="n">
        <v>963000</v>
      </c>
      <c r="H836" s="39" t="n">
        <v>0.1723</v>
      </c>
      <c r="I836" s="35" t="n">
        <v>48</v>
      </c>
      <c r="J836" s="35" t="n">
        <v>709</v>
      </c>
      <c r="K836" s="35" t="n">
        <v>0</v>
      </c>
      <c r="L836" s="40">
        <f>ROUND(PMT(H836/12,I836,-G836),0)</f>
        <v/>
      </c>
      <c r="M836" s="41">
        <f>MAX(0,(YEAR(AsOfDate)-YEAR(F836))*12+MONTH(AsOfDate)-MONTH(F836))</f>
        <v/>
      </c>
      <c r="N836" s="41">
        <f>MAX(0,MIN(I836,M836)-INT(K836/30))</f>
        <v/>
      </c>
      <c r="O836" s="40">
        <f>IF(N836&gt;=I836,0,ROUND(PV(H836/12,I836-N836,-L836),0))</f>
        <v/>
      </c>
      <c r="P836" s="40">
        <f>MIN(I836,M836)*L836-N836*L836</f>
        <v/>
      </c>
      <c r="Q836" s="41">
        <f>INDEX(DPD_Bucket,MATCH(K836,DPD_From,1))</f>
        <v/>
      </c>
      <c r="R836" s="41">
        <f>INDEX(DPD_Class,MATCH(K836,DPD_From,1))</f>
        <v/>
      </c>
      <c r="S836" s="41">
        <f>INDEX(DPD_NPA,MATCH(K836,DPD_From,1))</f>
        <v/>
      </c>
      <c r="T836" s="42">
        <f>INDEX(DPD_Prov,MATCH(K836,DPD_From,1))</f>
        <v/>
      </c>
      <c r="U836" s="40">
        <f>ROUND(O836*T836,0)</f>
        <v/>
      </c>
      <c r="V836" s="41">
        <f>INDEX(CIBIL_Grade,MATCH(J836,CIBIL_From,1))</f>
        <v/>
      </c>
      <c r="W836" s="41">
        <f>YEAR(F836)&amp;"-Q"&amp;ROUNDUP(MONTH(F836)/3,0)</f>
        <v/>
      </c>
      <c r="X836" s="41">
        <f>IF(AND(OR(Dashboard!$C$4="All",D836=Dashboard!$C$4),OR(Dashboard!$C$5="All",E836=Dashboard!$C$5)),1,0)</f>
        <v/>
      </c>
      <c r="Y836" s="43">
        <f>IF(AND(X836=1,S836="Yes"),O836+ROW()/1000000,0)</f>
        <v/>
      </c>
    </row>
    <row r="837">
      <c r="A837" s="35" t="inlineStr">
        <is>
          <t>LN100836</t>
        </is>
      </c>
      <c r="B837" s="35" t="inlineStr">
        <is>
          <t>Vivaan Reddy</t>
        </is>
      </c>
      <c r="C837" s="35" t="inlineStr">
        <is>
          <t>PUN-01</t>
        </is>
      </c>
      <c r="D837" s="36">
        <f>INDEX(Branches!$C$2:$C$15,MATCH(C837,Branches!$A$2:$A$15,0))</f>
        <v/>
      </c>
      <c r="E837" s="35" t="inlineStr">
        <is>
          <t>Auto Loan</t>
        </is>
      </c>
      <c r="F837" s="37" t="n">
        <v>45675</v>
      </c>
      <c r="G837" s="38" t="n">
        <v>1198000</v>
      </c>
      <c r="H837" s="39" t="n">
        <v>0.0953</v>
      </c>
      <c r="I837" s="35" t="n">
        <v>84</v>
      </c>
      <c r="J837" s="35" t="n">
        <v>704</v>
      </c>
      <c r="K837" s="35" t="n">
        <v>0</v>
      </c>
      <c r="L837" s="40">
        <f>ROUND(PMT(H837/12,I837,-G837),0)</f>
        <v/>
      </c>
      <c r="M837" s="41">
        <f>MAX(0,(YEAR(AsOfDate)-YEAR(F837))*12+MONTH(AsOfDate)-MONTH(F837))</f>
        <v/>
      </c>
      <c r="N837" s="41">
        <f>MAX(0,MIN(I837,M837)-INT(K837/30))</f>
        <v/>
      </c>
      <c r="O837" s="40">
        <f>IF(N837&gt;=I837,0,ROUND(PV(H837/12,I837-N837,-L837),0))</f>
        <v/>
      </c>
      <c r="P837" s="40">
        <f>MIN(I837,M837)*L837-N837*L837</f>
        <v/>
      </c>
      <c r="Q837" s="41">
        <f>INDEX(DPD_Bucket,MATCH(K837,DPD_From,1))</f>
        <v/>
      </c>
      <c r="R837" s="41">
        <f>INDEX(DPD_Class,MATCH(K837,DPD_From,1))</f>
        <v/>
      </c>
      <c r="S837" s="41">
        <f>INDEX(DPD_NPA,MATCH(K837,DPD_From,1))</f>
        <v/>
      </c>
      <c r="T837" s="42">
        <f>INDEX(DPD_Prov,MATCH(K837,DPD_From,1))</f>
        <v/>
      </c>
      <c r="U837" s="40">
        <f>ROUND(O837*T837,0)</f>
        <v/>
      </c>
      <c r="V837" s="41">
        <f>INDEX(CIBIL_Grade,MATCH(J837,CIBIL_From,1))</f>
        <v/>
      </c>
      <c r="W837" s="41">
        <f>YEAR(F837)&amp;"-Q"&amp;ROUNDUP(MONTH(F837)/3,0)</f>
        <v/>
      </c>
      <c r="X837" s="41">
        <f>IF(AND(OR(Dashboard!$C$4="All",D837=Dashboard!$C$4),OR(Dashboard!$C$5="All",E837=Dashboard!$C$5)),1,0)</f>
        <v/>
      </c>
      <c r="Y837" s="43">
        <f>IF(AND(X837=1,S837="Yes"),O837+ROW()/1000000,0)</f>
        <v/>
      </c>
    </row>
    <row r="838">
      <c r="A838" s="35" t="inlineStr">
        <is>
          <t>LN100837</t>
        </is>
      </c>
      <c r="B838" s="35" t="inlineStr">
        <is>
          <t>Zoya Rao</t>
        </is>
      </c>
      <c r="C838" s="35" t="inlineStr">
        <is>
          <t>HYD-01</t>
        </is>
      </c>
      <c r="D838" s="36">
        <f>INDEX(Branches!$C$2:$C$15,MATCH(C838,Branches!$A$2:$A$15,0))</f>
        <v/>
      </c>
      <c r="E838" s="35" t="inlineStr">
        <is>
          <t>Auto Loan</t>
        </is>
      </c>
      <c r="F838" s="37" t="n">
        <v>45686</v>
      </c>
      <c r="G838" s="38" t="n">
        <v>845000</v>
      </c>
      <c r="H838" s="39" t="n">
        <v>0.109</v>
      </c>
      <c r="I838" s="35" t="n">
        <v>36</v>
      </c>
      <c r="J838" s="35" t="n">
        <v>800</v>
      </c>
      <c r="K838" s="35" t="n">
        <v>0</v>
      </c>
      <c r="L838" s="40">
        <f>ROUND(PMT(H838/12,I838,-G838),0)</f>
        <v/>
      </c>
      <c r="M838" s="41">
        <f>MAX(0,(YEAR(AsOfDate)-YEAR(F838))*12+MONTH(AsOfDate)-MONTH(F838))</f>
        <v/>
      </c>
      <c r="N838" s="41">
        <f>MAX(0,MIN(I838,M838)-INT(K838/30))</f>
        <v/>
      </c>
      <c r="O838" s="40">
        <f>IF(N838&gt;=I838,0,ROUND(PV(H838/12,I838-N838,-L838),0))</f>
        <v/>
      </c>
      <c r="P838" s="40">
        <f>MIN(I838,M838)*L838-N838*L838</f>
        <v/>
      </c>
      <c r="Q838" s="41">
        <f>INDEX(DPD_Bucket,MATCH(K838,DPD_From,1))</f>
        <v/>
      </c>
      <c r="R838" s="41">
        <f>INDEX(DPD_Class,MATCH(K838,DPD_From,1))</f>
        <v/>
      </c>
      <c r="S838" s="41">
        <f>INDEX(DPD_NPA,MATCH(K838,DPD_From,1))</f>
        <v/>
      </c>
      <c r="T838" s="42">
        <f>INDEX(DPD_Prov,MATCH(K838,DPD_From,1))</f>
        <v/>
      </c>
      <c r="U838" s="40">
        <f>ROUND(O838*T838,0)</f>
        <v/>
      </c>
      <c r="V838" s="41">
        <f>INDEX(CIBIL_Grade,MATCH(J838,CIBIL_From,1))</f>
        <v/>
      </c>
      <c r="W838" s="41">
        <f>YEAR(F838)&amp;"-Q"&amp;ROUNDUP(MONTH(F838)/3,0)</f>
        <v/>
      </c>
      <c r="X838" s="41">
        <f>IF(AND(OR(Dashboard!$C$4="All",D838=Dashboard!$C$4),OR(Dashboard!$C$5="All",E838=Dashboard!$C$5)),1,0)</f>
        <v/>
      </c>
      <c r="Y838" s="43">
        <f>IF(AND(X838=1,S838="Yes"),O838+ROW()/1000000,0)</f>
        <v/>
      </c>
    </row>
    <row r="839">
      <c r="A839" s="35" t="inlineStr">
        <is>
          <t>LN100838</t>
        </is>
      </c>
      <c r="B839" s="35" t="inlineStr">
        <is>
          <t>Kabir Rao</t>
        </is>
      </c>
      <c r="C839" s="35" t="inlineStr">
        <is>
          <t>PUN-01</t>
        </is>
      </c>
      <c r="D839" s="36">
        <f>INDEX(Branches!$C$2:$C$15,MATCH(C839,Branches!$A$2:$A$15,0))</f>
        <v/>
      </c>
      <c r="E839" s="35" t="inlineStr">
        <is>
          <t>Business Loan</t>
        </is>
      </c>
      <c r="F839" s="37" t="n">
        <v>45583</v>
      </c>
      <c r="G839" s="38" t="n">
        <v>1590000</v>
      </c>
      <c r="H839" s="39" t="n">
        <v>0.1678</v>
      </c>
      <c r="I839" s="35" t="n">
        <v>60</v>
      </c>
      <c r="J839" s="35" t="n">
        <v>700</v>
      </c>
      <c r="K839" s="35" t="n">
        <v>0</v>
      </c>
      <c r="L839" s="40">
        <f>ROUND(PMT(H839/12,I839,-G839),0)</f>
        <v/>
      </c>
      <c r="M839" s="41">
        <f>MAX(0,(YEAR(AsOfDate)-YEAR(F839))*12+MONTH(AsOfDate)-MONTH(F839))</f>
        <v/>
      </c>
      <c r="N839" s="41">
        <f>MAX(0,MIN(I839,M839)-INT(K839/30))</f>
        <v/>
      </c>
      <c r="O839" s="40">
        <f>IF(N839&gt;=I839,0,ROUND(PV(H839/12,I839-N839,-L839),0))</f>
        <v/>
      </c>
      <c r="P839" s="40">
        <f>MIN(I839,M839)*L839-N839*L839</f>
        <v/>
      </c>
      <c r="Q839" s="41">
        <f>INDEX(DPD_Bucket,MATCH(K839,DPD_From,1))</f>
        <v/>
      </c>
      <c r="R839" s="41">
        <f>INDEX(DPD_Class,MATCH(K839,DPD_From,1))</f>
        <v/>
      </c>
      <c r="S839" s="41">
        <f>INDEX(DPD_NPA,MATCH(K839,DPD_From,1))</f>
        <v/>
      </c>
      <c r="T839" s="42">
        <f>INDEX(DPD_Prov,MATCH(K839,DPD_From,1))</f>
        <v/>
      </c>
      <c r="U839" s="40">
        <f>ROUND(O839*T839,0)</f>
        <v/>
      </c>
      <c r="V839" s="41">
        <f>INDEX(CIBIL_Grade,MATCH(J839,CIBIL_From,1))</f>
        <v/>
      </c>
      <c r="W839" s="41">
        <f>YEAR(F839)&amp;"-Q"&amp;ROUNDUP(MONTH(F839)/3,0)</f>
        <v/>
      </c>
      <c r="X839" s="41">
        <f>IF(AND(OR(Dashboard!$C$4="All",D839=Dashboard!$C$4),OR(Dashboard!$C$5="All",E839=Dashboard!$C$5)),1,0)</f>
        <v/>
      </c>
      <c r="Y839" s="43">
        <f>IF(AND(X839=1,S839="Yes"),O839+ROW()/1000000,0)</f>
        <v/>
      </c>
    </row>
    <row r="840">
      <c r="A840" s="35" t="inlineStr">
        <is>
          <t>LN100839</t>
        </is>
      </c>
      <c r="B840" s="35" t="inlineStr">
        <is>
          <t>Riya Sharma</t>
        </is>
      </c>
      <c r="C840" s="35" t="inlineStr">
        <is>
          <t>CHN-01</t>
        </is>
      </c>
      <c r="D840" s="36">
        <f>INDEX(Branches!$C$2:$C$15,MATCH(C840,Branches!$A$2:$A$15,0))</f>
        <v/>
      </c>
      <c r="E840" s="35" t="inlineStr">
        <is>
          <t>Gold Loan</t>
        </is>
      </c>
      <c r="F840" s="37" t="n">
        <v>45718</v>
      </c>
      <c r="G840" s="38" t="n">
        <v>441000</v>
      </c>
      <c r="H840" s="39" t="n">
        <v>0.0921</v>
      </c>
      <c r="I840" s="35" t="n">
        <v>6</v>
      </c>
      <c r="J840" s="35" t="n">
        <v>693</v>
      </c>
      <c r="K840" s="35" t="n">
        <v>0</v>
      </c>
      <c r="L840" s="40">
        <f>ROUND(PMT(H840/12,I840,-G840),0)</f>
        <v/>
      </c>
      <c r="M840" s="41">
        <f>MAX(0,(YEAR(AsOfDate)-YEAR(F840))*12+MONTH(AsOfDate)-MONTH(F840))</f>
        <v/>
      </c>
      <c r="N840" s="41">
        <f>MAX(0,MIN(I840,M840)-INT(K840/30))</f>
        <v/>
      </c>
      <c r="O840" s="40">
        <f>IF(N840&gt;=I840,0,ROUND(PV(H840/12,I840-N840,-L840),0))</f>
        <v/>
      </c>
      <c r="P840" s="40">
        <f>MIN(I840,M840)*L840-N840*L840</f>
        <v/>
      </c>
      <c r="Q840" s="41">
        <f>INDEX(DPD_Bucket,MATCH(K840,DPD_From,1))</f>
        <v/>
      </c>
      <c r="R840" s="41">
        <f>INDEX(DPD_Class,MATCH(K840,DPD_From,1))</f>
        <v/>
      </c>
      <c r="S840" s="41">
        <f>INDEX(DPD_NPA,MATCH(K840,DPD_From,1))</f>
        <v/>
      </c>
      <c r="T840" s="42">
        <f>INDEX(DPD_Prov,MATCH(K840,DPD_From,1))</f>
        <v/>
      </c>
      <c r="U840" s="40">
        <f>ROUND(O840*T840,0)</f>
        <v/>
      </c>
      <c r="V840" s="41">
        <f>INDEX(CIBIL_Grade,MATCH(J840,CIBIL_From,1))</f>
        <v/>
      </c>
      <c r="W840" s="41">
        <f>YEAR(F840)&amp;"-Q"&amp;ROUNDUP(MONTH(F840)/3,0)</f>
        <v/>
      </c>
      <c r="X840" s="41">
        <f>IF(AND(OR(Dashboard!$C$4="All",D840=Dashboard!$C$4),OR(Dashboard!$C$5="All",E840=Dashboard!$C$5)),1,0)</f>
        <v/>
      </c>
      <c r="Y840" s="43">
        <f>IF(AND(X840=1,S840="Yes"),O840+ROW()/1000000,0)</f>
        <v/>
      </c>
    </row>
    <row r="841">
      <c r="A841" s="35" t="inlineStr">
        <is>
          <t>LN100840</t>
        </is>
      </c>
      <c r="B841" s="35" t="inlineStr">
        <is>
          <t>Sai Iyer</t>
        </is>
      </c>
      <c r="C841" s="35" t="inlineStr">
        <is>
          <t>HYD-01</t>
        </is>
      </c>
      <c r="D841" s="36">
        <f>INDEX(Branches!$C$2:$C$15,MATCH(C841,Branches!$A$2:$A$15,0))</f>
        <v/>
      </c>
      <c r="E841" s="35" t="inlineStr">
        <is>
          <t>Home Loan</t>
        </is>
      </c>
      <c r="F841" s="37" t="n">
        <v>45884</v>
      </c>
      <c r="G841" s="38" t="n">
        <v>9704000</v>
      </c>
      <c r="H841" s="39" t="n">
        <v>0.0956</v>
      </c>
      <c r="I841" s="35" t="n">
        <v>240</v>
      </c>
      <c r="J841" s="35" t="n">
        <v>701</v>
      </c>
      <c r="K841" s="35" t="n">
        <v>0</v>
      </c>
      <c r="L841" s="40">
        <f>ROUND(PMT(H841/12,I841,-G841),0)</f>
        <v/>
      </c>
      <c r="M841" s="41">
        <f>MAX(0,(YEAR(AsOfDate)-YEAR(F841))*12+MONTH(AsOfDate)-MONTH(F841))</f>
        <v/>
      </c>
      <c r="N841" s="41">
        <f>MAX(0,MIN(I841,M841)-INT(K841/30))</f>
        <v/>
      </c>
      <c r="O841" s="40">
        <f>IF(N841&gt;=I841,0,ROUND(PV(H841/12,I841-N841,-L841),0))</f>
        <v/>
      </c>
      <c r="P841" s="40">
        <f>MIN(I841,M841)*L841-N841*L841</f>
        <v/>
      </c>
      <c r="Q841" s="41">
        <f>INDEX(DPD_Bucket,MATCH(K841,DPD_From,1))</f>
        <v/>
      </c>
      <c r="R841" s="41">
        <f>INDEX(DPD_Class,MATCH(K841,DPD_From,1))</f>
        <v/>
      </c>
      <c r="S841" s="41">
        <f>INDEX(DPD_NPA,MATCH(K841,DPD_From,1))</f>
        <v/>
      </c>
      <c r="T841" s="42">
        <f>INDEX(DPD_Prov,MATCH(K841,DPD_From,1))</f>
        <v/>
      </c>
      <c r="U841" s="40">
        <f>ROUND(O841*T841,0)</f>
        <v/>
      </c>
      <c r="V841" s="41">
        <f>INDEX(CIBIL_Grade,MATCH(J841,CIBIL_From,1))</f>
        <v/>
      </c>
      <c r="W841" s="41">
        <f>YEAR(F841)&amp;"-Q"&amp;ROUNDUP(MONTH(F841)/3,0)</f>
        <v/>
      </c>
      <c r="X841" s="41">
        <f>IF(AND(OR(Dashboard!$C$4="All",D841=Dashboard!$C$4),OR(Dashboard!$C$5="All",E841=Dashboard!$C$5)),1,0)</f>
        <v/>
      </c>
      <c r="Y841" s="43">
        <f>IF(AND(X841=1,S841="Yes"),O841+ROW()/1000000,0)</f>
        <v/>
      </c>
    </row>
    <row r="842">
      <c r="A842" s="35" t="inlineStr">
        <is>
          <t>LN100841</t>
        </is>
      </c>
      <c r="B842" s="35" t="inlineStr">
        <is>
          <t>Zoya Das</t>
        </is>
      </c>
      <c r="C842" s="35" t="inlineStr">
        <is>
          <t>KOC-01</t>
        </is>
      </c>
      <c r="D842" s="36">
        <f>INDEX(Branches!$C$2:$C$15,MATCH(C842,Branches!$A$2:$A$15,0))</f>
        <v/>
      </c>
      <c r="E842" s="35" t="inlineStr">
        <is>
          <t>Gold Loan</t>
        </is>
      </c>
      <c r="F842" s="37" t="n">
        <v>45134</v>
      </c>
      <c r="G842" s="38" t="n">
        <v>241000</v>
      </c>
      <c r="H842" s="39" t="n">
        <v>0.1082</v>
      </c>
      <c r="I842" s="35" t="n">
        <v>6</v>
      </c>
      <c r="J842" s="35" t="n">
        <v>812</v>
      </c>
      <c r="K842" s="35" t="n">
        <v>0</v>
      </c>
      <c r="L842" s="40">
        <f>ROUND(PMT(H842/12,I842,-G842),0)</f>
        <v/>
      </c>
      <c r="M842" s="41">
        <f>MAX(0,(YEAR(AsOfDate)-YEAR(F842))*12+MONTH(AsOfDate)-MONTH(F842))</f>
        <v/>
      </c>
      <c r="N842" s="41">
        <f>MAX(0,MIN(I842,M842)-INT(K842/30))</f>
        <v/>
      </c>
      <c r="O842" s="40">
        <f>IF(N842&gt;=I842,0,ROUND(PV(H842/12,I842-N842,-L842),0))</f>
        <v/>
      </c>
      <c r="P842" s="40">
        <f>MIN(I842,M842)*L842-N842*L842</f>
        <v/>
      </c>
      <c r="Q842" s="41">
        <f>INDEX(DPD_Bucket,MATCH(K842,DPD_From,1))</f>
        <v/>
      </c>
      <c r="R842" s="41">
        <f>INDEX(DPD_Class,MATCH(K842,DPD_From,1))</f>
        <v/>
      </c>
      <c r="S842" s="41">
        <f>INDEX(DPD_NPA,MATCH(K842,DPD_From,1))</f>
        <v/>
      </c>
      <c r="T842" s="42">
        <f>INDEX(DPD_Prov,MATCH(K842,DPD_From,1))</f>
        <v/>
      </c>
      <c r="U842" s="40">
        <f>ROUND(O842*T842,0)</f>
        <v/>
      </c>
      <c r="V842" s="41">
        <f>INDEX(CIBIL_Grade,MATCH(J842,CIBIL_From,1))</f>
        <v/>
      </c>
      <c r="W842" s="41">
        <f>YEAR(F842)&amp;"-Q"&amp;ROUNDUP(MONTH(F842)/3,0)</f>
        <v/>
      </c>
      <c r="X842" s="41">
        <f>IF(AND(OR(Dashboard!$C$4="All",D842=Dashboard!$C$4),OR(Dashboard!$C$5="All",E842=Dashboard!$C$5)),1,0)</f>
        <v/>
      </c>
      <c r="Y842" s="43">
        <f>IF(AND(X842=1,S842="Yes"),O842+ROW()/1000000,0)</f>
        <v/>
      </c>
    </row>
    <row r="843">
      <c r="A843" s="35" t="inlineStr">
        <is>
          <t>LN100842</t>
        </is>
      </c>
      <c r="B843" s="35" t="inlineStr">
        <is>
          <t>Nikhil Pillai</t>
        </is>
      </c>
      <c r="C843" s="35" t="inlineStr">
        <is>
          <t>CHN-01</t>
        </is>
      </c>
      <c r="D843" s="36">
        <f>INDEX(Branches!$C$2:$C$15,MATCH(C843,Branches!$A$2:$A$15,0))</f>
        <v/>
      </c>
      <c r="E843" s="35" t="inlineStr">
        <is>
          <t>Auto Loan</t>
        </is>
      </c>
      <c r="F843" s="37" t="n">
        <v>45761</v>
      </c>
      <c r="G843" s="38" t="n">
        <v>1922000</v>
      </c>
      <c r="H843" s="39" t="n">
        <v>0.1001</v>
      </c>
      <c r="I843" s="35" t="n">
        <v>84</v>
      </c>
      <c r="J843" s="35" t="n">
        <v>776</v>
      </c>
      <c r="K843" s="35" t="n">
        <v>0</v>
      </c>
      <c r="L843" s="40">
        <f>ROUND(PMT(H843/12,I843,-G843),0)</f>
        <v/>
      </c>
      <c r="M843" s="41">
        <f>MAX(0,(YEAR(AsOfDate)-YEAR(F843))*12+MONTH(AsOfDate)-MONTH(F843))</f>
        <v/>
      </c>
      <c r="N843" s="41">
        <f>MAX(0,MIN(I843,M843)-INT(K843/30))</f>
        <v/>
      </c>
      <c r="O843" s="40">
        <f>IF(N843&gt;=I843,0,ROUND(PV(H843/12,I843-N843,-L843),0))</f>
        <v/>
      </c>
      <c r="P843" s="40">
        <f>MIN(I843,M843)*L843-N843*L843</f>
        <v/>
      </c>
      <c r="Q843" s="41">
        <f>INDEX(DPD_Bucket,MATCH(K843,DPD_From,1))</f>
        <v/>
      </c>
      <c r="R843" s="41">
        <f>INDEX(DPD_Class,MATCH(K843,DPD_From,1))</f>
        <v/>
      </c>
      <c r="S843" s="41">
        <f>INDEX(DPD_NPA,MATCH(K843,DPD_From,1))</f>
        <v/>
      </c>
      <c r="T843" s="42">
        <f>INDEX(DPD_Prov,MATCH(K843,DPD_From,1))</f>
        <v/>
      </c>
      <c r="U843" s="40">
        <f>ROUND(O843*T843,0)</f>
        <v/>
      </c>
      <c r="V843" s="41">
        <f>INDEX(CIBIL_Grade,MATCH(J843,CIBIL_From,1))</f>
        <v/>
      </c>
      <c r="W843" s="41">
        <f>YEAR(F843)&amp;"-Q"&amp;ROUNDUP(MONTH(F843)/3,0)</f>
        <v/>
      </c>
      <c r="X843" s="41">
        <f>IF(AND(OR(Dashboard!$C$4="All",D843=Dashboard!$C$4),OR(Dashboard!$C$5="All",E843=Dashboard!$C$5)),1,0)</f>
        <v/>
      </c>
      <c r="Y843" s="43">
        <f>IF(AND(X843=1,S843="Yes"),O843+ROW()/1000000,0)</f>
        <v/>
      </c>
    </row>
    <row r="844">
      <c r="A844" s="35" t="inlineStr">
        <is>
          <t>LN100843</t>
        </is>
      </c>
      <c r="B844" s="35" t="inlineStr">
        <is>
          <t>Sai Pillai</t>
        </is>
      </c>
      <c r="C844" s="35" t="inlineStr">
        <is>
          <t>BLR-01</t>
        </is>
      </c>
      <c r="D844" s="36">
        <f>INDEX(Branches!$C$2:$C$15,MATCH(C844,Branches!$A$2:$A$15,0))</f>
        <v/>
      </c>
      <c r="E844" s="35" t="inlineStr">
        <is>
          <t>Auto Loan</t>
        </is>
      </c>
      <c r="F844" s="37" t="n">
        <v>45270</v>
      </c>
      <c r="G844" s="38" t="n">
        <v>1619000</v>
      </c>
      <c r="H844" s="39" t="n">
        <v>0.1022</v>
      </c>
      <c r="I844" s="35" t="n">
        <v>84</v>
      </c>
      <c r="J844" s="35" t="n">
        <v>668</v>
      </c>
      <c r="K844" s="35" t="n">
        <v>0</v>
      </c>
      <c r="L844" s="40">
        <f>ROUND(PMT(H844/12,I844,-G844),0)</f>
        <v/>
      </c>
      <c r="M844" s="41">
        <f>MAX(0,(YEAR(AsOfDate)-YEAR(F844))*12+MONTH(AsOfDate)-MONTH(F844))</f>
        <v/>
      </c>
      <c r="N844" s="41">
        <f>MAX(0,MIN(I844,M844)-INT(K844/30))</f>
        <v/>
      </c>
      <c r="O844" s="40">
        <f>IF(N844&gt;=I844,0,ROUND(PV(H844/12,I844-N844,-L844),0))</f>
        <v/>
      </c>
      <c r="P844" s="40">
        <f>MIN(I844,M844)*L844-N844*L844</f>
        <v/>
      </c>
      <c r="Q844" s="41">
        <f>INDEX(DPD_Bucket,MATCH(K844,DPD_From,1))</f>
        <v/>
      </c>
      <c r="R844" s="41">
        <f>INDEX(DPD_Class,MATCH(K844,DPD_From,1))</f>
        <v/>
      </c>
      <c r="S844" s="41">
        <f>INDEX(DPD_NPA,MATCH(K844,DPD_From,1))</f>
        <v/>
      </c>
      <c r="T844" s="42">
        <f>INDEX(DPD_Prov,MATCH(K844,DPD_From,1))</f>
        <v/>
      </c>
      <c r="U844" s="40">
        <f>ROUND(O844*T844,0)</f>
        <v/>
      </c>
      <c r="V844" s="41">
        <f>INDEX(CIBIL_Grade,MATCH(J844,CIBIL_From,1))</f>
        <v/>
      </c>
      <c r="W844" s="41">
        <f>YEAR(F844)&amp;"-Q"&amp;ROUNDUP(MONTH(F844)/3,0)</f>
        <v/>
      </c>
      <c r="X844" s="41">
        <f>IF(AND(OR(Dashboard!$C$4="All",D844=Dashboard!$C$4),OR(Dashboard!$C$5="All",E844=Dashboard!$C$5)),1,0)</f>
        <v/>
      </c>
      <c r="Y844" s="43">
        <f>IF(AND(X844=1,S844="Yes"),O844+ROW()/1000000,0)</f>
        <v/>
      </c>
    </row>
    <row r="845">
      <c r="A845" s="35" t="inlineStr">
        <is>
          <t>LN100844</t>
        </is>
      </c>
      <c r="B845" s="35" t="inlineStr">
        <is>
          <t>Reyansh Gupta</t>
        </is>
      </c>
      <c r="C845" s="35" t="inlineStr">
        <is>
          <t>AMD-01</t>
        </is>
      </c>
      <c r="D845" s="36">
        <f>INDEX(Branches!$C$2:$C$15,MATCH(C845,Branches!$A$2:$A$15,0))</f>
        <v/>
      </c>
      <c r="E845" s="35" t="inlineStr">
        <is>
          <t>Home Loan</t>
        </is>
      </c>
      <c r="F845" s="37" t="n">
        <v>45861</v>
      </c>
      <c r="G845" s="38" t="n">
        <v>8027000</v>
      </c>
      <c r="H845" s="39" t="n">
        <v>0.09039999999999999</v>
      </c>
      <c r="I845" s="35" t="n">
        <v>180</v>
      </c>
      <c r="J845" s="35" t="n">
        <v>770</v>
      </c>
      <c r="K845" s="35" t="n">
        <v>0</v>
      </c>
      <c r="L845" s="40">
        <f>ROUND(PMT(H845/12,I845,-G845),0)</f>
        <v/>
      </c>
      <c r="M845" s="41">
        <f>MAX(0,(YEAR(AsOfDate)-YEAR(F845))*12+MONTH(AsOfDate)-MONTH(F845))</f>
        <v/>
      </c>
      <c r="N845" s="41">
        <f>MAX(0,MIN(I845,M845)-INT(K845/30))</f>
        <v/>
      </c>
      <c r="O845" s="40">
        <f>IF(N845&gt;=I845,0,ROUND(PV(H845/12,I845-N845,-L845),0))</f>
        <v/>
      </c>
      <c r="P845" s="40">
        <f>MIN(I845,M845)*L845-N845*L845</f>
        <v/>
      </c>
      <c r="Q845" s="41">
        <f>INDEX(DPD_Bucket,MATCH(K845,DPD_From,1))</f>
        <v/>
      </c>
      <c r="R845" s="41">
        <f>INDEX(DPD_Class,MATCH(K845,DPD_From,1))</f>
        <v/>
      </c>
      <c r="S845" s="41">
        <f>INDEX(DPD_NPA,MATCH(K845,DPD_From,1))</f>
        <v/>
      </c>
      <c r="T845" s="42">
        <f>INDEX(DPD_Prov,MATCH(K845,DPD_From,1))</f>
        <v/>
      </c>
      <c r="U845" s="40">
        <f>ROUND(O845*T845,0)</f>
        <v/>
      </c>
      <c r="V845" s="41">
        <f>INDEX(CIBIL_Grade,MATCH(J845,CIBIL_From,1))</f>
        <v/>
      </c>
      <c r="W845" s="41">
        <f>YEAR(F845)&amp;"-Q"&amp;ROUNDUP(MONTH(F845)/3,0)</f>
        <v/>
      </c>
      <c r="X845" s="41">
        <f>IF(AND(OR(Dashboard!$C$4="All",D845=Dashboard!$C$4),OR(Dashboard!$C$5="All",E845=Dashboard!$C$5)),1,0)</f>
        <v/>
      </c>
      <c r="Y845" s="43">
        <f>IF(AND(X845=1,S845="Yes"),O845+ROW()/1000000,0)</f>
        <v/>
      </c>
    </row>
    <row r="846">
      <c r="A846" s="35" t="inlineStr">
        <is>
          <t>LN100845</t>
        </is>
      </c>
      <c r="B846" s="35" t="inlineStr">
        <is>
          <t>Harsh Das</t>
        </is>
      </c>
      <c r="C846" s="35" t="inlineStr">
        <is>
          <t>BLR-01</t>
        </is>
      </c>
      <c r="D846" s="36">
        <f>INDEX(Branches!$C$2:$C$15,MATCH(C846,Branches!$A$2:$A$15,0))</f>
        <v/>
      </c>
      <c r="E846" s="35" t="inlineStr">
        <is>
          <t>Auto Loan</t>
        </is>
      </c>
      <c r="F846" s="37" t="n">
        <v>46026</v>
      </c>
      <c r="G846" s="38" t="n">
        <v>421000</v>
      </c>
      <c r="H846" s="39" t="n">
        <v>0.1045</v>
      </c>
      <c r="I846" s="35" t="n">
        <v>84</v>
      </c>
      <c r="J846" s="35" t="n">
        <v>691</v>
      </c>
      <c r="K846" s="35" t="n">
        <v>0</v>
      </c>
      <c r="L846" s="40">
        <f>ROUND(PMT(H846/12,I846,-G846),0)</f>
        <v/>
      </c>
      <c r="M846" s="41">
        <f>MAX(0,(YEAR(AsOfDate)-YEAR(F846))*12+MONTH(AsOfDate)-MONTH(F846))</f>
        <v/>
      </c>
      <c r="N846" s="41">
        <f>MAX(0,MIN(I846,M846)-INT(K846/30))</f>
        <v/>
      </c>
      <c r="O846" s="40">
        <f>IF(N846&gt;=I846,0,ROUND(PV(H846/12,I846-N846,-L846),0))</f>
        <v/>
      </c>
      <c r="P846" s="40">
        <f>MIN(I846,M846)*L846-N846*L846</f>
        <v/>
      </c>
      <c r="Q846" s="41">
        <f>INDEX(DPD_Bucket,MATCH(K846,DPD_From,1))</f>
        <v/>
      </c>
      <c r="R846" s="41">
        <f>INDEX(DPD_Class,MATCH(K846,DPD_From,1))</f>
        <v/>
      </c>
      <c r="S846" s="41">
        <f>INDEX(DPD_NPA,MATCH(K846,DPD_From,1))</f>
        <v/>
      </c>
      <c r="T846" s="42">
        <f>INDEX(DPD_Prov,MATCH(K846,DPD_From,1))</f>
        <v/>
      </c>
      <c r="U846" s="40">
        <f>ROUND(O846*T846,0)</f>
        <v/>
      </c>
      <c r="V846" s="41">
        <f>INDEX(CIBIL_Grade,MATCH(J846,CIBIL_From,1))</f>
        <v/>
      </c>
      <c r="W846" s="41">
        <f>YEAR(F846)&amp;"-Q"&amp;ROUNDUP(MONTH(F846)/3,0)</f>
        <v/>
      </c>
      <c r="X846" s="41">
        <f>IF(AND(OR(Dashboard!$C$4="All",D846=Dashboard!$C$4),OR(Dashboard!$C$5="All",E846=Dashboard!$C$5)),1,0)</f>
        <v/>
      </c>
      <c r="Y846" s="43">
        <f>IF(AND(X846=1,S846="Yes"),O846+ROW()/1000000,0)</f>
        <v/>
      </c>
    </row>
    <row r="847">
      <c r="A847" s="35" t="inlineStr">
        <is>
          <t>LN100846</t>
        </is>
      </c>
      <c r="B847" s="35" t="inlineStr">
        <is>
          <t>Kavya Menon</t>
        </is>
      </c>
      <c r="C847" s="35" t="inlineStr">
        <is>
          <t>AMD-01</t>
        </is>
      </c>
      <c r="D847" s="36">
        <f>INDEX(Branches!$C$2:$C$15,MATCH(C847,Branches!$A$2:$A$15,0))</f>
        <v/>
      </c>
      <c r="E847" s="35" t="inlineStr">
        <is>
          <t>Business Loan</t>
        </is>
      </c>
      <c r="F847" s="37" t="n">
        <v>45345</v>
      </c>
      <c r="G847" s="38" t="n">
        <v>2703000</v>
      </c>
      <c r="H847" s="39" t="n">
        <v>0.1749</v>
      </c>
      <c r="I847" s="35" t="n">
        <v>60</v>
      </c>
      <c r="J847" s="35" t="n">
        <v>810</v>
      </c>
      <c r="K847" s="35" t="n">
        <v>0</v>
      </c>
      <c r="L847" s="40">
        <f>ROUND(PMT(H847/12,I847,-G847),0)</f>
        <v/>
      </c>
      <c r="M847" s="41">
        <f>MAX(0,(YEAR(AsOfDate)-YEAR(F847))*12+MONTH(AsOfDate)-MONTH(F847))</f>
        <v/>
      </c>
      <c r="N847" s="41">
        <f>MAX(0,MIN(I847,M847)-INT(K847/30))</f>
        <v/>
      </c>
      <c r="O847" s="40">
        <f>IF(N847&gt;=I847,0,ROUND(PV(H847/12,I847-N847,-L847),0))</f>
        <v/>
      </c>
      <c r="P847" s="40">
        <f>MIN(I847,M847)*L847-N847*L847</f>
        <v/>
      </c>
      <c r="Q847" s="41">
        <f>INDEX(DPD_Bucket,MATCH(K847,DPD_From,1))</f>
        <v/>
      </c>
      <c r="R847" s="41">
        <f>INDEX(DPD_Class,MATCH(K847,DPD_From,1))</f>
        <v/>
      </c>
      <c r="S847" s="41">
        <f>INDEX(DPD_NPA,MATCH(K847,DPD_From,1))</f>
        <v/>
      </c>
      <c r="T847" s="42">
        <f>INDEX(DPD_Prov,MATCH(K847,DPD_From,1))</f>
        <v/>
      </c>
      <c r="U847" s="40">
        <f>ROUND(O847*T847,0)</f>
        <v/>
      </c>
      <c r="V847" s="41">
        <f>INDEX(CIBIL_Grade,MATCH(J847,CIBIL_From,1))</f>
        <v/>
      </c>
      <c r="W847" s="41">
        <f>YEAR(F847)&amp;"-Q"&amp;ROUNDUP(MONTH(F847)/3,0)</f>
        <v/>
      </c>
      <c r="X847" s="41">
        <f>IF(AND(OR(Dashboard!$C$4="All",D847=Dashboard!$C$4),OR(Dashboard!$C$5="All",E847=Dashboard!$C$5)),1,0)</f>
        <v/>
      </c>
      <c r="Y847" s="43">
        <f>IF(AND(X847=1,S847="Yes"),O847+ROW()/1000000,0)</f>
        <v/>
      </c>
    </row>
    <row r="848">
      <c r="A848" s="35" t="inlineStr">
        <is>
          <t>LN100847</t>
        </is>
      </c>
      <c r="B848" s="35" t="inlineStr">
        <is>
          <t>Reyansh Das</t>
        </is>
      </c>
      <c r="C848" s="35" t="inlineStr">
        <is>
          <t>PAT-01</t>
        </is>
      </c>
      <c r="D848" s="36">
        <f>INDEX(Branches!$C$2:$C$15,MATCH(C848,Branches!$A$2:$A$15,0))</f>
        <v/>
      </c>
      <c r="E848" s="35" t="inlineStr">
        <is>
          <t>Personal Loan</t>
        </is>
      </c>
      <c r="F848" s="37" t="n">
        <v>46094</v>
      </c>
      <c r="G848" s="38" t="n">
        <v>711000</v>
      </c>
      <c r="H848" s="39" t="n">
        <v>0.1241</v>
      </c>
      <c r="I848" s="35" t="n">
        <v>48</v>
      </c>
      <c r="J848" s="35" t="n">
        <v>763</v>
      </c>
      <c r="K848" s="35" t="n">
        <v>0</v>
      </c>
      <c r="L848" s="40">
        <f>ROUND(PMT(H848/12,I848,-G848),0)</f>
        <v/>
      </c>
      <c r="M848" s="41">
        <f>MAX(0,(YEAR(AsOfDate)-YEAR(F848))*12+MONTH(AsOfDate)-MONTH(F848))</f>
        <v/>
      </c>
      <c r="N848" s="41">
        <f>MAX(0,MIN(I848,M848)-INT(K848/30))</f>
        <v/>
      </c>
      <c r="O848" s="40">
        <f>IF(N848&gt;=I848,0,ROUND(PV(H848/12,I848-N848,-L848),0))</f>
        <v/>
      </c>
      <c r="P848" s="40">
        <f>MIN(I848,M848)*L848-N848*L848</f>
        <v/>
      </c>
      <c r="Q848" s="41">
        <f>INDEX(DPD_Bucket,MATCH(K848,DPD_From,1))</f>
        <v/>
      </c>
      <c r="R848" s="41">
        <f>INDEX(DPD_Class,MATCH(K848,DPD_From,1))</f>
        <v/>
      </c>
      <c r="S848" s="41">
        <f>INDEX(DPD_NPA,MATCH(K848,DPD_From,1))</f>
        <v/>
      </c>
      <c r="T848" s="42">
        <f>INDEX(DPD_Prov,MATCH(K848,DPD_From,1))</f>
        <v/>
      </c>
      <c r="U848" s="40">
        <f>ROUND(O848*T848,0)</f>
        <v/>
      </c>
      <c r="V848" s="41">
        <f>INDEX(CIBIL_Grade,MATCH(J848,CIBIL_From,1))</f>
        <v/>
      </c>
      <c r="W848" s="41">
        <f>YEAR(F848)&amp;"-Q"&amp;ROUNDUP(MONTH(F848)/3,0)</f>
        <v/>
      </c>
      <c r="X848" s="41">
        <f>IF(AND(OR(Dashboard!$C$4="All",D848=Dashboard!$C$4),OR(Dashboard!$C$5="All",E848=Dashboard!$C$5)),1,0)</f>
        <v/>
      </c>
      <c r="Y848" s="43">
        <f>IF(AND(X848=1,S848="Yes"),O848+ROW()/1000000,0)</f>
        <v/>
      </c>
    </row>
    <row r="849">
      <c r="A849" s="35" t="inlineStr">
        <is>
          <t>LN100848</t>
        </is>
      </c>
      <c r="B849" s="35" t="inlineStr">
        <is>
          <t>Lakshmi Menon</t>
        </is>
      </c>
      <c r="C849" s="35" t="inlineStr">
        <is>
          <t>BBS-01</t>
        </is>
      </c>
      <c r="D849" s="36">
        <f>INDEX(Branches!$C$2:$C$15,MATCH(C849,Branches!$A$2:$A$15,0))</f>
        <v/>
      </c>
      <c r="E849" s="35" t="inlineStr">
        <is>
          <t>Gold Loan</t>
        </is>
      </c>
      <c r="F849" s="37" t="n">
        <v>45130</v>
      </c>
      <c r="G849" s="38" t="n">
        <v>76000</v>
      </c>
      <c r="H849" s="39" t="n">
        <v>0.1016</v>
      </c>
      <c r="I849" s="35" t="n">
        <v>12</v>
      </c>
      <c r="J849" s="35" t="n">
        <v>733</v>
      </c>
      <c r="K849" s="35" t="n">
        <v>0</v>
      </c>
      <c r="L849" s="40">
        <f>ROUND(PMT(H849/12,I849,-G849),0)</f>
        <v/>
      </c>
      <c r="M849" s="41">
        <f>MAX(0,(YEAR(AsOfDate)-YEAR(F849))*12+MONTH(AsOfDate)-MONTH(F849))</f>
        <v/>
      </c>
      <c r="N849" s="41">
        <f>MAX(0,MIN(I849,M849)-INT(K849/30))</f>
        <v/>
      </c>
      <c r="O849" s="40">
        <f>IF(N849&gt;=I849,0,ROUND(PV(H849/12,I849-N849,-L849),0))</f>
        <v/>
      </c>
      <c r="P849" s="40">
        <f>MIN(I849,M849)*L849-N849*L849</f>
        <v/>
      </c>
      <c r="Q849" s="41">
        <f>INDEX(DPD_Bucket,MATCH(K849,DPD_From,1))</f>
        <v/>
      </c>
      <c r="R849" s="41">
        <f>INDEX(DPD_Class,MATCH(K849,DPD_From,1))</f>
        <v/>
      </c>
      <c r="S849" s="41">
        <f>INDEX(DPD_NPA,MATCH(K849,DPD_From,1))</f>
        <v/>
      </c>
      <c r="T849" s="42">
        <f>INDEX(DPD_Prov,MATCH(K849,DPD_From,1))</f>
        <v/>
      </c>
      <c r="U849" s="40">
        <f>ROUND(O849*T849,0)</f>
        <v/>
      </c>
      <c r="V849" s="41">
        <f>INDEX(CIBIL_Grade,MATCH(J849,CIBIL_From,1))</f>
        <v/>
      </c>
      <c r="W849" s="41">
        <f>YEAR(F849)&amp;"-Q"&amp;ROUNDUP(MONTH(F849)/3,0)</f>
        <v/>
      </c>
      <c r="X849" s="41">
        <f>IF(AND(OR(Dashboard!$C$4="All",D849=Dashboard!$C$4),OR(Dashboard!$C$5="All",E849=Dashboard!$C$5)),1,0)</f>
        <v/>
      </c>
      <c r="Y849" s="43">
        <f>IF(AND(X849=1,S849="Yes"),O849+ROW()/1000000,0)</f>
        <v/>
      </c>
    </row>
    <row r="850">
      <c r="A850" s="35" t="inlineStr">
        <is>
          <t>LN100849</t>
        </is>
      </c>
      <c r="B850" s="35" t="inlineStr">
        <is>
          <t>Sai Gupta</t>
        </is>
      </c>
      <c r="C850" s="35" t="inlineStr">
        <is>
          <t>KOC-01</t>
        </is>
      </c>
      <c r="D850" s="36">
        <f>INDEX(Branches!$C$2:$C$15,MATCH(C850,Branches!$A$2:$A$15,0))</f>
        <v/>
      </c>
      <c r="E850" s="35" t="inlineStr">
        <is>
          <t>Personal Loan</t>
        </is>
      </c>
      <c r="F850" s="37" t="n">
        <v>45677</v>
      </c>
      <c r="G850" s="38" t="n">
        <v>943000</v>
      </c>
      <c r="H850" s="39" t="n">
        <v>0.1764</v>
      </c>
      <c r="I850" s="35" t="n">
        <v>24</v>
      </c>
      <c r="J850" s="35" t="n">
        <v>612</v>
      </c>
      <c r="K850" s="35" t="n">
        <v>495</v>
      </c>
      <c r="L850" s="40">
        <f>ROUND(PMT(H850/12,I850,-G850),0)</f>
        <v/>
      </c>
      <c r="M850" s="41">
        <f>MAX(0,(YEAR(AsOfDate)-YEAR(F850))*12+MONTH(AsOfDate)-MONTH(F850))</f>
        <v/>
      </c>
      <c r="N850" s="41">
        <f>MAX(0,MIN(I850,M850)-INT(K850/30))</f>
        <v/>
      </c>
      <c r="O850" s="40">
        <f>IF(N850&gt;=I850,0,ROUND(PV(H850/12,I850-N850,-L850),0))</f>
        <v/>
      </c>
      <c r="P850" s="40">
        <f>MIN(I850,M850)*L850-N850*L850</f>
        <v/>
      </c>
      <c r="Q850" s="41">
        <f>INDEX(DPD_Bucket,MATCH(K850,DPD_From,1))</f>
        <v/>
      </c>
      <c r="R850" s="41">
        <f>INDEX(DPD_Class,MATCH(K850,DPD_From,1))</f>
        <v/>
      </c>
      <c r="S850" s="41">
        <f>INDEX(DPD_NPA,MATCH(K850,DPD_From,1))</f>
        <v/>
      </c>
      <c r="T850" s="42">
        <f>INDEX(DPD_Prov,MATCH(K850,DPD_From,1))</f>
        <v/>
      </c>
      <c r="U850" s="40">
        <f>ROUND(O850*T850,0)</f>
        <v/>
      </c>
      <c r="V850" s="41">
        <f>INDEX(CIBIL_Grade,MATCH(J850,CIBIL_From,1))</f>
        <v/>
      </c>
      <c r="W850" s="41">
        <f>YEAR(F850)&amp;"-Q"&amp;ROUNDUP(MONTH(F850)/3,0)</f>
        <v/>
      </c>
      <c r="X850" s="41">
        <f>IF(AND(OR(Dashboard!$C$4="All",D850=Dashboard!$C$4),OR(Dashboard!$C$5="All",E850=Dashboard!$C$5)),1,0)</f>
        <v/>
      </c>
      <c r="Y850" s="43">
        <f>IF(AND(X850=1,S850="Yes"),O850+ROW()/1000000,0)</f>
        <v/>
      </c>
    </row>
    <row r="851">
      <c r="A851" s="35" t="inlineStr">
        <is>
          <t>LN100850</t>
        </is>
      </c>
      <c r="B851" s="35" t="inlineStr">
        <is>
          <t>Lakshmi Banerjee</t>
        </is>
      </c>
      <c r="C851" s="35" t="inlineStr">
        <is>
          <t>AMD-01</t>
        </is>
      </c>
      <c r="D851" s="36">
        <f>INDEX(Branches!$C$2:$C$15,MATCH(C851,Branches!$A$2:$A$15,0))</f>
        <v/>
      </c>
      <c r="E851" s="35" t="inlineStr">
        <is>
          <t>Business Loan</t>
        </is>
      </c>
      <c r="F851" s="37" t="n">
        <v>45934</v>
      </c>
      <c r="G851" s="38" t="n">
        <v>3677000</v>
      </c>
      <c r="H851" s="39" t="n">
        <v>0.1982</v>
      </c>
      <c r="I851" s="35" t="n">
        <v>12</v>
      </c>
      <c r="J851" s="35" t="n">
        <v>752</v>
      </c>
      <c r="K851" s="35" t="n">
        <v>0</v>
      </c>
      <c r="L851" s="40">
        <f>ROUND(PMT(H851/12,I851,-G851),0)</f>
        <v/>
      </c>
      <c r="M851" s="41">
        <f>MAX(0,(YEAR(AsOfDate)-YEAR(F851))*12+MONTH(AsOfDate)-MONTH(F851))</f>
        <v/>
      </c>
      <c r="N851" s="41">
        <f>MAX(0,MIN(I851,M851)-INT(K851/30))</f>
        <v/>
      </c>
      <c r="O851" s="40">
        <f>IF(N851&gt;=I851,0,ROUND(PV(H851/12,I851-N851,-L851),0))</f>
        <v/>
      </c>
      <c r="P851" s="40">
        <f>MIN(I851,M851)*L851-N851*L851</f>
        <v/>
      </c>
      <c r="Q851" s="41">
        <f>INDEX(DPD_Bucket,MATCH(K851,DPD_From,1))</f>
        <v/>
      </c>
      <c r="R851" s="41">
        <f>INDEX(DPD_Class,MATCH(K851,DPD_From,1))</f>
        <v/>
      </c>
      <c r="S851" s="41">
        <f>INDEX(DPD_NPA,MATCH(K851,DPD_From,1))</f>
        <v/>
      </c>
      <c r="T851" s="42">
        <f>INDEX(DPD_Prov,MATCH(K851,DPD_From,1))</f>
        <v/>
      </c>
      <c r="U851" s="40">
        <f>ROUND(O851*T851,0)</f>
        <v/>
      </c>
      <c r="V851" s="41">
        <f>INDEX(CIBIL_Grade,MATCH(J851,CIBIL_From,1))</f>
        <v/>
      </c>
      <c r="W851" s="41">
        <f>YEAR(F851)&amp;"-Q"&amp;ROUNDUP(MONTH(F851)/3,0)</f>
        <v/>
      </c>
      <c r="X851" s="41">
        <f>IF(AND(OR(Dashboard!$C$4="All",D851=Dashboard!$C$4),OR(Dashboard!$C$5="All",E851=Dashboard!$C$5)),1,0)</f>
        <v/>
      </c>
      <c r="Y851" s="43">
        <f>IF(AND(X851=1,S851="Yes"),O851+ROW()/1000000,0)</f>
        <v/>
      </c>
    </row>
    <row r="852">
      <c r="A852" s="35" t="inlineStr">
        <is>
          <t>LN100851</t>
        </is>
      </c>
      <c r="B852" s="35" t="inlineStr">
        <is>
          <t>Rahul Kulkarni</t>
        </is>
      </c>
      <c r="C852" s="35" t="inlineStr">
        <is>
          <t>KOL-01</t>
        </is>
      </c>
      <c r="D852" s="36">
        <f>INDEX(Branches!$C$2:$C$15,MATCH(C852,Branches!$A$2:$A$15,0))</f>
        <v/>
      </c>
      <c r="E852" s="35" t="inlineStr">
        <is>
          <t>Home Loan</t>
        </is>
      </c>
      <c r="F852" s="37" t="n">
        <v>45307</v>
      </c>
      <c r="G852" s="38" t="n">
        <v>13526000</v>
      </c>
      <c r="H852" s="39" t="n">
        <v>0.0922</v>
      </c>
      <c r="I852" s="35" t="n">
        <v>120</v>
      </c>
      <c r="J852" s="35" t="n">
        <v>764</v>
      </c>
      <c r="K852" s="35" t="n">
        <v>0</v>
      </c>
      <c r="L852" s="40">
        <f>ROUND(PMT(H852/12,I852,-G852),0)</f>
        <v/>
      </c>
      <c r="M852" s="41">
        <f>MAX(0,(YEAR(AsOfDate)-YEAR(F852))*12+MONTH(AsOfDate)-MONTH(F852))</f>
        <v/>
      </c>
      <c r="N852" s="41">
        <f>MAX(0,MIN(I852,M852)-INT(K852/30))</f>
        <v/>
      </c>
      <c r="O852" s="40">
        <f>IF(N852&gt;=I852,0,ROUND(PV(H852/12,I852-N852,-L852),0))</f>
        <v/>
      </c>
      <c r="P852" s="40">
        <f>MIN(I852,M852)*L852-N852*L852</f>
        <v/>
      </c>
      <c r="Q852" s="41">
        <f>INDEX(DPD_Bucket,MATCH(K852,DPD_From,1))</f>
        <v/>
      </c>
      <c r="R852" s="41">
        <f>INDEX(DPD_Class,MATCH(K852,DPD_From,1))</f>
        <v/>
      </c>
      <c r="S852" s="41">
        <f>INDEX(DPD_NPA,MATCH(K852,DPD_From,1))</f>
        <v/>
      </c>
      <c r="T852" s="42">
        <f>INDEX(DPD_Prov,MATCH(K852,DPD_From,1))</f>
        <v/>
      </c>
      <c r="U852" s="40">
        <f>ROUND(O852*T852,0)</f>
        <v/>
      </c>
      <c r="V852" s="41">
        <f>INDEX(CIBIL_Grade,MATCH(J852,CIBIL_From,1))</f>
        <v/>
      </c>
      <c r="W852" s="41">
        <f>YEAR(F852)&amp;"-Q"&amp;ROUNDUP(MONTH(F852)/3,0)</f>
        <v/>
      </c>
      <c r="X852" s="41">
        <f>IF(AND(OR(Dashboard!$C$4="All",D852=Dashboard!$C$4),OR(Dashboard!$C$5="All",E852=Dashboard!$C$5)),1,0)</f>
        <v/>
      </c>
      <c r="Y852" s="43">
        <f>IF(AND(X852=1,S852="Yes"),O852+ROW()/1000000,0)</f>
        <v/>
      </c>
    </row>
    <row r="853">
      <c r="A853" s="35" t="inlineStr">
        <is>
          <t>LN100852</t>
        </is>
      </c>
      <c r="B853" s="35" t="inlineStr">
        <is>
          <t>Manish Menon</t>
        </is>
      </c>
      <c r="C853" s="35" t="inlineStr">
        <is>
          <t>GUW-01</t>
        </is>
      </c>
      <c r="D853" s="36">
        <f>INDEX(Branches!$C$2:$C$15,MATCH(C853,Branches!$A$2:$A$15,0))</f>
        <v/>
      </c>
      <c r="E853" s="35" t="inlineStr">
        <is>
          <t>Business Loan</t>
        </is>
      </c>
      <c r="F853" s="37" t="n">
        <v>45950</v>
      </c>
      <c r="G853" s="38" t="n">
        <v>1142000</v>
      </c>
      <c r="H853" s="39" t="n">
        <v>0.1824</v>
      </c>
      <c r="I853" s="35" t="n">
        <v>12</v>
      </c>
      <c r="J853" s="35" t="n">
        <v>785</v>
      </c>
      <c r="K853" s="35" t="n">
        <v>0</v>
      </c>
      <c r="L853" s="40">
        <f>ROUND(PMT(H853/12,I853,-G853),0)</f>
        <v/>
      </c>
      <c r="M853" s="41">
        <f>MAX(0,(YEAR(AsOfDate)-YEAR(F853))*12+MONTH(AsOfDate)-MONTH(F853))</f>
        <v/>
      </c>
      <c r="N853" s="41">
        <f>MAX(0,MIN(I853,M853)-INT(K853/30))</f>
        <v/>
      </c>
      <c r="O853" s="40">
        <f>IF(N853&gt;=I853,0,ROUND(PV(H853/12,I853-N853,-L853),0))</f>
        <v/>
      </c>
      <c r="P853" s="40">
        <f>MIN(I853,M853)*L853-N853*L853</f>
        <v/>
      </c>
      <c r="Q853" s="41">
        <f>INDEX(DPD_Bucket,MATCH(K853,DPD_From,1))</f>
        <v/>
      </c>
      <c r="R853" s="41">
        <f>INDEX(DPD_Class,MATCH(K853,DPD_From,1))</f>
        <v/>
      </c>
      <c r="S853" s="41">
        <f>INDEX(DPD_NPA,MATCH(K853,DPD_From,1))</f>
        <v/>
      </c>
      <c r="T853" s="42">
        <f>INDEX(DPD_Prov,MATCH(K853,DPD_From,1))</f>
        <v/>
      </c>
      <c r="U853" s="40">
        <f>ROUND(O853*T853,0)</f>
        <v/>
      </c>
      <c r="V853" s="41">
        <f>INDEX(CIBIL_Grade,MATCH(J853,CIBIL_From,1))</f>
        <v/>
      </c>
      <c r="W853" s="41">
        <f>YEAR(F853)&amp;"-Q"&amp;ROUNDUP(MONTH(F853)/3,0)</f>
        <v/>
      </c>
      <c r="X853" s="41">
        <f>IF(AND(OR(Dashboard!$C$4="All",D853=Dashboard!$C$4),OR(Dashboard!$C$5="All",E853=Dashboard!$C$5)),1,0)</f>
        <v/>
      </c>
      <c r="Y853" s="43">
        <f>IF(AND(X853=1,S853="Yes"),O853+ROW()/1000000,0)</f>
        <v/>
      </c>
    </row>
    <row r="854">
      <c r="A854" s="35" t="inlineStr">
        <is>
          <t>LN100853</t>
        </is>
      </c>
      <c r="B854" s="35" t="inlineStr">
        <is>
          <t>Arjun Iyer</t>
        </is>
      </c>
      <c r="C854" s="35" t="inlineStr">
        <is>
          <t>PAT-01</t>
        </is>
      </c>
      <c r="D854" s="36">
        <f>INDEX(Branches!$C$2:$C$15,MATCH(C854,Branches!$A$2:$A$15,0))</f>
        <v/>
      </c>
      <c r="E854" s="35" t="inlineStr">
        <is>
          <t>Gold Loan</t>
        </is>
      </c>
      <c r="F854" s="37" t="n">
        <v>45543</v>
      </c>
      <c r="G854" s="38" t="n">
        <v>363000</v>
      </c>
      <c r="H854" s="39" t="n">
        <v>0.1057</v>
      </c>
      <c r="I854" s="35" t="n">
        <v>12</v>
      </c>
      <c r="J854" s="35" t="n">
        <v>768</v>
      </c>
      <c r="K854" s="35" t="n">
        <v>0</v>
      </c>
      <c r="L854" s="40">
        <f>ROUND(PMT(H854/12,I854,-G854),0)</f>
        <v/>
      </c>
      <c r="M854" s="41">
        <f>MAX(0,(YEAR(AsOfDate)-YEAR(F854))*12+MONTH(AsOfDate)-MONTH(F854))</f>
        <v/>
      </c>
      <c r="N854" s="41">
        <f>MAX(0,MIN(I854,M854)-INT(K854/30))</f>
        <v/>
      </c>
      <c r="O854" s="40">
        <f>IF(N854&gt;=I854,0,ROUND(PV(H854/12,I854-N854,-L854),0))</f>
        <v/>
      </c>
      <c r="P854" s="40">
        <f>MIN(I854,M854)*L854-N854*L854</f>
        <v/>
      </c>
      <c r="Q854" s="41">
        <f>INDEX(DPD_Bucket,MATCH(K854,DPD_From,1))</f>
        <v/>
      </c>
      <c r="R854" s="41">
        <f>INDEX(DPD_Class,MATCH(K854,DPD_From,1))</f>
        <v/>
      </c>
      <c r="S854" s="41">
        <f>INDEX(DPD_NPA,MATCH(K854,DPD_From,1))</f>
        <v/>
      </c>
      <c r="T854" s="42">
        <f>INDEX(DPD_Prov,MATCH(K854,DPD_From,1))</f>
        <v/>
      </c>
      <c r="U854" s="40">
        <f>ROUND(O854*T854,0)</f>
        <v/>
      </c>
      <c r="V854" s="41">
        <f>INDEX(CIBIL_Grade,MATCH(J854,CIBIL_From,1))</f>
        <v/>
      </c>
      <c r="W854" s="41">
        <f>YEAR(F854)&amp;"-Q"&amp;ROUNDUP(MONTH(F854)/3,0)</f>
        <v/>
      </c>
      <c r="X854" s="41">
        <f>IF(AND(OR(Dashboard!$C$4="All",D854=Dashboard!$C$4),OR(Dashboard!$C$5="All",E854=Dashboard!$C$5)),1,0)</f>
        <v/>
      </c>
      <c r="Y854" s="43">
        <f>IF(AND(X854=1,S854="Yes"),O854+ROW()/1000000,0)</f>
        <v/>
      </c>
    </row>
    <row r="855">
      <c r="A855" s="35" t="inlineStr">
        <is>
          <t>LN100854</t>
        </is>
      </c>
      <c r="B855" s="35" t="inlineStr">
        <is>
          <t>Reyansh Reddy</t>
        </is>
      </c>
      <c r="C855" s="35" t="inlineStr">
        <is>
          <t>KOC-01</t>
        </is>
      </c>
      <c r="D855" s="36">
        <f>INDEX(Branches!$C$2:$C$15,MATCH(C855,Branches!$A$2:$A$15,0))</f>
        <v/>
      </c>
      <c r="E855" s="35" t="inlineStr">
        <is>
          <t>Personal Loan</t>
        </is>
      </c>
      <c r="F855" s="37" t="n">
        <v>45824</v>
      </c>
      <c r="G855" s="38" t="n">
        <v>781000</v>
      </c>
      <c r="H855" s="39" t="n">
        <v>0.1427</v>
      </c>
      <c r="I855" s="35" t="n">
        <v>48</v>
      </c>
      <c r="J855" s="35" t="n">
        <v>736</v>
      </c>
      <c r="K855" s="35" t="n">
        <v>0</v>
      </c>
      <c r="L855" s="40">
        <f>ROUND(PMT(H855/12,I855,-G855),0)</f>
        <v/>
      </c>
      <c r="M855" s="41">
        <f>MAX(0,(YEAR(AsOfDate)-YEAR(F855))*12+MONTH(AsOfDate)-MONTH(F855))</f>
        <v/>
      </c>
      <c r="N855" s="41">
        <f>MAX(0,MIN(I855,M855)-INT(K855/30))</f>
        <v/>
      </c>
      <c r="O855" s="40">
        <f>IF(N855&gt;=I855,0,ROUND(PV(H855/12,I855-N855,-L855),0))</f>
        <v/>
      </c>
      <c r="P855" s="40">
        <f>MIN(I855,M855)*L855-N855*L855</f>
        <v/>
      </c>
      <c r="Q855" s="41">
        <f>INDEX(DPD_Bucket,MATCH(K855,DPD_From,1))</f>
        <v/>
      </c>
      <c r="R855" s="41">
        <f>INDEX(DPD_Class,MATCH(K855,DPD_From,1))</f>
        <v/>
      </c>
      <c r="S855" s="41">
        <f>INDEX(DPD_NPA,MATCH(K855,DPD_From,1))</f>
        <v/>
      </c>
      <c r="T855" s="42">
        <f>INDEX(DPD_Prov,MATCH(K855,DPD_From,1))</f>
        <v/>
      </c>
      <c r="U855" s="40">
        <f>ROUND(O855*T855,0)</f>
        <v/>
      </c>
      <c r="V855" s="41">
        <f>INDEX(CIBIL_Grade,MATCH(J855,CIBIL_From,1))</f>
        <v/>
      </c>
      <c r="W855" s="41">
        <f>YEAR(F855)&amp;"-Q"&amp;ROUNDUP(MONTH(F855)/3,0)</f>
        <v/>
      </c>
      <c r="X855" s="41">
        <f>IF(AND(OR(Dashboard!$C$4="All",D855=Dashboard!$C$4),OR(Dashboard!$C$5="All",E855=Dashboard!$C$5)),1,0)</f>
        <v/>
      </c>
      <c r="Y855" s="43">
        <f>IF(AND(X855=1,S855="Yes"),O855+ROW()/1000000,0)</f>
        <v/>
      </c>
    </row>
    <row r="856">
      <c r="A856" s="35" t="inlineStr">
        <is>
          <t>LN100855</t>
        </is>
      </c>
      <c r="B856" s="35" t="inlineStr">
        <is>
          <t>Manish Das</t>
        </is>
      </c>
      <c r="C856" s="35" t="inlineStr">
        <is>
          <t>MUM-01</t>
        </is>
      </c>
      <c r="D856" s="36">
        <f>INDEX(Branches!$C$2:$C$15,MATCH(C856,Branches!$A$2:$A$15,0))</f>
        <v/>
      </c>
      <c r="E856" s="35" t="inlineStr">
        <is>
          <t>Home Loan</t>
        </is>
      </c>
      <c r="F856" s="37" t="n">
        <v>45738</v>
      </c>
      <c r="G856" s="38" t="n">
        <v>14778000</v>
      </c>
      <c r="H856" s="39" t="n">
        <v>0.09619999999999999</v>
      </c>
      <c r="I856" s="35" t="n">
        <v>240</v>
      </c>
      <c r="J856" s="35" t="n">
        <v>742</v>
      </c>
      <c r="K856" s="35" t="n">
        <v>0</v>
      </c>
      <c r="L856" s="40">
        <f>ROUND(PMT(H856/12,I856,-G856),0)</f>
        <v/>
      </c>
      <c r="M856" s="41">
        <f>MAX(0,(YEAR(AsOfDate)-YEAR(F856))*12+MONTH(AsOfDate)-MONTH(F856))</f>
        <v/>
      </c>
      <c r="N856" s="41">
        <f>MAX(0,MIN(I856,M856)-INT(K856/30))</f>
        <v/>
      </c>
      <c r="O856" s="40">
        <f>IF(N856&gt;=I856,0,ROUND(PV(H856/12,I856-N856,-L856),0))</f>
        <v/>
      </c>
      <c r="P856" s="40">
        <f>MIN(I856,M856)*L856-N856*L856</f>
        <v/>
      </c>
      <c r="Q856" s="41">
        <f>INDEX(DPD_Bucket,MATCH(K856,DPD_From,1))</f>
        <v/>
      </c>
      <c r="R856" s="41">
        <f>INDEX(DPD_Class,MATCH(K856,DPD_From,1))</f>
        <v/>
      </c>
      <c r="S856" s="41">
        <f>INDEX(DPD_NPA,MATCH(K856,DPD_From,1))</f>
        <v/>
      </c>
      <c r="T856" s="42">
        <f>INDEX(DPD_Prov,MATCH(K856,DPD_From,1))</f>
        <v/>
      </c>
      <c r="U856" s="40">
        <f>ROUND(O856*T856,0)</f>
        <v/>
      </c>
      <c r="V856" s="41">
        <f>INDEX(CIBIL_Grade,MATCH(J856,CIBIL_From,1))</f>
        <v/>
      </c>
      <c r="W856" s="41">
        <f>YEAR(F856)&amp;"-Q"&amp;ROUNDUP(MONTH(F856)/3,0)</f>
        <v/>
      </c>
      <c r="X856" s="41">
        <f>IF(AND(OR(Dashboard!$C$4="All",D856=Dashboard!$C$4),OR(Dashboard!$C$5="All",E856=Dashboard!$C$5)),1,0)</f>
        <v/>
      </c>
      <c r="Y856" s="43">
        <f>IF(AND(X856=1,S856="Yes"),O856+ROW()/1000000,0)</f>
        <v/>
      </c>
    </row>
    <row r="857">
      <c r="A857" s="35" t="inlineStr">
        <is>
          <t>LN100856</t>
        </is>
      </c>
      <c r="B857" s="35" t="inlineStr">
        <is>
          <t>Reyansh Iyer</t>
        </is>
      </c>
      <c r="C857" s="35" t="inlineStr">
        <is>
          <t>MUM-01</t>
        </is>
      </c>
      <c r="D857" s="36">
        <f>INDEX(Branches!$C$2:$C$15,MATCH(C857,Branches!$A$2:$A$15,0))</f>
        <v/>
      </c>
      <c r="E857" s="35" t="inlineStr">
        <is>
          <t>Personal Loan</t>
        </is>
      </c>
      <c r="F857" s="37" t="n">
        <v>45950</v>
      </c>
      <c r="G857" s="38" t="n">
        <v>220000</v>
      </c>
      <c r="H857" s="39" t="n">
        <v>0.1144</v>
      </c>
      <c r="I857" s="35" t="n">
        <v>60</v>
      </c>
      <c r="J857" s="35" t="n">
        <v>752</v>
      </c>
      <c r="K857" s="35" t="n">
        <v>0</v>
      </c>
      <c r="L857" s="40">
        <f>ROUND(PMT(H857/12,I857,-G857),0)</f>
        <v/>
      </c>
      <c r="M857" s="41">
        <f>MAX(0,(YEAR(AsOfDate)-YEAR(F857))*12+MONTH(AsOfDate)-MONTH(F857))</f>
        <v/>
      </c>
      <c r="N857" s="41">
        <f>MAX(0,MIN(I857,M857)-INT(K857/30))</f>
        <v/>
      </c>
      <c r="O857" s="40">
        <f>IF(N857&gt;=I857,0,ROUND(PV(H857/12,I857-N857,-L857),0))</f>
        <v/>
      </c>
      <c r="P857" s="40">
        <f>MIN(I857,M857)*L857-N857*L857</f>
        <v/>
      </c>
      <c r="Q857" s="41">
        <f>INDEX(DPD_Bucket,MATCH(K857,DPD_From,1))</f>
        <v/>
      </c>
      <c r="R857" s="41">
        <f>INDEX(DPD_Class,MATCH(K857,DPD_From,1))</f>
        <v/>
      </c>
      <c r="S857" s="41">
        <f>INDEX(DPD_NPA,MATCH(K857,DPD_From,1))</f>
        <v/>
      </c>
      <c r="T857" s="42">
        <f>INDEX(DPD_Prov,MATCH(K857,DPD_From,1))</f>
        <v/>
      </c>
      <c r="U857" s="40">
        <f>ROUND(O857*T857,0)</f>
        <v/>
      </c>
      <c r="V857" s="41">
        <f>INDEX(CIBIL_Grade,MATCH(J857,CIBIL_From,1))</f>
        <v/>
      </c>
      <c r="W857" s="41">
        <f>YEAR(F857)&amp;"-Q"&amp;ROUNDUP(MONTH(F857)/3,0)</f>
        <v/>
      </c>
      <c r="X857" s="41">
        <f>IF(AND(OR(Dashboard!$C$4="All",D857=Dashboard!$C$4),OR(Dashboard!$C$5="All",E857=Dashboard!$C$5)),1,0)</f>
        <v/>
      </c>
      <c r="Y857" s="43">
        <f>IF(AND(X857=1,S857="Yes"),O857+ROW()/1000000,0)</f>
        <v/>
      </c>
    </row>
    <row r="858">
      <c r="A858" s="35" t="inlineStr">
        <is>
          <t>LN100857</t>
        </is>
      </c>
      <c r="B858" s="35" t="inlineStr">
        <is>
          <t>Vivaan Gupta</t>
        </is>
      </c>
      <c r="C858" s="35" t="inlineStr">
        <is>
          <t>PAT-01</t>
        </is>
      </c>
      <c r="D858" s="36">
        <f>INDEX(Branches!$C$2:$C$15,MATCH(C858,Branches!$A$2:$A$15,0))</f>
        <v/>
      </c>
      <c r="E858" s="35" t="inlineStr">
        <is>
          <t>Home Loan</t>
        </is>
      </c>
      <c r="F858" s="37" t="n">
        <v>45693</v>
      </c>
      <c r="G858" s="38" t="n">
        <v>14418000</v>
      </c>
      <c r="H858" s="39" t="n">
        <v>0.09329999999999999</v>
      </c>
      <c r="I858" s="35" t="n">
        <v>120</v>
      </c>
      <c r="J858" s="35" t="n">
        <v>653</v>
      </c>
      <c r="K858" s="35" t="n">
        <v>0</v>
      </c>
      <c r="L858" s="40">
        <f>ROUND(PMT(H858/12,I858,-G858),0)</f>
        <v/>
      </c>
      <c r="M858" s="41">
        <f>MAX(0,(YEAR(AsOfDate)-YEAR(F858))*12+MONTH(AsOfDate)-MONTH(F858))</f>
        <v/>
      </c>
      <c r="N858" s="41">
        <f>MAX(0,MIN(I858,M858)-INT(K858/30))</f>
        <v/>
      </c>
      <c r="O858" s="40">
        <f>IF(N858&gt;=I858,0,ROUND(PV(H858/12,I858-N858,-L858),0))</f>
        <v/>
      </c>
      <c r="P858" s="40">
        <f>MIN(I858,M858)*L858-N858*L858</f>
        <v/>
      </c>
      <c r="Q858" s="41">
        <f>INDEX(DPD_Bucket,MATCH(K858,DPD_From,1))</f>
        <v/>
      </c>
      <c r="R858" s="41">
        <f>INDEX(DPD_Class,MATCH(K858,DPD_From,1))</f>
        <v/>
      </c>
      <c r="S858" s="41">
        <f>INDEX(DPD_NPA,MATCH(K858,DPD_From,1))</f>
        <v/>
      </c>
      <c r="T858" s="42">
        <f>INDEX(DPD_Prov,MATCH(K858,DPD_From,1))</f>
        <v/>
      </c>
      <c r="U858" s="40">
        <f>ROUND(O858*T858,0)</f>
        <v/>
      </c>
      <c r="V858" s="41">
        <f>INDEX(CIBIL_Grade,MATCH(J858,CIBIL_From,1))</f>
        <v/>
      </c>
      <c r="W858" s="41">
        <f>YEAR(F858)&amp;"-Q"&amp;ROUNDUP(MONTH(F858)/3,0)</f>
        <v/>
      </c>
      <c r="X858" s="41">
        <f>IF(AND(OR(Dashboard!$C$4="All",D858=Dashboard!$C$4),OR(Dashboard!$C$5="All",E858=Dashboard!$C$5)),1,0)</f>
        <v/>
      </c>
      <c r="Y858" s="43">
        <f>IF(AND(X858=1,S858="Yes"),O858+ROW()/1000000,0)</f>
        <v/>
      </c>
    </row>
    <row r="859">
      <c r="A859" s="35" t="inlineStr">
        <is>
          <t>LN100858</t>
        </is>
      </c>
      <c r="B859" s="35" t="inlineStr">
        <is>
          <t>Nikhil Sharma</t>
        </is>
      </c>
      <c r="C859" s="35" t="inlineStr">
        <is>
          <t>AMD-01</t>
        </is>
      </c>
      <c r="D859" s="36">
        <f>INDEX(Branches!$C$2:$C$15,MATCH(C859,Branches!$A$2:$A$15,0))</f>
        <v/>
      </c>
      <c r="E859" s="35" t="inlineStr">
        <is>
          <t>Business Loan</t>
        </is>
      </c>
      <c r="F859" s="37" t="n">
        <v>45975</v>
      </c>
      <c r="G859" s="38" t="n">
        <v>3213000</v>
      </c>
      <c r="H859" s="39" t="n">
        <v>0.1991</v>
      </c>
      <c r="I859" s="35" t="n">
        <v>12</v>
      </c>
      <c r="J859" s="35" t="n">
        <v>746</v>
      </c>
      <c r="K859" s="35" t="n">
        <v>0</v>
      </c>
      <c r="L859" s="40">
        <f>ROUND(PMT(H859/12,I859,-G859),0)</f>
        <v/>
      </c>
      <c r="M859" s="41">
        <f>MAX(0,(YEAR(AsOfDate)-YEAR(F859))*12+MONTH(AsOfDate)-MONTH(F859))</f>
        <v/>
      </c>
      <c r="N859" s="41">
        <f>MAX(0,MIN(I859,M859)-INT(K859/30))</f>
        <v/>
      </c>
      <c r="O859" s="40">
        <f>IF(N859&gt;=I859,0,ROUND(PV(H859/12,I859-N859,-L859),0))</f>
        <v/>
      </c>
      <c r="P859" s="40">
        <f>MIN(I859,M859)*L859-N859*L859</f>
        <v/>
      </c>
      <c r="Q859" s="41">
        <f>INDEX(DPD_Bucket,MATCH(K859,DPD_From,1))</f>
        <v/>
      </c>
      <c r="R859" s="41">
        <f>INDEX(DPD_Class,MATCH(K859,DPD_From,1))</f>
        <v/>
      </c>
      <c r="S859" s="41">
        <f>INDEX(DPD_NPA,MATCH(K859,DPD_From,1))</f>
        <v/>
      </c>
      <c r="T859" s="42">
        <f>INDEX(DPD_Prov,MATCH(K859,DPD_From,1))</f>
        <v/>
      </c>
      <c r="U859" s="40">
        <f>ROUND(O859*T859,0)</f>
        <v/>
      </c>
      <c r="V859" s="41">
        <f>INDEX(CIBIL_Grade,MATCH(J859,CIBIL_From,1))</f>
        <v/>
      </c>
      <c r="W859" s="41">
        <f>YEAR(F859)&amp;"-Q"&amp;ROUNDUP(MONTH(F859)/3,0)</f>
        <v/>
      </c>
      <c r="X859" s="41">
        <f>IF(AND(OR(Dashboard!$C$4="All",D859=Dashboard!$C$4),OR(Dashboard!$C$5="All",E859=Dashboard!$C$5)),1,0)</f>
        <v/>
      </c>
      <c r="Y859" s="43">
        <f>IF(AND(X859=1,S859="Yes"),O859+ROW()/1000000,0)</f>
        <v/>
      </c>
    </row>
    <row r="860">
      <c r="A860" s="35" t="inlineStr">
        <is>
          <t>LN100859</t>
        </is>
      </c>
      <c r="B860" s="35" t="inlineStr">
        <is>
          <t>Deepa Rao</t>
        </is>
      </c>
      <c r="C860" s="35" t="inlineStr">
        <is>
          <t>PUN-01</t>
        </is>
      </c>
      <c r="D860" s="36">
        <f>INDEX(Branches!$C$2:$C$15,MATCH(C860,Branches!$A$2:$A$15,0))</f>
        <v/>
      </c>
      <c r="E860" s="35" t="inlineStr">
        <is>
          <t>Business Loan</t>
        </is>
      </c>
      <c r="F860" s="37" t="n">
        <v>45204</v>
      </c>
      <c r="G860" s="38" t="n">
        <v>4176000</v>
      </c>
      <c r="H860" s="39" t="n">
        <v>0.1959</v>
      </c>
      <c r="I860" s="35" t="n">
        <v>60</v>
      </c>
      <c r="J860" s="35" t="n">
        <v>738</v>
      </c>
      <c r="K860" s="35" t="n">
        <v>0</v>
      </c>
      <c r="L860" s="40">
        <f>ROUND(PMT(H860/12,I860,-G860),0)</f>
        <v/>
      </c>
      <c r="M860" s="41">
        <f>MAX(0,(YEAR(AsOfDate)-YEAR(F860))*12+MONTH(AsOfDate)-MONTH(F860))</f>
        <v/>
      </c>
      <c r="N860" s="41">
        <f>MAX(0,MIN(I860,M860)-INT(K860/30))</f>
        <v/>
      </c>
      <c r="O860" s="40">
        <f>IF(N860&gt;=I860,0,ROUND(PV(H860/12,I860-N860,-L860),0))</f>
        <v/>
      </c>
      <c r="P860" s="40">
        <f>MIN(I860,M860)*L860-N860*L860</f>
        <v/>
      </c>
      <c r="Q860" s="41">
        <f>INDEX(DPD_Bucket,MATCH(K860,DPD_From,1))</f>
        <v/>
      </c>
      <c r="R860" s="41">
        <f>INDEX(DPD_Class,MATCH(K860,DPD_From,1))</f>
        <v/>
      </c>
      <c r="S860" s="41">
        <f>INDEX(DPD_NPA,MATCH(K860,DPD_From,1))</f>
        <v/>
      </c>
      <c r="T860" s="42">
        <f>INDEX(DPD_Prov,MATCH(K860,DPD_From,1))</f>
        <v/>
      </c>
      <c r="U860" s="40">
        <f>ROUND(O860*T860,0)</f>
        <v/>
      </c>
      <c r="V860" s="41">
        <f>INDEX(CIBIL_Grade,MATCH(J860,CIBIL_From,1))</f>
        <v/>
      </c>
      <c r="W860" s="41">
        <f>YEAR(F860)&amp;"-Q"&amp;ROUNDUP(MONTH(F860)/3,0)</f>
        <v/>
      </c>
      <c r="X860" s="41">
        <f>IF(AND(OR(Dashboard!$C$4="All",D860=Dashboard!$C$4),OR(Dashboard!$C$5="All",E860=Dashboard!$C$5)),1,0)</f>
        <v/>
      </c>
      <c r="Y860" s="43">
        <f>IF(AND(X860=1,S860="Yes"),O860+ROW()/1000000,0)</f>
        <v/>
      </c>
    </row>
    <row r="861">
      <c r="A861" s="35" t="inlineStr">
        <is>
          <t>LN100860</t>
        </is>
      </c>
      <c r="B861" s="35" t="inlineStr">
        <is>
          <t>Gaurav Rao</t>
        </is>
      </c>
      <c r="C861" s="35" t="inlineStr">
        <is>
          <t>PAT-01</t>
        </is>
      </c>
      <c r="D861" s="36">
        <f>INDEX(Branches!$C$2:$C$15,MATCH(C861,Branches!$A$2:$A$15,0))</f>
        <v/>
      </c>
      <c r="E861" s="35" t="inlineStr">
        <is>
          <t>Personal Loan</t>
        </is>
      </c>
      <c r="F861" s="37" t="n">
        <v>46056</v>
      </c>
      <c r="G861" s="38" t="n">
        <v>240000</v>
      </c>
      <c r="H861" s="39" t="n">
        <v>0.1393</v>
      </c>
      <c r="I861" s="35" t="n">
        <v>48</v>
      </c>
      <c r="J861" s="35" t="n">
        <v>660</v>
      </c>
      <c r="K861" s="35" t="n">
        <v>0</v>
      </c>
      <c r="L861" s="40">
        <f>ROUND(PMT(H861/12,I861,-G861),0)</f>
        <v/>
      </c>
      <c r="M861" s="41">
        <f>MAX(0,(YEAR(AsOfDate)-YEAR(F861))*12+MONTH(AsOfDate)-MONTH(F861))</f>
        <v/>
      </c>
      <c r="N861" s="41">
        <f>MAX(0,MIN(I861,M861)-INT(K861/30))</f>
        <v/>
      </c>
      <c r="O861" s="40">
        <f>IF(N861&gt;=I861,0,ROUND(PV(H861/12,I861-N861,-L861),0))</f>
        <v/>
      </c>
      <c r="P861" s="40">
        <f>MIN(I861,M861)*L861-N861*L861</f>
        <v/>
      </c>
      <c r="Q861" s="41">
        <f>INDEX(DPD_Bucket,MATCH(K861,DPD_From,1))</f>
        <v/>
      </c>
      <c r="R861" s="41">
        <f>INDEX(DPD_Class,MATCH(K861,DPD_From,1))</f>
        <v/>
      </c>
      <c r="S861" s="41">
        <f>INDEX(DPD_NPA,MATCH(K861,DPD_From,1))</f>
        <v/>
      </c>
      <c r="T861" s="42">
        <f>INDEX(DPD_Prov,MATCH(K861,DPD_From,1))</f>
        <v/>
      </c>
      <c r="U861" s="40">
        <f>ROUND(O861*T861,0)</f>
        <v/>
      </c>
      <c r="V861" s="41">
        <f>INDEX(CIBIL_Grade,MATCH(J861,CIBIL_From,1))</f>
        <v/>
      </c>
      <c r="W861" s="41">
        <f>YEAR(F861)&amp;"-Q"&amp;ROUNDUP(MONTH(F861)/3,0)</f>
        <v/>
      </c>
      <c r="X861" s="41">
        <f>IF(AND(OR(Dashboard!$C$4="All",D861=Dashboard!$C$4),OR(Dashboard!$C$5="All",E861=Dashboard!$C$5)),1,0)</f>
        <v/>
      </c>
      <c r="Y861" s="43">
        <f>IF(AND(X861=1,S861="Yes"),O861+ROW()/1000000,0)</f>
        <v/>
      </c>
    </row>
    <row r="862">
      <c r="A862" s="35" t="inlineStr">
        <is>
          <t>LN100861</t>
        </is>
      </c>
      <c r="B862" s="35" t="inlineStr">
        <is>
          <t>Deepa Pillai</t>
        </is>
      </c>
      <c r="C862" s="35" t="inlineStr">
        <is>
          <t>LKO-01</t>
        </is>
      </c>
      <c r="D862" s="36">
        <f>INDEX(Branches!$C$2:$C$15,MATCH(C862,Branches!$A$2:$A$15,0))</f>
        <v/>
      </c>
      <c r="E862" s="35" t="inlineStr">
        <is>
          <t>Personal Loan</t>
        </is>
      </c>
      <c r="F862" s="37" t="n">
        <v>46121</v>
      </c>
      <c r="G862" s="38" t="n">
        <v>678000</v>
      </c>
      <c r="H862" s="39" t="n">
        <v>0.1191</v>
      </c>
      <c r="I862" s="35" t="n">
        <v>24</v>
      </c>
      <c r="J862" s="35" t="n">
        <v>646</v>
      </c>
      <c r="K862" s="35" t="n">
        <v>45</v>
      </c>
      <c r="L862" s="40">
        <f>ROUND(PMT(H862/12,I862,-G862),0)</f>
        <v/>
      </c>
      <c r="M862" s="41">
        <f>MAX(0,(YEAR(AsOfDate)-YEAR(F862))*12+MONTH(AsOfDate)-MONTH(F862))</f>
        <v/>
      </c>
      <c r="N862" s="41">
        <f>MAX(0,MIN(I862,M862)-INT(K862/30))</f>
        <v/>
      </c>
      <c r="O862" s="40">
        <f>IF(N862&gt;=I862,0,ROUND(PV(H862/12,I862-N862,-L862),0))</f>
        <v/>
      </c>
      <c r="P862" s="40">
        <f>MIN(I862,M862)*L862-N862*L862</f>
        <v/>
      </c>
      <c r="Q862" s="41">
        <f>INDEX(DPD_Bucket,MATCH(K862,DPD_From,1))</f>
        <v/>
      </c>
      <c r="R862" s="41">
        <f>INDEX(DPD_Class,MATCH(K862,DPD_From,1))</f>
        <v/>
      </c>
      <c r="S862" s="41">
        <f>INDEX(DPD_NPA,MATCH(K862,DPD_From,1))</f>
        <v/>
      </c>
      <c r="T862" s="42">
        <f>INDEX(DPD_Prov,MATCH(K862,DPD_From,1))</f>
        <v/>
      </c>
      <c r="U862" s="40">
        <f>ROUND(O862*T862,0)</f>
        <v/>
      </c>
      <c r="V862" s="41">
        <f>INDEX(CIBIL_Grade,MATCH(J862,CIBIL_From,1))</f>
        <v/>
      </c>
      <c r="W862" s="41">
        <f>YEAR(F862)&amp;"-Q"&amp;ROUNDUP(MONTH(F862)/3,0)</f>
        <v/>
      </c>
      <c r="X862" s="41">
        <f>IF(AND(OR(Dashboard!$C$4="All",D862=Dashboard!$C$4),OR(Dashboard!$C$5="All",E862=Dashboard!$C$5)),1,0)</f>
        <v/>
      </c>
      <c r="Y862" s="43">
        <f>IF(AND(X862=1,S862="Yes"),O862+ROW()/1000000,0)</f>
        <v/>
      </c>
    </row>
    <row r="863">
      <c r="A863" s="35" t="inlineStr">
        <is>
          <t>LN100862</t>
        </is>
      </c>
      <c r="B863" s="35" t="inlineStr">
        <is>
          <t>Gaurav Verma</t>
        </is>
      </c>
      <c r="C863" s="35" t="inlineStr">
        <is>
          <t>PAT-01</t>
        </is>
      </c>
      <c r="D863" s="36">
        <f>INDEX(Branches!$C$2:$C$15,MATCH(C863,Branches!$A$2:$A$15,0))</f>
        <v/>
      </c>
      <c r="E863" s="35" t="inlineStr">
        <is>
          <t>Gold Loan</t>
        </is>
      </c>
      <c r="F863" s="37" t="n">
        <v>46139</v>
      </c>
      <c r="G863" s="38" t="n">
        <v>381000</v>
      </c>
      <c r="H863" s="39" t="n">
        <v>0.1103</v>
      </c>
      <c r="I863" s="35" t="n">
        <v>12</v>
      </c>
      <c r="J863" s="35" t="n">
        <v>668</v>
      </c>
      <c r="K863" s="35" t="n">
        <v>0</v>
      </c>
      <c r="L863" s="40">
        <f>ROUND(PMT(H863/12,I863,-G863),0)</f>
        <v/>
      </c>
      <c r="M863" s="41">
        <f>MAX(0,(YEAR(AsOfDate)-YEAR(F863))*12+MONTH(AsOfDate)-MONTH(F863))</f>
        <v/>
      </c>
      <c r="N863" s="41">
        <f>MAX(0,MIN(I863,M863)-INT(K863/30))</f>
        <v/>
      </c>
      <c r="O863" s="40">
        <f>IF(N863&gt;=I863,0,ROUND(PV(H863/12,I863-N863,-L863),0))</f>
        <v/>
      </c>
      <c r="P863" s="40">
        <f>MIN(I863,M863)*L863-N863*L863</f>
        <v/>
      </c>
      <c r="Q863" s="41">
        <f>INDEX(DPD_Bucket,MATCH(K863,DPD_From,1))</f>
        <v/>
      </c>
      <c r="R863" s="41">
        <f>INDEX(DPD_Class,MATCH(K863,DPD_From,1))</f>
        <v/>
      </c>
      <c r="S863" s="41">
        <f>INDEX(DPD_NPA,MATCH(K863,DPD_From,1))</f>
        <v/>
      </c>
      <c r="T863" s="42">
        <f>INDEX(DPD_Prov,MATCH(K863,DPD_From,1))</f>
        <v/>
      </c>
      <c r="U863" s="40">
        <f>ROUND(O863*T863,0)</f>
        <v/>
      </c>
      <c r="V863" s="41">
        <f>INDEX(CIBIL_Grade,MATCH(J863,CIBIL_From,1))</f>
        <v/>
      </c>
      <c r="W863" s="41">
        <f>YEAR(F863)&amp;"-Q"&amp;ROUNDUP(MONTH(F863)/3,0)</f>
        <v/>
      </c>
      <c r="X863" s="41">
        <f>IF(AND(OR(Dashboard!$C$4="All",D863=Dashboard!$C$4),OR(Dashboard!$C$5="All",E863=Dashboard!$C$5)),1,0)</f>
        <v/>
      </c>
      <c r="Y863" s="43">
        <f>IF(AND(X863=1,S863="Yes"),O863+ROW()/1000000,0)</f>
        <v/>
      </c>
    </row>
    <row r="864">
      <c r="A864" s="35" t="inlineStr">
        <is>
          <t>LN100863</t>
        </is>
      </c>
      <c r="B864" s="35" t="inlineStr">
        <is>
          <t>Harsh Pillai</t>
        </is>
      </c>
      <c r="C864" s="35" t="inlineStr">
        <is>
          <t>KOL-01</t>
        </is>
      </c>
      <c r="D864" s="36">
        <f>INDEX(Branches!$C$2:$C$15,MATCH(C864,Branches!$A$2:$A$15,0))</f>
        <v/>
      </c>
      <c r="E864" s="35" t="inlineStr">
        <is>
          <t>Auto Loan</t>
        </is>
      </c>
      <c r="F864" s="37" t="n">
        <v>45354</v>
      </c>
      <c r="G864" s="38" t="n">
        <v>1771000</v>
      </c>
      <c r="H864" s="39" t="n">
        <v>0.1171</v>
      </c>
      <c r="I864" s="35" t="n">
        <v>84</v>
      </c>
      <c r="J864" s="35" t="n">
        <v>728</v>
      </c>
      <c r="K864" s="35" t="n">
        <v>0</v>
      </c>
      <c r="L864" s="40">
        <f>ROUND(PMT(H864/12,I864,-G864),0)</f>
        <v/>
      </c>
      <c r="M864" s="41">
        <f>MAX(0,(YEAR(AsOfDate)-YEAR(F864))*12+MONTH(AsOfDate)-MONTH(F864))</f>
        <v/>
      </c>
      <c r="N864" s="41">
        <f>MAX(0,MIN(I864,M864)-INT(K864/30))</f>
        <v/>
      </c>
      <c r="O864" s="40">
        <f>IF(N864&gt;=I864,0,ROUND(PV(H864/12,I864-N864,-L864),0))</f>
        <v/>
      </c>
      <c r="P864" s="40">
        <f>MIN(I864,M864)*L864-N864*L864</f>
        <v/>
      </c>
      <c r="Q864" s="41">
        <f>INDEX(DPD_Bucket,MATCH(K864,DPD_From,1))</f>
        <v/>
      </c>
      <c r="R864" s="41">
        <f>INDEX(DPD_Class,MATCH(K864,DPD_From,1))</f>
        <v/>
      </c>
      <c r="S864" s="41">
        <f>INDEX(DPD_NPA,MATCH(K864,DPD_From,1))</f>
        <v/>
      </c>
      <c r="T864" s="42">
        <f>INDEX(DPD_Prov,MATCH(K864,DPD_From,1))</f>
        <v/>
      </c>
      <c r="U864" s="40">
        <f>ROUND(O864*T864,0)</f>
        <v/>
      </c>
      <c r="V864" s="41">
        <f>INDEX(CIBIL_Grade,MATCH(J864,CIBIL_From,1))</f>
        <v/>
      </c>
      <c r="W864" s="41">
        <f>YEAR(F864)&amp;"-Q"&amp;ROUNDUP(MONTH(F864)/3,0)</f>
        <v/>
      </c>
      <c r="X864" s="41">
        <f>IF(AND(OR(Dashboard!$C$4="All",D864=Dashboard!$C$4),OR(Dashboard!$C$5="All",E864=Dashboard!$C$5)),1,0)</f>
        <v/>
      </c>
      <c r="Y864" s="43">
        <f>IF(AND(X864=1,S864="Yes"),O864+ROW()/1000000,0)</f>
        <v/>
      </c>
    </row>
    <row r="865">
      <c r="A865" s="35" t="inlineStr">
        <is>
          <t>LN100864</t>
        </is>
      </c>
      <c r="B865" s="35" t="inlineStr">
        <is>
          <t>Gaurav Chatterjee</t>
        </is>
      </c>
      <c r="C865" s="35" t="inlineStr">
        <is>
          <t>JAI-01</t>
        </is>
      </c>
      <c r="D865" s="36">
        <f>INDEX(Branches!$C$2:$C$15,MATCH(C865,Branches!$A$2:$A$15,0))</f>
        <v/>
      </c>
      <c r="E865" s="35" t="inlineStr">
        <is>
          <t>Business Loan</t>
        </is>
      </c>
      <c r="F865" s="37" t="n">
        <v>45774</v>
      </c>
      <c r="G865" s="38" t="n">
        <v>4032000</v>
      </c>
      <c r="H865" s="39" t="n">
        <v>0.1802</v>
      </c>
      <c r="I865" s="35" t="n">
        <v>36</v>
      </c>
      <c r="J865" s="35" t="n">
        <v>637</v>
      </c>
      <c r="K865" s="35" t="n">
        <v>0</v>
      </c>
      <c r="L865" s="40">
        <f>ROUND(PMT(H865/12,I865,-G865),0)</f>
        <v/>
      </c>
      <c r="M865" s="41">
        <f>MAX(0,(YEAR(AsOfDate)-YEAR(F865))*12+MONTH(AsOfDate)-MONTH(F865))</f>
        <v/>
      </c>
      <c r="N865" s="41">
        <f>MAX(0,MIN(I865,M865)-INT(K865/30))</f>
        <v/>
      </c>
      <c r="O865" s="40">
        <f>IF(N865&gt;=I865,0,ROUND(PV(H865/12,I865-N865,-L865),0))</f>
        <v/>
      </c>
      <c r="P865" s="40">
        <f>MIN(I865,M865)*L865-N865*L865</f>
        <v/>
      </c>
      <c r="Q865" s="41">
        <f>INDEX(DPD_Bucket,MATCH(K865,DPD_From,1))</f>
        <v/>
      </c>
      <c r="R865" s="41">
        <f>INDEX(DPD_Class,MATCH(K865,DPD_From,1))</f>
        <v/>
      </c>
      <c r="S865" s="41">
        <f>INDEX(DPD_NPA,MATCH(K865,DPD_From,1))</f>
        <v/>
      </c>
      <c r="T865" s="42">
        <f>INDEX(DPD_Prov,MATCH(K865,DPD_From,1))</f>
        <v/>
      </c>
      <c r="U865" s="40">
        <f>ROUND(O865*T865,0)</f>
        <v/>
      </c>
      <c r="V865" s="41">
        <f>INDEX(CIBIL_Grade,MATCH(J865,CIBIL_From,1))</f>
        <v/>
      </c>
      <c r="W865" s="41">
        <f>YEAR(F865)&amp;"-Q"&amp;ROUNDUP(MONTH(F865)/3,0)</f>
        <v/>
      </c>
      <c r="X865" s="41">
        <f>IF(AND(OR(Dashboard!$C$4="All",D865=Dashboard!$C$4),OR(Dashboard!$C$5="All",E865=Dashboard!$C$5)),1,0)</f>
        <v/>
      </c>
      <c r="Y865" s="43">
        <f>IF(AND(X865=1,S865="Yes"),O865+ROW()/1000000,0)</f>
        <v/>
      </c>
    </row>
    <row r="866">
      <c r="A866" s="35" t="inlineStr">
        <is>
          <t>LN100865</t>
        </is>
      </c>
      <c r="B866" s="35" t="inlineStr">
        <is>
          <t>Gaurav Joshi</t>
        </is>
      </c>
      <c r="C866" s="35" t="inlineStr">
        <is>
          <t>HYD-01</t>
        </is>
      </c>
      <c r="D866" s="36">
        <f>INDEX(Branches!$C$2:$C$15,MATCH(C866,Branches!$A$2:$A$15,0))</f>
        <v/>
      </c>
      <c r="E866" s="35" t="inlineStr">
        <is>
          <t>Home Loan</t>
        </is>
      </c>
      <c r="F866" s="37" t="n">
        <v>45995</v>
      </c>
      <c r="G866" s="38" t="n">
        <v>13653000</v>
      </c>
      <c r="H866" s="39" t="n">
        <v>0.0974</v>
      </c>
      <c r="I866" s="35" t="n">
        <v>180</v>
      </c>
      <c r="J866" s="35" t="n">
        <v>708</v>
      </c>
      <c r="K866" s="35" t="n">
        <v>0</v>
      </c>
      <c r="L866" s="40">
        <f>ROUND(PMT(H866/12,I866,-G866),0)</f>
        <v/>
      </c>
      <c r="M866" s="41">
        <f>MAX(0,(YEAR(AsOfDate)-YEAR(F866))*12+MONTH(AsOfDate)-MONTH(F866))</f>
        <v/>
      </c>
      <c r="N866" s="41">
        <f>MAX(0,MIN(I866,M866)-INT(K866/30))</f>
        <v/>
      </c>
      <c r="O866" s="40">
        <f>IF(N866&gt;=I866,0,ROUND(PV(H866/12,I866-N866,-L866),0))</f>
        <v/>
      </c>
      <c r="P866" s="40">
        <f>MIN(I866,M866)*L866-N866*L866</f>
        <v/>
      </c>
      <c r="Q866" s="41">
        <f>INDEX(DPD_Bucket,MATCH(K866,DPD_From,1))</f>
        <v/>
      </c>
      <c r="R866" s="41">
        <f>INDEX(DPD_Class,MATCH(K866,DPD_From,1))</f>
        <v/>
      </c>
      <c r="S866" s="41">
        <f>INDEX(DPD_NPA,MATCH(K866,DPD_From,1))</f>
        <v/>
      </c>
      <c r="T866" s="42">
        <f>INDEX(DPD_Prov,MATCH(K866,DPD_From,1))</f>
        <v/>
      </c>
      <c r="U866" s="40">
        <f>ROUND(O866*T866,0)</f>
        <v/>
      </c>
      <c r="V866" s="41">
        <f>INDEX(CIBIL_Grade,MATCH(J866,CIBIL_From,1))</f>
        <v/>
      </c>
      <c r="W866" s="41">
        <f>YEAR(F866)&amp;"-Q"&amp;ROUNDUP(MONTH(F866)/3,0)</f>
        <v/>
      </c>
      <c r="X866" s="41">
        <f>IF(AND(OR(Dashboard!$C$4="All",D866=Dashboard!$C$4),OR(Dashboard!$C$5="All",E866=Dashboard!$C$5)),1,0)</f>
        <v/>
      </c>
      <c r="Y866" s="43">
        <f>IF(AND(X866=1,S866="Yes"),O866+ROW()/1000000,0)</f>
        <v/>
      </c>
    </row>
    <row r="867">
      <c r="A867" s="35" t="inlineStr">
        <is>
          <t>LN100866</t>
        </is>
      </c>
      <c r="B867" s="35" t="inlineStr">
        <is>
          <t>Reyansh Iyer</t>
        </is>
      </c>
      <c r="C867" s="35" t="inlineStr">
        <is>
          <t>CHN-01</t>
        </is>
      </c>
      <c r="D867" s="36">
        <f>INDEX(Branches!$C$2:$C$15,MATCH(C867,Branches!$A$2:$A$15,0))</f>
        <v/>
      </c>
      <c r="E867" s="35" t="inlineStr">
        <is>
          <t>Personal Loan</t>
        </is>
      </c>
      <c r="F867" s="37" t="n">
        <v>45680</v>
      </c>
      <c r="G867" s="38" t="n">
        <v>709000</v>
      </c>
      <c r="H867" s="39" t="n">
        <v>0.1587</v>
      </c>
      <c r="I867" s="35" t="n">
        <v>60</v>
      </c>
      <c r="J867" s="35" t="n">
        <v>812</v>
      </c>
      <c r="K867" s="35" t="n">
        <v>0</v>
      </c>
      <c r="L867" s="40">
        <f>ROUND(PMT(H867/12,I867,-G867),0)</f>
        <v/>
      </c>
      <c r="M867" s="41">
        <f>MAX(0,(YEAR(AsOfDate)-YEAR(F867))*12+MONTH(AsOfDate)-MONTH(F867))</f>
        <v/>
      </c>
      <c r="N867" s="41">
        <f>MAX(0,MIN(I867,M867)-INT(K867/30))</f>
        <v/>
      </c>
      <c r="O867" s="40">
        <f>IF(N867&gt;=I867,0,ROUND(PV(H867/12,I867-N867,-L867),0))</f>
        <v/>
      </c>
      <c r="P867" s="40">
        <f>MIN(I867,M867)*L867-N867*L867</f>
        <v/>
      </c>
      <c r="Q867" s="41">
        <f>INDEX(DPD_Bucket,MATCH(K867,DPD_From,1))</f>
        <v/>
      </c>
      <c r="R867" s="41">
        <f>INDEX(DPD_Class,MATCH(K867,DPD_From,1))</f>
        <v/>
      </c>
      <c r="S867" s="41">
        <f>INDEX(DPD_NPA,MATCH(K867,DPD_From,1))</f>
        <v/>
      </c>
      <c r="T867" s="42">
        <f>INDEX(DPD_Prov,MATCH(K867,DPD_From,1))</f>
        <v/>
      </c>
      <c r="U867" s="40">
        <f>ROUND(O867*T867,0)</f>
        <v/>
      </c>
      <c r="V867" s="41">
        <f>INDEX(CIBIL_Grade,MATCH(J867,CIBIL_From,1))</f>
        <v/>
      </c>
      <c r="W867" s="41">
        <f>YEAR(F867)&amp;"-Q"&amp;ROUNDUP(MONTH(F867)/3,0)</f>
        <v/>
      </c>
      <c r="X867" s="41">
        <f>IF(AND(OR(Dashboard!$C$4="All",D867=Dashboard!$C$4),OR(Dashboard!$C$5="All",E867=Dashboard!$C$5)),1,0)</f>
        <v/>
      </c>
      <c r="Y867" s="43">
        <f>IF(AND(X867=1,S867="Yes"),O867+ROW()/1000000,0)</f>
        <v/>
      </c>
    </row>
    <row r="868">
      <c r="A868" s="35" t="inlineStr">
        <is>
          <t>LN100867</t>
        </is>
      </c>
      <c r="B868" s="35" t="inlineStr">
        <is>
          <t>Pooja Nair</t>
        </is>
      </c>
      <c r="C868" s="35" t="inlineStr">
        <is>
          <t>KOL-01</t>
        </is>
      </c>
      <c r="D868" s="36">
        <f>INDEX(Branches!$C$2:$C$15,MATCH(C868,Branches!$A$2:$A$15,0))</f>
        <v/>
      </c>
      <c r="E868" s="35" t="inlineStr">
        <is>
          <t>Home Loan</t>
        </is>
      </c>
      <c r="F868" s="37" t="n">
        <v>45388</v>
      </c>
      <c r="G868" s="38" t="n">
        <v>3765000</v>
      </c>
      <c r="H868" s="39" t="n">
        <v>0.0915</v>
      </c>
      <c r="I868" s="35" t="n">
        <v>180</v>
      </c>
      <c r="J868" s="35" t="n">
        <v>738</v>
      </c>
      <c r="K868" s="35" t="n">
        <v>0</v>
      </c>
      <c r="L868" s="40">
        <f>ROUND(PMT(H868/12,I868,-G868),0)</f>
        <v/>
      </c>
      <c r="M868" s="41">
        <f>MAX(0,(YEAR(AsOfDate)-YEAR(F868))*12+MONTH(AsOfDate)-MONTH(F868))</f>
        <v/>
      </c>
      <c r="N868" s="41">
        <f>MAX(0,MIN(I868,M868)-INT(K868/30))</f>
        <v/>
      </c>
      <c r="O868" s="40">
        <f>IF(N868&gt;=I868,0,ROUND(PV(H868/12,I868-N868,-L868),0))</f>
        <v/>
      </c>
      <c r="P868" s="40">
        <f>MIN(I868,M868)*L868-N868*L868</f>
        <v/>
      </c>
      <c r="Q868" s="41">
        <f>INDEX(DPD_Bucket,MATCH(K868,DPD_From,1))</f>
        <v/>
      </c>
      <c r="R868" s="41">
        <f>INDEX(DPD_Class,MATCH(K868,DPD_From,1))</f>
        <v/>
      </c>
      <c r="S868" s="41">
        <f>INDEX(DPD_NPA,MATCH(K868,DPD_From,1))</f>
        <v/>
      </c>
      <c r="T868" s="42">
        <f>INDEX(DPD_Prov,MATCH(K868,DPD_From,1))</f>
        <v/>
      </c>
      <c r="U868" s="40">
        <f>ROUND(O868*T868,0)</f>
        <v/>
      </c>
      <c r="V868" s="41">
        <f>INDEX(CIBIL_Grade,MATCH(J868,CIBIL_From,1))</f>
        <v/>
      </c>
      <c r="W868" s="41">
        <f>YEAR(F868)&amp;"-Q"&amp;ROUNDUP(MONTH(F868)/3,0)</f>
        <v/>
      </c>
      <c r="X868" s="41">
        <f>IF(AND(OR(Dashboard!$C$4="All",D868=Dashboard!$C$4),OR(Dashboard!$C$5="All",E868=Dashboard!$C$5)),1,0)</f>
        <v/>
      </c>
      <c r="Y868" s="43">
        <f>IF(AND(X868=1,S868="Yes"),O868+ROW()/1000000,0)</f>
        <v/>
      </c>
    </row>
    <row r="869">
      <c r="A869" s="35" t="inlineStr">
        <is>
          <t>LN100868</t>
        </is>
      </c>
      <c r="B869" s="35" t="inlineStr">
        <is>
          <t>Harsh Mishra</t>
        </is>
      </c>
      <c r="C869" s="35" t="inlineStr">
        <is>
          <t>PAT-01</t>
        </is>
      </c>
      <c r="D869" s="36">
        <f>INDEX(Branches!$C$2:$C$15,MATCH(C869,Branches!$A$2:$A$15,0))</f>
        <v/>
      </c>
      <c r="E869" s="35" t="inlineStr">
        <is>
          <t>Business Loan</t>
        </is>
      </c>
      <c r="F869" s="37" t="n">
        <v>45492</v>
      </c>
      <c r="G869" s="38" t="n">
        <v>4657000</v>
      </c>
      <c r="H869" s="39" t="n">
        <v>0.1345</v>
      </c>
      <c r="I869" s="35" t="n">
        <v>12</v>
      </c>
      <c r="J869" s="35" t="n">
        <v>696</v>
      </c>
      <c r="K869" s="35" t="n">
        <v>0</v>
      </c>
      <c r="L869" s="40">
        <f>ROUND(PMT(H869/12,I869,-G869),0)</f>
        <v/>
      </c>
      <c r="M869" s="41">
        <f>MAX(0,(YEAR(AsOfDate)-YEAR(F869))*12+MONTH(AsOfDate)-MONTH(F869))</f>
        <v/>
      </c>
      <c r="N869" s="41">
        <f>MAX(0,MIN(I869,M869)-INT(K869/30))</f>
        <v/>
      </c>
      <c r="O869" s="40">
        <f>IF(N869&gt;=I869,0,ROUND(PV(H869/12,I869-N869,-L869),0))</f>
        <v/>
      </c>
      <c r="P869" s="40">
        <f>MIN(I869,M869)*L869-N869*L869</f>
        <v/>
      </c>
      <c r="Q869" s="41">
        <f>INDEX(DPD_Bucket,MATCH(K869,DPD_From,1))</f>
        <v/>
      </c>
      <c r="R869" s="41">
        <f>INDEX(DPD_Class,MATCH(K869,DPD_From,1))</f>
        <v/>
      </c>
      <c r="S869" s="41">
        <f>INDEX(DPD_NPA,MATCH(K869,DPD_From,1))</f>
        <v/>
      </c>
      <c r="T869" s="42">
        <f>INDEX(DPD_Prov,MATCH(K869,DPD_From,1))</f>
        <v/>
      </c>
      <c r="U869" s="40">
        <f>ROUND(O869*T869,0)</f>
        <v/>
      </c>
      <c r="V869" s="41">
        <f>INDEX(CIBIL_Grade,MATCH(J869,CIBIL_From,1))</f>
        <v/>
      </c>
      <c r="W869" s="41">
        <f>YEAR(F869)&amp;"-Q"&amp;ROUNDUP(MONTH(F869)/3,0)</f>
        <v/>
      </c>
      <c r="X869" s="41">
        <f>IF(AND(OR(Dashboard!$C$4="All",D869=Dashboard!$C$4),OR(Dashboard!$C$5="All",E869=Dashboard!$C$5)),1,0)</f>
        <v/>
      </c>
      <c r="Y869" s="43">
        <f>IF(AND(X869=1,S869="Yes"),O869+ROW()/1000000,0)</f>
        <v/>
      </c>
    </row>
    <row r="870">
      <c r="A870" s="35" t="inlineStr">
        <is>
          <t>LN100869</t>
        </is>
      </c>
      <c r="B870" s="35" t="inlineStr">
        <is>
          <t>Aditya Nair</t>
        </is>
      </c>
      <c r="C870" s="35" t="inlineStr">
        <is>
          <t>CHN-01</t>
        </is>
      </c>
      <c r="D870" s="36">
        <f>INDEX(Branches!$C$2:$C$15,MATCH(C870,Branches!$A$2:$A$15,0))</f>
        <v/>
      </c>
      <c r="E870" s="35" t="inlineStr">
        <is>
          <t>Auto Loan</t>
        </is>
      </c>
      <c r="F870" s="37" t="n">
        <v>45279</v>
      </c>
      <c r="G870" s="38" t="n">
        <v>944000</v>
      </c>
      <c r="H870" s="39" t="n">
        <v>0.1074</v>
      </c>
      <c r="I870" s="35" t="n">
        <v>84</v>
      </c>
      <c r="J870" s="35" t="n">
        <v>749</v>
      </c>
      <c r="K870" s="35" t="n">
        <v>0</v>
      </c>
      <c r="L870" s="40">
        <f>ROUND(PMT(H870/12,I870,-G870),0)</f>
        <v/>
      </c>
      <c r="M870" s="41">
        <f>MAX(0,(YEAR(AsOfDate)-YEAR(F870))*12+MONTH(AsOfDate)-MONTH(F870))</f>
        <v/>
      </c>
      <c r="N870" s="41">
        <f>MAX(0,MIN(I870,M870)-INT(K870/30))</f>
        <v/>
      </c>
      <c r="O870" s="40">
        <f>IF(N870&gt;=I870,0,ROUND(PV(H870/12,I870-N870,-L870),0))</f>
        <v/>
      </c>
      <c r="P870" s="40">
        <f>MIN(I870,M870)*L870-N870*L870</f>
        <v/>
      </c>
      <c r="Q870" s="41">
        <f>INDEX(DPD_Bucket,MATCH(K870,DPD_From,1))</f>
        <v/>
      </c>
      <c r="R870" s="41">
        <f>INDEX(DPD_Class,MATCH(K870,DPD_From,1))</f>
        <v/>
      </c>
      <c r="S870" s="41">
        <f>INDEX(DPD_NPA,MATCH(K870,DPD_From,1))</f>
        <v/>
      </c>
      <c r="T870" s="42">
        <f>INDEX(DPD_Prov,MATCH(K870,DPD_From,1))</f>
        <v/>
      </c>
      <c r="U870" s="40">
        <f>ROUND(O870*T870,0)</f>
        <v/>
      </c>
      <c r="V870" s="41">
        <f>INDEX(CIBIL_Grade,MATCH(J870,CIBIL_From,1))</f>
        <v/>
      </c>
      <c r="W870" s="41">
        <f>YEAR(F870)&amp;"-Q"&amp;ROUNDUP(MONTH(F870)/3,0)</f>
        <v/>
      </c>
      <c r="X870" s="41">
        <f>IF(AND(OR(Dashboard!$C$4="All",D870=Dashboard!$C$4),OR(Dashboard!$C$5="All",E870=Dashboard!$C$5)),1,0)</f>
        <v/>
      </c>
      <c r="Y870" s="43">
        <f>IF(AND(X870=1,S870="Yes"),O870+ROW()/1000000,0)</f>
        <v/>
      </c>
    </row>
    <row r="871">
      <c r="A871" s="35" t="inlineStr">
        <is>
          <t>LN100870</t>
        </is>
      </c>
      <c r="B871" s="35" t="inlineStr">
        <is>
          <t>Priya Banerjee</t>
        </is>
      </c>
      <c r="C871" s="35" t="inlineStr">
        <is>
          <t>JAI-01</t>
        </is>
      </c>
      <c r="D871" s="36">
        <f>INDEX(Branches!$C$2:$C$15,MATCH(C871,Branches!$A$2:$A$15,0))</f>
        <v/>
      </c>
      <c r="E871" s="35" t="inlineStr">
        <is>
          <t>Home Loan</t>
        </is>
      </c>
      <c r="F871" s="37" t="n">
        <v>45420</v>
      </c>
      <c r="G871" s="38" t="n">
        <v>11580000</v>
      </c>
      <c r="H871" s="39" t="n">
        <v>0.08840000000000001</v>
      </c>
      <c r="I871" s="35" t="n">
        <v>120</v>
      </c>
      <c r="J871" s="35" t="n">
        <v>698</v>
      </c>
      <c r="K871" s="35" t="n">
        <v>0</v>
      </c>
      <c r="L871" s="40">
        <f>ROUND(PMT(H871/12,I871,-G871),0)</f>
        <v/>
      </c>
      <c r="M871" s="41">
        <f>MAX(0,(YEAR(AsOfDate)-YEAR(F871))*12+MONTH(AsOfDate)-MONTH(F871))</f>
        <v/>
      </c>
      <c r="N871" s="41">
        <f>MAX(0,MIN(I871,M871)-INT(K871/30))</f>
        <v/>
      </c>
      <c r="O871" s="40">
        <f>IF(N871&gt;=I871,0,ROUND(PV(H871/12,I871-N871,-L871),0))</f>
        <v/>
      </c>
      <c r="P871" s="40">
        <f>MIN(I871,M871)*L871-N871*L871</f>
        <v/>
      </c>
      <c r="Q871" s="41">
        <f>INDEX(DPD_Bucket,MATCH(K871,DPD_From,1))</f>
        <v/>
      </c>
      <c r="R871" s="41">
        <f>INDEX(DPD_Class,MATCH(K871,DPD_From,1))</f>
        <v/>
      </c>
      <c r="S871" s="41">
        <f>INDEX(DPD_NPA,MATCH(K871,DPD_From,1))</f>
        <v/>
      </c>
      <c r="T871" s="42">
        <f>INDEX(DPD_Prov,MATCH(K871,DPD_From,1))</f>
        <v/>
      </c>
      <c r="U871" s="40">
        <f>ROUND(O871*T871,0)</f>
        <v/>
      </c>
      <c r="V871" s="41">
        <f>INDEX(CIBIL_Grade,MATCH(J871,CIBIL_From,1))</f>
        <v/>
      </c>
      <c r="W871" s="41">
        <f>YEAR(F871)&amp;"-Q"&amp;ROUNDUP(MONTH(F871)/3,0)</f>
        <v/>
      </c>
      <c r="X871" s="41">
        <f>IF(AND(OR(Dashboard!$C$4="All",D871=Dashboard!$C$4),OR(Dashboard!$C$5="All",E871=Dashboard!$C$5)),1,0)</f>
        <v/>
      </c>
      <c r="Y871" s="43">
        <f>IF(AND(X871=1,S871="Yes"),O871+ROW()/1000000,0)</f>
        <v/>
      </c>
    </row>
    <row r="872">
      <c r="A872" s="35" t="inlineStr">
        <is>
          <t>LN100871</t>
        </is>
      </c>
      <c r="B872" s="35" t="inlineStr">
        <is>
          <t>Deepa Reddy</t>
        </is>
      </c>
      <c r="C872" s="35" t="inlineStr">
        <is>
          <t>LKO-01</t>
        </is>
      </c>
      <c r="D872" s="36">
        <f>INDEX(Branches!$C$2:$C$15,MATCH(C872,Branches!$A$2:$A$15,0))</f>
        <v/>
      </c>
      <c r="E872" s="35" t="inlineStr">
        <is>
          <t>Personal Loan</t>
        </is>
      </c>
      <c r="F872" s="37" t="n">
        <v>45379</v>
      </c>
      <c r="G872" s="38" t="n">
        <v>1029000</v>
      </c>
      <c r="H872" s="39" t="n">
        <v>0.1493</v>
      </c>
      <c r="I872" s="35" t="n">
        <v>24</v>
      </c>
      <c r="J872" s="35" t="n">
        <v>782</v>
      </c>
      <c r="K872" s="35" t="n">
        <v>0</v>
      </c>
      <c r="L872" s="40">
        <f>ROUND(PMT(H872/12,I872,-G872),0)</f>
        <v/>
      </c>
      <c r="M872" s="41">
        <f>MAX(0,(YEAR(AsOfDate)-YEAR(F872))*12+MONTH(AsOfDate)-MONTH(F872))</f>
        <v/>
      </c>
      <c r="N872" s="41">
        <f>MAX(0,MIN(I872,M872)-INT(K872/30))</f>
        <v/>
      </c>
      <c r="O872" s="40">
        <f>IF(N872&gt;=I872,0,ROUND(PV(H872/12,I872-N872,-L872),0))</f>
        <v/>
      </c>
      <c r="P872" s="40">
        <f>MIN(I872,M872)*L872-N872*L872</f>
        <v/>
      </c>
      <c r="Q872" s="41">
        <f>INDEX(DPD_Bucket,MATCH(K872,DPD_From,1))</f>
        <v/>
      </c>
      <c r="R872" s="41">
        <f>INDEX(DPD_Class,MATCH(K872,DPD_From,1))</f>
        <v/>
      </c>
      <c r="S872" s="41">
        <f>INDEX(DPD_NPA,MATCH(K872,DPD_From,1))</f>
        <v/>
      </c>
      <c r="T872" s="42">
        <f>INDEX(DPD_Prov,MATCH(K872,DPD_From,1))</f>
        <v/>
      </c>
      <c r="U872" s="40">
        <f>ROUND(O872*T872,0)</f>
        <v/>
      </c>
      <c r="V872" s="41">
        <f>INDEX(CIBIL_Grade,MATCH(J872,CIBIL_From,1))</f>
        <v/>
      </c>
      <c r="W872" s="41">
        <f>YEAR(F872)&amp;"-Q"&amp;ROUNDUP(MONTH(F872)/3,0)</f>
        <v/>
      </c>
      <c r="X872" s="41">
        <f>IF(AND(OR(Dashboard!$C$4="All",D872=Dashboard!$C$4),OR(Dashboard!$C$5="All",E872=Dashboard!$C$5)),1,0)</f>
        <v/>
      </c>
      <c r="Y872" s="43">
        <f>IF(AND(X872=1,S872="Yes"),O872+ROW()/1000000,0)</f>
        <v/>
      </c>
    </row>
    <row r="873">
      <c r="A873" s="35" t="inlineStr">
        <is>
          <t>LN100872</t>
        </is>
      </c>
      <c r="B873" s="35" t="inlineStr">
        <is>
          <t>Tanvi Singh</t>
        </is>
      </c>
      <c r="C873" s="35" t="inlineStr">
        <is>
          <t>GUW-01</t>
        </is>
      </c>
      <c r="D873" s="36">
        <f>INDEX(Branches!$C$2:$C$15,MATCH(C873,Branches!$A$2:$A$15,0))</f>
        <v/>
      </c>
      <c r="E873" s="35" t="inlineStr">
        <is>
          <t>Home Loan</t>
        </is>
      </c>
      <c r="F873" s="37" t="n">
        <v>45230</v>
      </c>
      <c r="G873" s="38" t="n">
        <v>4846000</v>
      </c>
      <c r="H873" s="39" t="n">
        <v>0.0935</v>
      </c>
      <c r="I873" s="35" t="n">
        <v>120</v>
      </c>
      <c r="J873" s="35" t="n">
        <v>728</v>
      </c>
      <c r="K873" s="35" t="n">
        <v>0</v>
      </c>
      <c r="L873" s="40">
        <f>ROUND(PMT(H873/12,I873,-G873),0)</f>
        <v/>
      </c>
      <c r="M873" s="41">
        <f>MAX(0,(YEAR(AsOfDate)-YEAR(F873))*12+MONTH(AsOfDate)-MONTH(F873))</f>
        <v/>
      </c>
      <c r="N873" s="41">
        <f>MAX(0,MIN(I873,M873)-INT(K873/30))</f>
        <v/>
      </c>
      <c r="O873" s="40">
        <f>IF(N873&gt;=I873,0,ROUND(PV(H873/12,I873-N873,-L873),0))</f>
        <v/>
      </c>
      <c r="P873" s="40">
        <f>MIN(I873,M873)*L873-N873*L873</f>
        <v/>
      </c>
      <c r="Q873" s="41">
        <f>INDEX(DPD_Bucket,MATCH(K873,DPD_From,1))</f>
        <v/>
      </c>
      <c r="R873" s="41">
        <f>INDEX(DPD_Class,MATCH(K873,DPD_From,1))</f>
        <v/>
      </c>
      <c r="S873" s="41">
        <f>INDEX(DPD_NPA,MATCH(K873,DPD_From,1))</f>
        <v/>
      </c>
      <c r="T873" s="42">
        <f>INDEX(DPD_Prov,MATCH(K873,DPD_From,1))</f>
        <v/>
      </c>
      <c r="U873" s="40">
        <f>ROUND(O873*T873,0)</f>
        <v/>
      </c>
      <c r="V873" s="41">
        <f>INDEX(CIBIL_Grade,MATCH(J873,CIBIL_From,1))</f>
        <v/>
      </c>
      <c r="W873" s="41">
        <f>YEAR(F873)&amp;"-Q"&amp;ROUNDUP(MONTH(F873)/3,0)</f>
        <v/>
      </c>
      <c r="X873" s="41">
        <f>IF(AND(OR(Dashboard!$C$4="All",D873=Dashboard!$C$4),OR(Dashboard!$C$5="All",E873=Dashboard!$C$5)),1,0)</f>
        <v/>
      </c>
      <c r="Y873" s="43">
        <f>IF(AND(X873=1,S873="Yes"),O873+ROW()/1000000,0)</f>
        <v/>
      </c>
    </row>
    <row r="874">
      <c r="A874" s="35" t="inlineStr">
        <is>
          <t>LN100873</t>
        </is>
      </c>
      <c r="B874" s="35" t="inlineStr">
        <is>
          <t>Vivaan Sahoo</t>
        </is>
      </c>
      <c r="C874" s="35" t="inlineStr">
        <is>
          <t>PUN-01</t>
        </is>
      </c>
      <c r="D874" s="36">
        <f>INDEX(Branches!$C$2:$C$15,MATCH(C874,Branches!$A$2:$A$15,0))</f>
        <v/>
      </c>
      <c r="E874" s="35" t="inlineStr">
        <is>
          <t>Home Loan</t>
        </is>
      </c>
      <c r="F874" s="37" t="n">
        <v>45875</v>
      </c>
      <c r="G874" s="38" t="n">
        <v>6016000</v>
      </c>
      <c r="H874" s="39" t="n">
        <v>0.0979</v>
      </c>
      <c r="I874" s="35" t="n">
        <v>180</v>
      </c>
      <c r="J874" s="35" t="n">
        <v>733</v>
      </c>
      <c r="K874" s="35" t="n">
        <v>0</v>
      </c>
      <c r="L874" s="40">
        <f>ROUND(PMT(H874/12,I874,-G874),0)</f>
        <v/>
      </c>
      <c r="M874" s="41">
        <f>MAX(0,(YEAR(AsOfDate)-YEAR(F874))*12+MONTH(AsOfDate)-MONTH(F874))</f>
        <v/>
      </c>
      <c r="N874" s="41">
        <f>MAX(0,MIN(I874,M874)-INT(K874/30))</f>
        <v/>
      </c>
      <c r="O874" s="40">
        <f>IF(N874&gt;=I874,0,ROUND(PV(H874/12,I874-N874,-L874),0))</f>
        <v/>
      </c>
      <c r="P874" s="40">
        <f>MIN(I874,M874)*L874-N874*L874</f>
        <v/>
      </c>
      <c r="Q874" s="41">
        <f>INDEX(DPD_Bucket,MATCH(K874,DPD_From,1))</f>
        <v/>
      </c>
      <c r="R874" s="41">
        <f>INDEX(DPD_Class,MATCH(K874,DPD_From,1))</f>
        <v/>
      </c>
      <c r="S874" s="41">
        <f>INDEX(DPD_NPA,MATCH(K874,DPD_From,1))</f>
        <v/>
      </c>
      <c r="T874" s="42">
        <f>INDEX(DPD_Prov,MATCH(K874,DPD_From,1))</f>
        <v/>
      </c>
      <c r="U874" s="40">
        <f>ROUND(O874*T874,0)</f>
        <v/>
      </c>
      <c r="V874" s="41">
        <f>INDEX(CIBIL_Grade,MATCH(J874,CIBIL_From,1))</f>
        <v/>
      </c>
      <c r="W874" s="41">
        <f>YEAR(F874)&amp;"-Q"&amp;ROUNDUP(MONTH(F874)/3,0)</f>
        <v/>
      </c>
      <c r="X874" s="41">
        <f>IF(AND(OR(Dashboard!$C$4="All",D874=Dashboard!$C$4),OR(Dashboard!$C$5="All",E874=Dashboard!$C$5)),1,0)</f>
        <v/>
      </c>
      <c r="Y874" s="43">
        <f>IF(AND(X874=1,S874="Yes"),O874+ROW()/1000000,0)</f>
        <v/>
      </c>
    </row>
    <row r="875">
      <c r="A875" s="35" t="inlineStr">
        <is>
          <t>LN100874</t>
        </is>
      </c>
      <c r="B875" s="35" t="inlineStr">
        <is>
          <t>Ishaan Pillai</t>
        </is>
      </c>
      <c r="C875" s="35" t="inlineStr">
        <is>
          <t>MUM-01</t>
        </is>
      </c>
      <c r="D875" s="36">
        <f>INDEX(Branches!$C$2:$C$15,MATCH(C875,Branches!$A$2:$A$15,0))</f>
        <v/>
      </c>
      <c r="E875" s="35" t="inlineStr">
        <is>
          <t>Home Loan</t>
        </is>
      </c>
      <c r="F875" s="37" t="n">
        <v>45194</v>
      </c>
      <c r="G875" s="38" t="n">
        <v>11154000</v>
      </c>
      <c r="H875" s="39" t="n">
        <v>0.0893</v>
      </c>
      <c r="I875" s="35" t="n">
        <v>240</v>
      </c>
      <c r="J875" s="35" t="n">
        <v>628</v>
      </c>
      <c r="K875" s="35" t="n">
        <v>0</v>
      </c>
      <c r="L875" s="40">
        <f>ROUND(PMT(H875/12,I875,-G875),0)</f>
        <v/>
      </c>
      <c r="M875" s="41">
        <f>MAX(0,(YEAR(AsOfDate)-YEAR(F875))*12+MONTH(AsOfDate)-MONTH(F875))</f>
        <v/>
      </c>
      <c r="N875" s="41">
        <f>MAX(0,MIN(I875,M875)-INT(K875/30))</f>
        <v/>
      </c>
      <c r="O875" s="40">
        <f>IF(N875&gt;=I875,0,ROUND(PV(H875/12,I875-N875,-L875),0))</f>
        <v/>
      </c>
      <c r="P875" s="40">
        <f>MIN(I875,M875)*L875-N875*L875</f>
        <v/>
      </c>
      <c r="Q875" s="41">
        <f>INDEX(DPD_Bucket,MATCH(K875,DPD_From,1))</f>
        <v/>
      </c>
      <c r="R875" s="41">
        <f>INDEX(DPD_Class,MATCH(K875,DPD_From,1))</f>
        <v/>
      </c>
      <c r="S875" s="41">
        <f>INDEX(DPD_NPA,MATCH(K875,DPD_From,1))</f>
        <v/>
      </c>
      <c r="T875" s="42">
        <f>INDEX(DPD_Prov,MATCH(K875,DPD_From,1))</f>
        <v/>
      </c>
      <c r="U875" s="40">
        <f>ROUND(O875*T875,0)</f>
        <v/>
      </c>
      <c r="V875" s="41">
        <f>INDEX(CIBIL_Grade,MATCH(J875,CIBIL_From,1))</f>
        <v/>
      </c>
      <c r="W875" s="41">
        <f>YEAR(F875)&amp;"-Q"&amp;ROUNDUP(MONTH(F875)/3,0)</f>
        <v/>
      </c>
      <c r="X875" s="41">
        <f>IF(AND(OR(Dashboard!$C$4="All",D875=Dashboard!$C$4),OR(Dashboard!$C$5="All",E875=Dashboard!$C$5)),1,0)</f>
        <v/>
      </c>
      <c r="Y875" s="43">
        <f>IF(AND(X875=1,S875="Yes"),O875+ROW()/1000000,0)</f>
        <v/>
      </c>
    </row>
    <row r="876">
      <c r="A876" s="35" t="inlineStr">
        <is>
          <t>LN100875</t>
        </is>
      </c>
      <c r="B876" s="35" t="inlineStr">
        <is>
          <t>Nikhil Mohanty</t>
        </is>
      </c>
      <c r="C876" s="35" t="inlineStr">
        <is>
          <t>BBS-01</t>
        </is>
      </c>
      <c r="D876" s="36">
        <f>INDEX(Branches!$C$2:$C$15,MATCH(C876,Branches!$A$2:$A$15,0))</f>
        <v/>
      </c>
      <c r="E876" s="35" t="inlineStr">
        <is>
          <t>Gold Loan</t>
        </is>
      </c>
      <c r="F876" s="37" t="n">
        <v>45861</v>
      </c>
      <c r="G876" s="38" t="n">
        <v>381000</v>
      </c>
      <c r="H876" s="39" t="n">
        <v>0.1177</v>
      </c>
      <c r="I876" s="35" t="n">
        <v>12</v>
      </c>
      <c r="J876" s="35" t="n">
        <v>752</v>
      </c>
      <c r="K876" s="35" t="n">
        <v>0</v>
      </c>
      <c r="L876" s="40">
        <f>ROUND(PMT(H876/12,I876,-G876),0)</f>
        <v/>
      </c>
      <c r="M876" s="41">
        <f>MAX(0,(YEAR(AsOfDate)-YEAR(F876))*12+MONTH(AsOfDate)-MONTH(F876))</f>
        <v/>
      </c>
      <c r="N876" s="41">
        <f>MAX(0,MIN(I876,M876)-INT(K876/30))</f>
        <v/>
      </c>
      <c r="O876" s="40">
        <f>IF(N876&gt;=I876,0,ROUND(PV(H876/12,I876-N876,-L876),0))</f>
        <v/>
      </c>
      <c r="P876" s="40">
        <f>MIN(I876,M876)*L876-N876*L876</f>
        <v/>
      </c>
      <c r="Q876" s="41">
        <f>INDEX(DPD_Bucket,MATCH(K876,DPD_From,1))</f>
        <v/>
      </c>
      <c r="R876" s="41">
        <f>INDEX(DPD_Class,MATCH(K876,DPD_From,1))</f>
        <v/>
      </c>
      <c r="S876" s="41">
        <f>INDEX(DPD_NPA,MATCH(K876,DPD_From,1))</f>
        <v/>
      </c>
      <c r="T876" s="42">
        <f>INDEX(DPD_Prov,MATCH(K876,DPD_From,1))</f>
        <v/>
      </c>
      <c r="U876" s="40">
        <f>ROUND(O876*T876,0)</f>
        <v/>
      </c>
      <c r="V876" s="41">
        <f>INDEX(CIBIL_Grade,MATCH(J876,CIBIL_From,1))</f>
        <v/>
      </c>
      <c r="W876" s="41">
        <f>YEAR(F876)&amp;"-Q"&amp;ROUNDUP(MONTH(F876)/3,0)</f>
        <v/>
      </c>
      <c r="X876" s="41">
        <f>IF(AND(OR(Dashboard!$C$4="All",D876=Dashboard!$C$4),OR(Dashboard!$C$5="All",E876=Dashboard!$C$5)),1,0)</f>
        <v/>
      </c>
      <c r="Y876" s="43">
        <f>IF(AND(X876=1,S876="Yes"),O876+ROW()/1000000,0)</f>
        <v/>
      </c>
    </row>
    <row r="877">
      <c r="A877" s="35" t="inlineStr">
        <is>
          <t>LN100876</t>
        </is>
      </c>
      <c r="B877" s="35" t="inlineStr">
        <is>
          <t>Tanvi Patel</t>
        </is>
      </c>
      <c r="C877" s="35" t="inlineStr">
        <is>
          <t>BLR-01</t>
        </is>
      </c>
      <c r="D877" s="36">
        <f>INDEX(Branches!$C$2:$C$15,MATCH(C877,Branches!$A$2:$A$15,0))</f>
        <v/>
      </c>
      <c r="E877" s="35" t="inlineStr">
        <is>
          <t>Business Loan</t>
        </is>
      </c>
      <c r="F877" s="37" t="n">
        <v>45371</v>
      </c>
      <c r="G877" s="38" t="n">
        <v>2966000</v>
      </c>
      <c r="H877" s="39" t="n">
        <v>0.1536</v>
      </c>
      <c r="I877" s="35" t="n">
        <v>60</v>
      </c>
      <c r="J877" s="35" t="n">
        <v>701</v>
      </c>
      <c r="K877" s="35" t="n">
        <v>0</v>
      </c>
      <c r="L877" s="40">
        <f>ROUND(PMT(H877/12,I877,-G877),0)</f>
        <v/>
      </c>
      <c r="M877" s="41">
        <f>MAX(0,(YEAR(AsOfDate)-YEAR(F877))*12+MONTH(AsOfDate)-MONTH(F877))</f>
        <v/>
      </c>
      <c r="N877" s="41">
        <f>MAX(0,MIN(I877,M877)-INT(K877/30))</f>
        <v/>
      </c>
      <c r="O877" s="40">
        <f>IF(N877&gt;=I877,0,ROUND(PV(H877/12,I877-N877,-L877),0))</f>
        <v/>
      </c>
      <c r="P877" s="40">
        <f>MIN(I877,M877)*L877-N877*L877</f>
        <v/>
      </c>
      <c r="Q877" s="41">
        <f>INDEX(DPD_Bucket,MATCH(K877,DPD_From,1))</f>
        <v/>
      </c>
      <c r="R877" s="41">
        <f>INDEX(DPD_Class,MATCH(K877,DPD_From,1))</f>
        <v/>
      </c>
      <c r="S877" s="41">
        <f>INDEX(DPD_NPA,MATCH(K877,DPD_From,1))</f>
        <v/>
      </c>
      <c r="T877" s="42">
        <f>INDEX(DPD_Prov,MATCH(K877,DPD_From,1))</f>
        <v/>
      </c>
      <c r="U877" s="40">
        <f>ROUND(O877*T877,0)</f>
        <v/>
      </c>
      <c r="V877" s="41">
        <f>INDEX(CIBIL_Grade,MATCH(J877,CIBIL_From,1))</f>
        <v/>
      </c>
      <c r="W877" s="41">
        <f>YEAR(F877)&amp;"-Q"&amp;ROUNDUP(MONTH(F877)/3,0)</f>
        <v/>
      </c>
      <c r="X877" s="41">
        <f>IF(AND(OR(Dashboard!$C$4="All",D877=Dashboard!$C$4),OR(Dashboard!$C$5="All",E877=Dashboard!$C$5)),1,0)</f>
        <v/>
      </c>
      <c r="Y877" s="43">
        <f>IF(AND(X877=1,S877="Yes"),O877+ROW()/1000000,0)</f>
        <v/>
      </c>
    </row>
    <row r="878">
      <c r="A878" s="35" t="inlineStr">
        <is>
          <t>LN100877</t>
        </is>
      </c>
      <c r="B878" s="35" t="inlineStr">
        <is>
          <t>Farhan Das</t>
        </is>
      </c>
      <c r="C878" s="35" t="inlineStr">
        <is>
          <t>BBS-01</t>
        </is>
      </c>
      <c r="D878" s="36">
        <f>INDEX(Branches!$C$2:$C$15,MATCH(C878,Branches!$A$2:$A$15,0))</f>
        <v/>
      </c>
      <c r="E878" s="35" t="inlineStr">
        <is>
          <t>Personal Loan</t>
        </is>
      </c>
      <c r="F878" s="37" t="n">
        <v>45372</v>
      </c>
      <c r="G878" s="38" t="n">
        <v>1299000</v>
      </c>
      <c r="H878" s="39" t="n">
        <v>0.1345</v>
      </c>
      <c r="I878" s="35" t="n">
        <v>36</v>
      </c>
      <c r="J878" s="35" t="n">
        <v>682</v>
      </c>
      <c r="K878" s="35" t="n">
        <v>0</v>
      </c>
      <c r="L878" s="40">
        <f>ROUND(PMT(H878/12,I878,-G878),0)</f>
        <v/>
      </c>
      <c r="M878" s="41">
        <f>MAX(0,(YEAR(AsOfDate)-YEAR(F878))*12+MONTH(AsOfDate)-MONTH(F878))</f>
        <v/>
      </c>
      <c r="N878" s="41">
        <f>MAX(0,MIN(I878,M878)-INT(K878/30))</f>
        <v/>
      </c>
      <c r="O878" s="40">
        <f>IF(N878&gt;=I878,0,ROUND(PV(H878/12,I878-N878,-L878),0))</f>
        <v/>
      </c>
      <c r="P878" s="40">
        <f>MIN(I878,M878)*L878-N878*L878</f>
        <v/>
      </c>
      <c r="Q878" s="41">
        <f>INDEX(DPD_Bucket,MATCH(K878,DPD_From,1))</f>
        <v/>
      </c>
      <c r="R878" s="41">
        <f>INDEX(DPD_Class,MATCH(K878,DPD_From,1))</f>
        <v/>
      </c>
      <c r="S878" s="41">
        <f>INDEX(DPD_NPA,MATCH(K878,DPD_From,1))</f>
        <v/>
      </c>
      <c r="T878" s="42">
        <f>INDEX(DPD_Prov,MATCH(K878,DPD_From,1))</f>
        <v/>
      </c>
      <c r="U878" s="40">
        <f>ROUND(O878*T878,0)</f>
        <v/>
      </c>
      <c r="V878" s="41">
        <f>INDEX(CIBIL_Grade,MATCH(J878,CIBIL_From,1))</f>
        <v/>
      </c>
      <c r="W878" s="41">
        <f>YEAR(F878)&amp;"-Q"&amp;ROUNDUP(MONTH(F878)/3,0)</f>
        <v/>
      </c>
      <c r="X878" s="41">
        <f>IF(AND(OR(Dashboard!$C$4="All",D878=Dashboard!$C$4),OR(Dashboard!$C$5="All",E878=Dashboard!$C$5)),1,0)</f>
        <v/>
      </c>
      <c r="Y878" s="43">
        <f>IF(AND(X878=1,S878="Yes"),O878+ROW()/1000000,0)</f>
        <v/>
      </c>
    </row>
    <row r="879">
      <c r="A879" s="35" t="inlineStr">
        <is>
          <t>LN100878</t>
        </is>
      </c>
      <c r="B879" s="35" t="inlineStr">
        <is>
          <t>Farhan Singh</t>
        </is>
      </c>
      <c r="C879" s="35" t="inlineStr">
        <is>
          <t>DEL-01</t>
        </is>
      </c>
      <c r="D879" s="36">
        <f>INDEX(Branches!$C$2:$C$15,MATCH(C879,Branches!$A$2:$A$15,0))</f>
        <v/>
      </c>
      <c r="E879" s="35" t="inlineStr">
        <is>
          <t>Home Loan</t>
        </is>
      </c>
      <c r="F879" s="37" t="n">
        <v>46063</v>
      </c>
      <c r="G879" s="38" t="n">
        <v>10510000</v>
      </c>
      <c r="H879" s="39" t="n">
        <v>0.0921</v>
      </c>
      <c r="I879" s="35" t="n">
        <v>240</v>
      </c>
      <c r="J879" s="35" t="n">
        <v>777</v>
      </c>
      <c r="K879" s="35" t="n">
        <v>0</v>
      </c>
      <c r="L879" s="40">
        <f>ROUND(PMT(H879/12,I879,-G879),0)</f>
        <v/>
      </c>
      <c r="M879" s="41">
        <f>MAX(0,(YEAR(AsOfDate)-YEAR(F879))*12+MONTH(AsOfDate)-MONTH(F879))</f>
        <v/>
      </c>
      <c r="N879" s="41">
        <f>MAX(0,MIN(I879,M879)-INT(K879/30))</f>
        <v/>
      </c>
      <c r="O879" s="40">
        <f>IF(N879&gt;=I879,0,ROUND(PV(H879/12,I879-N879,-L879),0))</f>
        <v/>
      </c>
      <c r="P879" s="40">
        <f>MIN(I879,M879)*L879-N879*L879</f>
        <v/>
      </c>
      <c r="Q879" s="41">
        <f>INDEX(DPD_Bucket,MATCH(K879,DPD_From,1))</f>
        <v/>
      </c>
      <c r="R879" s="41">
        <f>INDEX(DPD_Class,MATCH(K879,DPD_From,1))</f>
        <v/>
      </c>
      <c r="S879" s="41">
        <f>INDEX(DPD_NPA,MATCH(K879,DPD_From,1))</f>
        <v/>
      </c>
      <c r="T879" s="42">
        <f>INDEX(DPD_Prov,MATCH(K879,DPD_From,1))</f>
        <v/>
      </c>
      <c r="U879" s="40">
        <f>ROUND(O879*T879,0)</f>
        <v/>
      </c>
      <c r="V879" s="41">
        <f>INDEX(CIBIL_Grade,MATCH(J879,CIBIL_From,1))</f>
        <v/>
      </c>
      <c r="W879" s="41">
        <f>YEAR(F879)&amp;"-Q"&amp;ROUNDUP(MONTH(F879)/3,0)</f>
        <v/>
      </c>
      <c r="X879" s="41">
        <f>IF(AND(OR(Dashboard!$C$4="All",D879=Dashboard!$C$4),OR(Dashboard!$C$5="All",E879=Dashboard!$C$5)),1,0)</f>
        <v/>
      </c>
      <c r="Y879" s="43">
        <f>IF(AND(X879=1,S879="Yes"),O879+ROW()/1000000,0)</f>
        <v/>
      </c>
    </row>
    <row r="880">
      <c r="A880" s="35" t="inlineStr">
        <is>
          <t>LN100879</t>
        </is>
      </c>
      <c r="B880" s="35" t="inlineStr">
        <is>
          <t>Ishaan Sharma</t>
        </is>
      </c>
      <c r="C880" s="35" t="inlineStr">
        <is>
          <t>PUN-01</t>
        </is>
      </c>
      <c r="D880" s="36">
        <f>INDEX(Branches!$C$2:$C$15,MATCH(C880,Branches!$A$2:$A$15,0))</f>
        <v/>
      </c>
      <c r="E880" s="35" t="inlineStr">
        <is>
          <t>Personal Loan</t>
        </is>
      </c>
      <c r="F880" s="37" t="n">
        <v>45577</v>
      </c>
      <c r="G880" s="38" t="n">
        <v>1116000</v>
      </c>
      <c r="H880" s="39" t="n">
        <v>0.1482</v>
      </c>
      <c r="I880" s="35" t="n">
        <v>48</v>
      </c>
      <c r="J880" s="35" t="n">
        <v>765</v>
      </c>
      <c r="K880" s="35" t="n">
        <v>0</v>
      </c>
      <c r="L880" s="40">
        <f>ROUND(PMT(H880/12,I880,-G880),0)</f>
        <v/>
      </c>
      <c r="M880" s="41">
        <f>MAX(0,(YEAR(AsOfDate)-YEAR(F880))*12+MONTH(AsOfDate)-MONTH(F880))</f>
        <v/>
      </c>
      <c r="N880" s="41">
        <f>MAX(0,MIN(I880,M880)-INT(K880/30))</f>
        <v/>
      </c>
      <c r="O880" s="40">
        <f>IF(N880&gt;=I880,0,ROUND(PV(H880/12,I880-N880,-L880),0))</f>
        <v/>
      </c>
      <c r="P880" s="40">
        <f>MIN(I880,M880)*L880-N880*L880</f>
        <v/>
      </c>
      <c r="Q880" s="41">
        <f>INDEX(DPD_Bucket,MATCH(K880,DPD_From,1))</f>
        <v/>
      </c>
      <c r="R880" s="41">
        <f>INDEX(DPD_Class,MATCH(K880,DPD_From,1))</f>
        <v/>
      </c>
      <c r="S880" s="41">
        <f>INDEX(DPD_NPA,MATCH(K880,DPD_From,1))</f>
        <v/>
      </c>
      <c r="T880" s="42">
        <f>INDEX(DPD_Prov,MATCH(K880,DPD_From,1))</f>
        <v/>
      </c>
      <c r="U880" s="40">
        <f>ROUND(O880*T880,0)</f>
        <v/>
      </c>
      <c r="V880" s="41">
        <f>INDEX(CIBIL_Grade,MATCH(J880,CIBIL_From,1))</f>
        <v/>
      </c>
      <c r="W880" s="41">
        <f>YEAR(F880)&amp;"-Q"&amp;ROUNDUP(MONTH(F880)/3,0)</f>
        <v/>
      </c>
      <c r="X880" s="41">
        <f>IF(AND(OR(Dashboard!$C$4="All",D880=Dashboard!$C$4),OR(Dashboard!$C$5="All",E880=Dashboard!$C$5)),1,0)</f>
        <v/>
      </c>
      <c r="Y880" s="43">
        <f>IF(AND(X880=1,S880="Yes"),O880+ROW()/1000000,0)</f>
        <v/>
      </c>
    </row>
    <row r="881">
      <c r="A881" s="35" t="inlineStr">
        <is>
          <t>LN100880</t>
        </is>
      </c>
      <c r="B881" s="35" t="inlineStr">
        <is>
          <t>Meera Patel</t>
        </is>
      </c>
      <c r="C881" s="35" t="inlineStr">
        <is>
          <t>BLR-01</t>
        </is>
      </c>
      <c r="D881" s="36">
        <f>INDEX(Branches!$C$2:$C$15,MATCH(C881,Branches!$A$2:$A$15,0))</f>
        <v/>
      </c>
      <c r="E881" s="35" t="inlineStr">
        <is>
          <t>Personal Loan</t>
        </is>
      </c>
      <c r="F881" s="37" t="n">
        <v>45402</v>
      </c>
      <c r="G881" s="38" t="n">
        <v>234000</v>
      </c>
      <c r="H881" s="39" t="n">
        <v>0.1781</v>
      </c>
      <c r="I881" s="35" t="n">
        <v>24</v>
      </c>
      <c r="J881" s="35" t="n">
        <v>712</v>
      </c>
      <c r="K881" s="35" t="n">
        <v>0</v>
      </c>
      <c r="L881" s="40">
        <f>ROUND(PMT(H881/12,I881,-G881),0)</f>
        <v/>
      </c>
      <c r="M881" s="41">
        <f>MAX(0,(YEAR(AsOfDate)-YEAR(F881))*12+MONTH(AsOfDate)-MONTH(F881))</f>
        <v/>
      </c>
      <c r="N881" s="41">
        <f>MAX(0,MIN(I881,M881)-INT(K881/30))</f>
        <v/>
      </c>
      <c r="O881" s="40">
        <f>IF(N881&gt;=I881,0,ROUND(PV(H881/12,I881-N881,-L881),0))</f>
        <v/>
      </c>
      <c r="P881" s="40">
        <f>MIN(I881,M881)*L881-N881*L881</f>
        <v/>
      </c>
      <c r="Q881" s="41">
        <f>INDEX(DPD_Bucket,MATCH(K881,DPD_From,1))</f>
        <v/>
      </c>
      <c r="R881" s="41">
        <f>INDEX(DPD_Class,MATCH(K881,DPD_From,1))</f>
        <v/>
      </c>
      <c r="S881" s="41">
        <f>INDEX(DPD_NPA,MATCH(K881,DPD_From,1))</f>
        <v/>
      </c>
      <c r="T881" s="42">
        <f>INDEX(DPD_Prov,MATCH(K881,DPD_From,1))</f>
        <v/>
      </c>
      <c r="U881" s="40">
        <f>ROUND(O881*T881,0)</f>
        <v/>
      </c>
      <c r="V881" s="41">
        <f>INDEX(CIBIL_Grade,MATCH(J881,CIBIL_From,1))</f>
        <v/>
      </c>
      <c r="W881" s="41">
        <f>YEAR(F881)&amp;"-Q"&amp;ROUNDUP(MONTH(F881)/3,0)</f>
        <v/>
      </c>
      <c r="X881" s="41">
        <f>IF(AND(OR(Dashboard!$C$4="All",D881=Dashboard!$C$4),OR(Dashboard!$C$5="All",E881=Dashboard!$C$5)),1,0)</f>
        <v/>
      </c>
      <c r="Y881" s="43">
        <f>IF(AND(X881=1,S881="Yes"),O881+ROW()/1000000,0)</f>
        <v/>
      </c>
    </row>
    <row r="882">
      <c r="A882" s="35" t="inlineStr">
        <is>
          <t>LN100881</t>
        </is>
      </c>
      <c r="B882" s="35" t="inlineStr">
        <is>
          <t>Sai Banerjee</t>
        </is>
      </c>
      <c r="C882" s="35" t="inlineStr">
        <is>
          <t>KOC-01</t>
        </is>
      </c>
      <c r="D882" s="36">
        <f>INDEX(Branches!$C$2:$C$15,MATCH(C882,Branches!$A$2:$A$15,0))</f>
        <v/>
      </c>
      <c r="E882" s="35" t="inlineStr">
        <is>
          <t>Home Loan</t>
        </is>
      </c>
      <c r="F882" s="37" t="n">
        <v>45933</v>
      </c>
      <c r="G882" s="38" t="n">
        <v>2442000</v>
      </c>
      <c r="H882" s="39" t="n">
        <v>0.08740000000000001</v>
      </c>
      <c r="I882" s="35" t="n">
        <v>120</v>
      </c>
      <c r="J882" s="35" t="n">
        <v>814</v>
      </c>
      <c r="K882" s="35" t="n">
        <v>0</v>
      </c>
      <c r="L882" s="40">
        <f>ROUND(PMT(H882/12,I882,-G882),0)</f>
        <v/>
      </c>
      <c r="M882" s="41">
        <f>MAX(0,(YEAR(AsOfDate)-YEAR(F882))*12+MONTH(AsOfDate)-MONTH(F882))</f>
        <v/>
      </c>
      <c r="N882" s="41">
        <f>MAX(0,MIN(I882,M882)-INT(K882/30))</f>
        <v/>
      </c>
      <c r="O882" s="40">
        <f>IF(N882&gt;=I882,0,ROUND(PV(H882/12,I882-N882,-L882),0))</f>
        <v/>
      </c>
      <c r="P882" s="40">
        <f>MIN(I882,M882)*L882-N882*L882</f>
        <v/>
      </c>
      <c r="Q882" s="41">
        <f>INDEX(DPD_Bucket,MATCH(K882,DPD_From,1))</f>
        <v/>
      </c>
      <c r="R882" s="41">
        <f>INDEX(DPD_Class,MATCH(K882,DPD_From,1))</f>
        <v/>
      </c>
      <c r="S882" s="41">
        <f>INDEX(DPD_NPA,MATCH(K882,DPD_From,1))</f>
        <v/>
      </c>
      <c r="T882" s="42">
        <f>INDEX(DPD_Prov,MATCH(K882,DPD_From,1))</f>
        <v/>
      </c>
      <c r="U882" s="40">
        <f>ROUND(O882*T882,0)</f>
        <v/>
      </c>
      <c r="V882" s="41">
        <f>INDEX(CIBIL_Grade,MATCH(J882,CIBIL_From,1))</f>
        <v/>
      </c>
      <c r="W882" s="41">
        <f>YEAR(F882)&amp;"-Q"&amp;ROUNDUP(MONTH(F882)/3,0)</f>
        <v/>
      </c>
      <c r="X882" s="41">
        <f>IF(AND(OR(Dashboard!$C$4="All",D882=Dashboard!$C$4),OR(Dashboard!$C$5="All",E882=Dashboard!$C$5)),1,0)</f>
        <v/>
      </c>
      <c r="Y882" s="43">
        <f>IF(AND(X882=1,S882="Yes"),O882+ROW()/1000000,0)</f>
        <v/>
      </c>
    </row>
    <row r="883">
      <c r="A883" s="35" t="inlineStr">
        <is>
          <t>LN100882</t>
        </is>
      </c>
      <c r="B883" s="35" t="inlineStr">
        <is>
          <t>Kavya Iyer</t>
        </is>
      </c>
      <c r="C883" s="35" t="inlineStr">
        <is>
          <t>PAT-01</t>
        </is>
      </c>
      <c r="D883" s="36">
        <f>INDEX(Branches!$C$2:$C$15,MATCH(C883,Branches!$A$2:$A$15,0))</f>
        <v/>
      </c>
      <c r="E883" s="35" t="inlineStr">
        <is>
          <t>Personal Loan</t>
        </is>
      </c>
      <c r="F883" s="37" t="n">
        <v>45820</v>
      </c>
      <c r="G883" s="38" t="n">
        <v>749000</v>
      </c>
      <c r="H883" s="39" t="n">
        <v>0.1664</v>
      </c>
      <c r="I883" s="35" t="n">
        <v>60</v>
      </c>
      <c r="J883" s="35" t="n">
        <v>725</v>
      </c>
      <c r="K883" s="35" t="n">
        <v>0</v>
      </c>
      <c r="L883" s="40">
        <f>ROUND(PMT(H883/12,I883,-G883),0)</f>
        <v/>
      </c>
      <c r="M883" s="41">
        <f>MAX(0,(YEAR(AsOfDate)-YEAR(F883))*12+MONTH(AsOfDate)-MONTH(F883))</f>
        <v/>
      </c>
      <c r="N883" s="41">
        <f>MAX(0,MIN(I883,M883)-INT(K883/30))</f>
        <v/>
      </c>
      <c r="O883" s="40">
        <f>IF(N883&gt;=I883,0,ROUND(PV(H883/12,I883-N883,-L883),0))</f>
        <v/>
      </c>
      <c r="P883" s="40">
        <f>MIN(I883,M883)*L883-N883*L883</f>
        <v/>
      </c>
      <c r="Q883" s="41">
        <f>INDEX(DPD_Bucket,MATCH(K883,DPD_From,1))</f>
        <v/>
      </c>
      <c r="R883" s="41">
        <f>INDEX(DPD_Class,MATCH(K883,DPD_From,1))</f>
        <v/>
      </c>
      <c r="S883" s="41">
        <f>INDEX(DPD_NPA,MATCH(K883,DPD_From,1))</f>
        <v/>
      </c>
      <c r="T883" s="42">
        <f>INDEX(DPD_Prov,MATCH(K883,DPD_From,1))</f>
        <v/>
      </c>
      <c r="U883" s="40">
        <f>ROUND(O883*T883,0)</f>
        <v/>
      </c>
      <c r="V883" s="41">
        <f>INDEX(CIBIL_Grade,MATCH(J883,CIBIL_From,1))</f>
        <v/>
      </c>
      <c r="W883" s="41">
        <f>YEAR(F883)&amp;"-Q"&amp;ROUNDUP(MONTH(F883)/3,0)</f>
        <v/>
      </c>
      <c r="X883" s="41">
        <f>IF(AND(OR(Dashboard!$C$4="All",D883=Dashboard!$C$4),OR(Dashboard!$C$5="All",E883=Dashboard!$C$5)),1,0)</f>
        <v/>
      </c>
      <c r="Y883" s="43">
        <f>IF(AND(X883=1,S883="Yes"),O883+ROW()/1000000,0)</f>
        <v/>
      </c>
    </row>
    <row r="884">
      <c r="A884" s="35" t="inlineStr">
        <is>
          <t>LN100883</t>
        </is>
      </c>
      <c r="B884" s="35" t="inlineStr">
        <is>
          <t>Lakshmi Chatterjee</t>
        </is>
      </c>
      <c r="C884" s="35" t="inlineStr">
        <is>
          <t>KOC-01</t>
        </is>
      </c>
      <c r="D884" s="36">
        <f>INDEX(Branches!$C$2:$C$15,MATCH(C884,Branches!$A$2:$A$15,0))</f>
        <v/>
      </c>
      <c r="E884" s="35" t="inlineStr">
        <is>
          <t>Auto Loan</t>
        </is>
      </c>
      <c r="F884" s="37" t="n">
        <v>45421</v>
      </c>
      <c r="G884" s="38" t="n">
        <v>437000</v>
      </c>
      <c r="H884" s="39" t="n">
        <v>0.1068</v>
      </c>
      <c r="I884" s="35" t="n">
        <v>84</v>
      </c>
      <c r="J884" s="35" t="n">
        <v>762</v>
      </c>
      <c r="K884" s="35" t="n">
        <v>0</v>
      </c>
      <c r="L884" s="40">
        <f>ROUND(PMT(H884/12,I884,-G884),0)</f>
        <v/>
      </c>
      <c r="M884" s="41">
        <f>MAX(0,(YEAR(AsOfDate)-YEAR(F884))*12+MONTH(AsOfDate)-MONTH(F884))</f>
        <v/>
      </c>
      <c r="N884" s="41">
        <f>MAX(0,MIN(I884,M884)-INT(K884/30))</f>
        <v/>
      </c>
      <c r="O884" s="40">
        <f>IF(N884&gt;=I884,0,ROUND(PV(H884/12,I884-N884,-L884),0))</f>
        <v/>
      </c>
      <c r="P884" s="40">
        <f>MIN(I884,M884)*L884-N884*L884</f>
        <v/>
      </c>
      <c r="Q884" s="41">
        <f>INDEX(DPD_Bucket,MATCH(K884,DPD_From,1))</f>
        <v/>
      </c>
      <c r="R884" s="41">
        <f>INDEX(DPD_Class,MATCH(K884,DPD_From,1))</f>
        <v/>
      </c>
      <c r="S884" s="41">
        <f>INDEX(DPD_NPA,MATCH(K884,DPD_From,1))</f>
        <v/>
      </c>
      <c r="T884" s="42">
        <f>INDEX(DPD_Prov,MATCH(K884,DPD_From,1))</f>
        <v/>
      </c>
      <c r="U884" s="40">
        <f>ROUND(O884*T884,0)</f>
        <v/>
      </c>
      <c r="V884" s="41">
        <f>INDEX(CIBIL_Grade,MATCH(J884,CIBIL_From,1))</f>
        <v/>
      </c>
      <c r="W884" s="41">
        <f>YEAR(F884)&amp;"-Q"&amp;ROUNDUP(MONTH(F884)/3,0)</f>
        <v/>
      </c>
      <c r="X884" s="41">
        <f>IF(AND(OR(Dashboard!$C$4="All",D884=Dashboard!$C$4),OR(Dashboard!$C$5="All",E884=Dashboard!$C$5)),1,0)</f>
        <v/>
      </c>
      <c r="Y884" s="43">
        <f>IF(AND(X884=1,S884="Yes"),O884+ROW()/1000000,0)</f>
        <v/>
      </c>
    </row>
    <row r="885">
      <c r="A885" s="35" t="inlineStr">
        <is>
          <t>LN100884</t>
        </is>
      </c>
      <c r="B885" s="35" t="inlineStr">
        <is>
          <t>Reyansh Banerjee</t>
        </is>
      </c>
      <c r="C885" s="35" t="inlineStr">
        <is>
          <t>DEL-01</t>
        </is>
      </c>
      <c r="D885" s="36">
        <f>INDEX(Branches!$C$2:$C$15,MATCH(C885,Branches!$A$2:$A$15,0))</f>
        <v/>
      </c>
      <c r="E885" s="35" t="inlineStr">
        <is>
          <t>Personal Loan</t>
        </is>
      </c>
      <c r="F885" s="37" t="n">
        <v>45980</v>
      </c>
      <c r="G885" s="38" t="n">
        <v>1500000</v>
      </c>
      <c r="H885" s="39" t="n">
        <v>0.1577</v>
      </c>
      <c r="I885" s="35" t="n">
        <v>36</v>
      </c>
      <c r="J885" s="35" t="n">
        <v>736</v>
      </c>
      <c r="K885" s="35" t="n">
        <v>0</v>
      </c>
      <c r="L885" s="40">
        <f>ROUND(PMT(H885/12,I885,-G885),0)</f>
        <v/>
      </c>
      <c r="M885" s="41">
        <f>MAX(0,(YEAR(AsOfDate)-YEAR(F885))*12+MONTH(AsOfDate)-MONTH(F885))</f>
        <v/>
      </c>
      <c r="N885" s="41">
        <f>MAX(0,MIN(I885,M885)-INT(K885/30))</f>
        <v/>
      </c>
      <c r="O885" s="40">
        <f>IF(N885&gt;=I885,0,ROUND(PV(H885/12,I885-N885,-L885),0))</f>
        <v/>
      </c>
      <c r="P885" s="40">
        <f>MIN(I885,M885)*L885-N885*L885</f>
        <v/>
      </c>
      <c r="Q885" s="41">
        <f>INDEX(DPD_Bucket,MATCH(K885,DPD_From,1))</f>
        <v/>
      </c>
      <c r="R885" s="41">
        <f>INDEX(DPD_Class,MATCH(K885,DPD_From,1))</f>
        <v/>
      </c>
      <c r="S885" s="41">
        <f>INDEX(DPD_NPA,MATCH(K885,DPD_From,1))</f>
        <v/>
      </c>
      <c r="T885" s="42">
        <f>INDEX(DPD_Prov,MATCH(K885,DPD_From,1))</f>
        <v/>
      </c>
      <c r="U885" s="40">
        <f>ROUND(O885*T885,0)</f>
        <v/>
      </c>
      <c r="V885" s="41">
        <f>INDEX(CIBIL_Grade,MATCH(J885,CIBIL_From,1))</f>
        <v/>
      </c>
      <c r="W885" s="41">
        <f>YEAR(F885)&amp;"-Q"&amp;ROUNDUP(MONTH(F885)/3,0)</f>
        <v/>
      </c>
      <c r="X885" s="41">
        <f>IF(AND(OR(Dashboard!$C$4="All",D885=Dashboard!$C$4),OR(Dashboard!$C$5="All",E885=Dashboard!$C$5)),1,0)</f>
        <v/>
      </c>
      <c r="Y885" s="43">
        <f>IF(AND(X885=1,S885="Yes"),O885+ROW()/1000000,0)</f>
        <v/>
      </c>
    </row>
    <row r="886">
      <c r="A886" s="35" t="inlineStr">
        <is>
          <t>LN100885</t>
        </is>
      </c>
      <c r="B886" s="35" t="inlineStr">
        <is>
          <t>Rohan Patel</t>
        </is>
      </c>
      <c r="C886" s="35" t="inlineStr">
        <is>
          <t>AMD-01</t>
        </is>
      </c>
      <c r="D886" s="36">
        <f>INDEX(Branches!$C$2:$C$15,MATCH(C886,Branches!$A$2:$A$15,0))</f>
        <v/>
      </c>
      <c r="E886" s="35" t="inlineStr">
        <is>
          <t>Auto Loan</t>
        </is>
      </c>
      <c r="F886" s="37" t="n">
        <v>45970</v>
      </c>
      <c r="G886" s="38" t="n">
        <v>1701000</v>
      </c>
      <c r="H886" s="39" t="n">
        <v>0.0896</v>
      </c>
      <c r="I886" s="35" t="n">
        <v>48</v>
      </c>
      <c r="J886" s="35" t="n">
        <v>695</v>
      </c>
      <c r="K886" s="35" t="n">
        <v>0</v>
      </c>
      <c r="L886" s="40">
        <f>ROUND(PMT(H886/12,I886,-G886),0)</f>
        <v/>
      </c>
      <c r="M886" s="41">
        <f>MAX(0,(YEAR(AsOfDate)-YEAR(F886))*12+MONTH(AsOfDate)-MONTH(F886))</f>
        <v/>
      </c>
      <c r="N886" s="41">
        <f>MAX(0,MIN(I886,M886)-INT(K886/30))</f>
        <v/>
      </c>
      <c r="O886" s="40">
        <f>IF(N886&gt;=I886,0,ROUND(PV(H886/12,I886-N886,-L886),0))</f>
        <v/>
      </c>
      <c r="P886" s="40">
        <f>MIN(I886,M886)*L886-N886*L886</f>
        <v/>
      </c>
      <c r="Q886" s="41">
        <f>INDEX(DPD_Bucket,MATCH(K886,DPD_From,1))</f>
        <v/>
      </c>
      <c r="R886" s="41">
        <f>INDEX(DPD_Class,MATCH(K886,DPD_From,1))</f>
        <v/>
      </c>
      <c r="S886" s="41">
        <f>INDEX(DPD_NPA,MATCH(K886,DPD_From,1))</f>
        <v/>
      </c>
      <c r="T886" s="42">
        <f>INDEX(DPD_Prov,MATCH(K886,DPD_From,1))</f>
        <v/>
      </c>
      <c r="U886" s="40">
        <f>ROUND(O886*T886,0)</f>
        <v/>
      </c>
      <c r="V886" s="41">
        <f>INDEX(CIBIL_Grade,MATCH(J886,CIBIL_From,1))</f>
        <v/>
      </c>
      <c r="W886" s="41">
        <f>YEAR(F886)&amp;"-Q"&amp;ROUNDUP(MONTH(F886)/3,0)</f>
        <v/>
      </c>
      <c r="X886" s="41">
        <f>IF(AND(OR(Dashboard!$C$4="All",D886=Dashboard!$C$4),OR(Dashboard!$C$5="All",E886=Dashboard!$C$5)),1,0)</f>
        <v/>
      </c>
      <c r="Y886" s="43">
        <f>IF(AND(X886=1,S886="Yes"),O886+ROW()/1000000,0)</f>
        <v/>
      </c>
    </row>
    <row r="887">
      <c r="A887" s="35" t="inlineStr">
        <is>
          <t>LN100886</t>
        </is>
      </c>
      <c r="B887" s="35" t="inlineStr">
        <is>
          <t>Gaurav Sahoo</t>
        </is>
      </c>
      <c r="C887" s="35" t="inlineStr">
        <is>
          <t>BBS-01</t>
        </is>
      </c>
      <c r="D887" s="36">
        <f>INDEX(Branches!$C$2:$C$15,MATCH(C887,Branches!$A$2:$A$15,0))</f>
        <v/>
      </c>
      <c r="E887" s="35" t="inlineStr">
        <is>
          <t>Personal Loan</t>
        </is>
      </c>
      <c r="F887" s="37" t="n">
        <v>45173</v>
      </c>
      <c r="G887" s="38" t="n">
        <v>352000</v>
      </c>
      <c r="H887" s="39" t="n">
        <v>0.1466</v>
      </c>
      <c r="I887" s="35" t="n">
        <v>60</v>
      </c>
      <c r="J887" s="35" t="n">
        <v>812</v>
      </c>
      <c r="K887" s="35" t="n">
        <v>49</v>
      </c>
      <c r="L887" s="40">
        <f>ROUND(PMT(H887/12,I887,-G887),0)</f>
        <v/>
      </c>
      <c r="M887" s="41">
        <f>MAX(0,(YEAR(AsOfDate)-YEAR(F887))*12+MONTH(AsOfDate)-MONTH(F887))</f>
        <v/>
      </c>
      <c r="N887" s="41">
        <f>MAX(0,MIN(I887,M887)-INT(K887/30))</f>
        <v/>
      </c>
      <c r="O887" s="40">
        <f>IF(N887&gt;=I887,0,ROUND(PV(H887/12,I887-N887,-L887),0))</f>
        <v/>
      </c>
      <c r="P887" s="40">
        <f>MIN(I887,M887)*L887-N887*L887</f>
        <v/>
      </c>
      <c r="Q887" s="41">
        <f>INDEX(DPD_Bucket,MATCH(K887,DPD_From,1))</f>
        <v/>
      </c>
      <c r="R887" s="41">
        <f>INDEX(DPD_Class,MATCH(K887,DPD_From,1))</f>
        <v/>
      </c>
      <c r="S887" s="41">
        <f>INDEX(DPD_NPA,MATCH(K887,DPD_From,1))</f>
        <v/>
      </c>
      <c r="T887" s="42">
        <f>INDEX(DPD_Prov,MATCH(K887,DPD_From,1))</f>
        <v/>
      </c>
      <c r="U887" s="40">
        <f>ROUND(O887*T887,0)</f>
        <v/>
      </c>
      <c r="V887" s="41">
        <f>INDEX(CIBIL_Grade,MATCH(J887,CIBIL_From,1))</f>
        <v/>
      </c>
      <c r="W887" s="41">
        <f>YEAR(F887)&amp;"-Q"&amp;ROUNDUP(MONTH(F887)/3,0)</f>
        <v/>
      </c>
      <c r="X887" s="41">
        <f>IF(AND(OR(Dashboard!$C$4="All",D887=Dashboard!$C$4),OR(Dashboard!$C$5="All",E887=Dashboard!$C$5)),1,0)</f>
        <v/>
      </c>
      <c r="Y887" s="43">
        <f>IF(AND(X887=1,S887="Yes"),O887+ROW()/1000000,0)</f>
        <v/>
      </c>
    </row>
    <row r="888">
      <c r="A888" s="35" t="inlineStr">
        <is>
          <t>LN100887</t>
        </is>
      </c>
      <c r="B888" s="35" t="inlineStr">
        <is>
          <t>Rohan Gupta</t>
        </is>
      </c>
      <c r="C888" s="35" t="inlineStr">
        <is>
          <t>GUW-01</t>
        </is>
      </c>
      <c r="D888" s="36">
        <f>INDEX(Branches!$C$2:$C$15,MATCH(C888,Branches!$A$2:$A$15,0))</f>
        <v/>
      </c>
      <c r="E888" s="35" t="inlineStr">
        <is>
          <t>Business Loan</t>
        </is>
      </c>
      <c r="F888" s="37" t="n">
        <v>46093</v>
      </c>
      <c r="G888" s="38" t="n">
        <v>3889000</v>
      </c>
      <c r="H888" s="39" t="n">
        <v>0.1359</v>
      </c>
      <c r="I888" s="35" t="n">
        <v>12</v>
      </c>
      <c r="J888" s="35" t="n">
        <v>760</v>
      </c>
      <c r="K888" s="35" t="n">
        <v>0</v>
      </c>
      <c r="L888" s="40">
        <f>ROUND(PMT(H888/12,I888,-G888),0)</f>
        <v/>
      </c>
      <c r="M888" s="41">
        <f>MAX(0,(YEAR(AsOfDate)-YEAR(F888))*12+MONTH(AsOfDate)-MONTH(F888))</f>
        <v/>
      </c>
      <c r="N888" s="41">
        <f>MAX(0,MIN(I888,M888)-INT(K888/30))</f>
        <v/>
      </c>
      <c r="O888" s="40">
        <f>IF(N888&gt;=I888,0,ROUND(PV(H888/12,I888-N888,-L888),0))</f>
        <v/>
      </c>
      <c r="P888" s="40">
        <f>MIN(I888,M888)*L888-N888*L888</f>
        <v/>
      </c>
      <c r="Q888" s="41">
        <f>INDEX(DPD_Bucket,MATCH(K888,DPD_From,1))</f>
        <v/>
      </c>
      <c r="R888" s="41">
        <f>INDEX(DPD_Class,MATCH(K888,DPD_From,1))</f>
        <v/>
      </c>
      <c r="S888" s="41">
        <f>INDEX(DPD_NPA,MATCH(K888,DPD_From,1))</f>
        <v/>
      </c>
      <c r="T888" s="42">
        <f>INDEX(DPD_Prov,MATCH(K888,DPD_From,1))</f>
        <v/>
      </c>
      <c r="U888" s="40">
        <f>ROUND(O888*T888,0)</f>
        <v/>
      </c>
      <c r="V888" s="41">
        <f>INDEX(CIBIL_Grade,MATCH(J888,CIBIL_From,1))</f>
        <v/>
      </c>
      <c r="W888" s="41">
        <f>YEAR(F888)&amp;"-Q"&amp;ROUNDUP(MONTH(F888)/3,0)</f>
        <v/>
      </c>
      <c r="X888" s="41">
        <f>IF(AND(OR(Dashboard!$C$4="All",D888=Dashboard!$C$4),OR(Dashboard!$C$5="All",E888=Dashboard!$C$5)),1,0)</f>
        <v/>
      </c>
      <c r="Y888" s="43">
        <f>IF(AND(X888=1,S888="Yes"),O888+ROW()/1000000,0)</f>
        <v/>
      </c>
    </row>
    <row r="889">
      <c r="A889" s="35" t="inlineStr">
        <is>
          <t>LN100888</t>
        </is>
      </c>
      <c r="B889" s="35" t="inlineStr">
        <is>
          <t>Reyansh Khan</t>
        </is>
      </c>
      <c r="C889" s="35" t="inlineStr">
        <is>
          <t>KOL-01</t>
        </is>
      </c>
      <c r="D889" s="36">
        <f>INDEX(Branches!$C$2:$C$15,MATCH(C889,Branches!$A$2:$A$15,0))</f>
        <v/>
      </c>
      <c r="E889" s="35" t="inlineStr">
        <is>
          <t>Home Loan</t>
        </is>
      </c>
      <c r="F889" s="37" t="n">
        <v>45429</v>
      </c>
      <c r="G889" s="38" t="n">
        <v>2001000</v>
      </c>
      <c r="H889" s="39" t="n">
        <v>0.0882</v>
      </c>
      <c r="I889" s="35" t="n">
        <v>180</v>
      </c>
      <c r="J889" s="35" t="n">
        <v>762</v>
      </c>
      <c r="K889" s="35" t="n">
        <v>0</v>
      </c>
      <c r="L889" s="40">
        <f>ROUND(PMT(H889/12,I889,-G889),0)</f>
        <v/>
      </c>
      <c r="M889" s="41">
        <f>MAX(0,(YEAR(AsOfDate)-YEAR(F889))*12+MONTH(AsOfDate)-MONTH(F889))</f>
        <v/>
      </c>
      <c r="N889" s="41">
        <f>MAX(0,MIN(I889,M889)-INT(K889/30))</f>
        <v/>
      </c>
      <c r="O889" s="40">
        <f>IF(N889&gt;=I889,0,ROUND(PV(H889/12,I889-N889,-L889),0))</f>
        <v/>
      </c>
      <c r="P889" s="40">
        <f>MIN(I889,M889)*L889-N889*L889</f>
        <v/>
      </c>
      <c r="Q889" s="41">
        <f>INDEX(DPD_Bucket,MATCH(K889,DPD_From,1))</f>
        <v/>
      </c>
      <c r="R889" s="41">
        <f>INDEX(DPD_Class,MATCH(K889,DPD_From,1))</f>
        <v/>
      </c>
      <c r="S889" s="41">
        <f>INDEX(DPD_NPA,MATCH(K889,DPD_From,1))</f>
        <v/>
      </c>
      <c r="T889" s="42">
        <f>INDEX(DPD_Prov,MATCH(K889,DPD_From,1))</f>
        <v/>
      </c>
      <c r="U889" s="40">
        <f>ROUND(O889*T889,0)</f>
        <v/>
      </c>
      <c r="V889" s="41">
        <f>INDEX(CIBIL_Grade,MATCH(J889,CIBIL_From,1))</f>
        <v/>
      </c>
      <c r="W889" s="41">
        <f>YEAR(F889)&amp;"-Q"&amp;ROUNDUP(MONTH(F889)/3,0)</f>
        <v/>
      </c>
      <c r="X889" s="41">
        <f>IF(AND(OR(Dashboard!$C$4="All",D889=Dashboard!$C$4),OR(Dashboard!$C$5="All",E889=Dashboard!$C$5)),1,0)</f>
        <v/>
      </c>
      <c r="Y889" s="43">
        <f>IF(AND(X889=1,S889="Yes"),O889+ROW()/1000000,0)</f>
        <v/>
      </c>
    </row>
    <row r="890">
      <c r="A890" s="35" t="inlineStr">
        <is>
          <t>LN100889</t>
        </is>
      </c>
      <c r="B890" s="35" t="inlineStr">
        <is>
          <t>Harsh Menon</t>
        </is>
      </c>
      <c r="C890" s="35" t="inlineStr">
        <is>
          <t>JAI-01</t>
        </is>
      </c>
      <c r="D890" s="36">
        <f>INDEX(Branches!$C$2:$C$15,MATCH(C890,Branches!$A$2:$A$15,0))</f>
        <v/>
      </c>
      <c r="E890" s="35" t="inlineStr">
        <is>
          <t>Gold Loan</t>
        </is>
      </c>
      <c r="F890" s="37" t="n">
        <v>45262</v>
      </c>
      <c r="G890" s="38" t="n">
        <v>292000</v>
      </c>
      <c r="H890" s="39" t="n">
        <v>0.0963</v>
      </c>
      <c r="I890" s="35" t="n">
        <v>12</v>
      </c>
      <c r="J890" s="35" t="n">
        <v>775</v>
      </c>
      <c r="K890" s="35" t="n">
        <v>0</v>
      </c>
      <c r="L890" s="40">
        <f>ROUND(PMT(H890/12,I890,-G890),0)</f>
        <v/>
      </c>
      <c r="M890" s="41">
        <f>MAX(0,(YEAR(AsOfDate)-YEAR(F890))*12+MONTH(AsOfDate)-MONTH(F890))</f>
        <v/>
      </c>
      <c r="N890" s="41">
        <f>MAX(0,MIN(I890,M890)-INT(K890/30))</f>
        <v/>
      </c>
      <c r="O890" s="40">
        <f>IF(N890&gt;=I890,0,ROUND(PV(H890/12,I890-N890,-L890),0))</f>
        <v/>
      </c>
      <c r="P890" s="40">
        <f>MIN(I890,M890)*L890-N890*L890</f>
        <v/>
      </c>
      <c r="Q890" s="41">
        <f>INDEX(DPD_Bucket,MATCH(K890,DPD_From,1))</f>
        <v/>
      </c>
      <c r="R890" s="41">
        <f>INDEX(DPD_Class,MATCH(K890,DPD_From,1))</f>
        <v/>
      </c>
      <c r="S890" s="41">
        <f>INDEX(DPD_NPA,MATCH(K890,DPD_From,1))</f>
        <v/>
      </c>
      <c r="T890" s="42">
        <f>INDEX(DPD_Prov,MATCH(K890,DPD_From,1))</f>
        <v/>
      </c>
      <c r="U890" s="40">
        <f>ROUND(O890*T890,0)</f>
        <v/>
      </c>
      <c r="V890" s="41">
        <f>INDEX(CIBIL_Grade,MATCH(J890,CIBIL_From,1))</f>
        <v/>
      </c>
      <c r="W890" s="41">
        <f>YEAR(F890)&amp;"-Q"&amp;ROUNDUP(MONTH(F890)/3,0)</f>
        <v/>
      </c>
      <c r="X890" s="41">
        <f>IF(AND(OR(Dashboard!$C$4="All",D890=Dashboard!$C$4),OR(Dashboard!$C$5="All",E890=Dashboard!$C$5)),1,0)</f>
        <v/>
      </c>
      <c r="Y890" s="43">
        <f>IF(AND(X890=1,S890="Yes"),O890+ROW()/1000000,0)</f>
        <v/>
      </c>
    </row>
    <row r="891">
      <c r="A891" s="35" t="inlineStr">
        <is>
          <t>LN100890</t>
        </is>
      </c>
      <c r="B891" s="35" t="inlineStr">
        <is>
          <t>Sai Singh</t>
        </is>
      </c>
      <c r="C891" s="35" t="inlineStr">
        <is>
          <t>GUW-01</t>
        </is>
      </c>
      <c r="D891" s="36">
        <f>INDEX(Branches!$C$2:$C$15,MATCH(C891,Branches!$A$2:$A$15,0))</f>
        <v/>
      </c>
      <c r="E891" s="35" t="inlineStr">
        <is>
          <t>Home Loan</t>
        </is>
      </c>
      <c r="F891" s="37" t="n">
        <v>45688</v>
      </c>
      <c r="G891" s="38" t="n">
        <v>12824000</v>
      </c>
      <c r="H891" s="39" t="n">
        <v>0.0974</v>
      </c>
      <c r="I891" s="35" t="n">
        <v>120</v>
      </c>
      <c r="J891" s="35" t="n">
        <v>784</v>
      </c>
      <c r="K891" s="35" t="n">
        <v>0</v>
      </c>
      <c r="L891" s="40">
        <f>ROUND(PMT(H891/12,I891,-G891),0)</f>
        <v/>
      </c>
      <c r="M891" s="41">
        <f>MAX(0,(YEAR(AsOfDate)-YEAR(F891))*12+MONTH(AsOfDate)-MONTH(F891))</f>
        <v/>
      </c>
      <c r="N891" s="41">
        <f>MAX(0,MIN(I891,M891)-INT(K891/30))</f>
        <v/>
      </c>
      <c r="O891" s="40">
        <f>IF(N891&gt;=I891,0,ROUND(PV(H891/12,I891-N891,-L891),0))</f>
        <v/>
      </c>
      <c r="P891" s="40">
        <f>MIN(I891,M891)*L891-N891*L891</f>
        <v/>
      </c>
      <c r="Q891" s="41">
        <f>INDEX(DPD_Bucket,MATCH(K891,DPD_From,1))</f>
        <v/>
      </c>
      <c r="R891" s="41">
        <f>INDEX(DPD_Class,MATCH(K891,DPD_From,1))</f>
        <v/>
      </c>
      <c r="S891" s="41">
        <f>INDEX(DPD_NPA,MATCH(K891,DPD_From,1))</f>
        <v/>
      </c>
      <c r="T891" s="42">
        <f>INDEX(DPD_Prov,MATCH(K891,DPD_From,1))</f>
        <v/>
      </c>
      <c r="U891" s="40">
        <f>ROUND(O891*T891,0)</f>
        <v/>
      </c>
      <c r="V891" s="41">
        <f>INDEX(CIBIL_Grade,MATCH(J891,CIBIL_From,1))</f>
        <v/>
      </c>
      <c r="W891" s="41">
        <f>YEAR(F891)&amp;"-Q"&amp;ROUNDUP(MONTH(F891)/3,0)</f>
        <v/>
      </c>
      <c r="X891" s="41">
        <f>IF(AND(OR(Dashboard!$C$4="All",D891=Dashboard!$C$4),OR(Dashboard!$C$5="All",E891=Dashboard!$C$5)),1,0)</f>
        <v/>
      </c>
      <c r="Y891" s="43">
        <f>IF(AND(X891=1,S891="Yes"),O891+ROW()/1000000,0)</f>
        <v/>
      </c>
    </row>
    <row r="892">
      <c r="A892" s="35" t="inlineStr">
        <is>
          <t>LN100891</t>
        </is>
      </c>
      <c r="B892" s="35" t="inlineStr">
        <is>
          <t>Rohan Gupta</t>
        </is>
      </c>
      <c r="C892" s="35" t="inlineStr">
        <is>
          <t>MUM-01</t>
        </is>
      </c>
      <c r="D892" s="36">
        <f>INDEX(Branches!$C$2:$C$15,MATCH(C892,Branches!$A$2:$A$15,0))</f>
        <v/>
      </c>
      <c r="E892" s="35" t="inlineStr">
        <is>
          <t>Personal Loan</t>
        </is>
      </c>
      <c r="F892" s="37" t="n">
        <v>45438</v>
      </c>
      <c r="G892" s="38" t="n">
        <v>634000</v>
      </c>
      <c r="H892" s="39" t="n">
        <v>0.1728</v>
      </c>
      <c r="I892" s="35" t="n">
        <v>24</v>
      </c>
      <c r="J892" s="35" t="n">
        <v>719</v>
      </c>
      <c r="K892" s="35" t="n">
        <v>0</v>
      </c>
      <c r="L892" s="40">
        <f>ROUND(PMT(H892/12,I892,-G892),0)</f>
        <v/>
      </c>
      <c r="M892" s="41">
        <f>MAX(0,(YEAR(AsOfDate)-YEAR(F892))*12+MONTH(AsOfDate)-MONTH(F892))</f>
        <v/>
      </c>
      <c r="N892" s="41">
        <f>MAX(0,MIN(I892,M892)-INT(K892/30))</f>
        <v/>
      </c>
      <c r="O892" s="40">
        <f>IF(N892&gt;=I892,0,ROUND(PV(H892/12,I892-N892,-L892),0))</f>
        <v/>
      </c>
      <c r="P892" s="40">
        <f>MIN(I892,M892)*L892-N892*L892</f>
        <v/>
      </c>
      <c r="Q892" s="41">
        <f>INDEX(DPD_Bucket,MATCH(K892,DPD_From,1))</f>
        <v/>
      </c>
      <c r="R892" s="41">
        <f>INDEX(DPD_Class,MATCH(K892,DPD_From,1))</f>
        <v/>
      </c>
      <c r="S892" s="41">
        <f>INDEX(DPD_NPA,MATCH(K892,DPD_From,1))</f>
        <v/>
      </c>
      <c r="T892" s="42">
        <f>INDEX(DPD_Prov,MATCH(K892,DPD_From,1))</f>
        <v/>
      </c>
      <c r="U892" s="40">
        <f>ROUND(O892*T892,0)</f>
        <v/>
      </c>
      <c r="V892" s="41">
        <f>INDEX(CIBIL_Grade,MATCH(J892,CIBIL_From,1))</f>
        <v/>
      </c>
      <c r="W892" s="41">
        <f>YEAR(F892)&amp;"-Q"&amp;ROUNDUP(MONTH(F892)/3,0)</f>
        <v/>
      </c>
      <c r="X892" s="41">
        <f>IF(AND(OR(Dashboard!$C$4="All",D892=Dashboard!$C$4),OR(Dashboard!$C$5="All",E892=Dashboard!$C$5)),1,0)</f>
        <v/>
      </c>
      <c r="Y892" s="43">
        <f>IF(AND(X892=1,S892="Yes"),O892+ROW()/1000000,0)</f>
        <v/>
      </c>
    </row>
    <row r="893">
      <c r="A893" s="35" t="inlineStr">
        <is>
          <t>LN100892</t>
        </is>
      </c>
      <c r="B893" s="35" t="inlineStr">
        <is>
          <t>Farhan Reddy</t>
        </is>
      </c>
      <c r="C893" s="35" t="inlineStr">
        <is>
          <t>LKO-01</t>
        </is>
      </c>
      <c r="D893" s="36">
        <f>INDEX(Branches!$C$2:$C$15,MATCH(C893,Branches!$A$2:$A$15,0))</f>
        <v/>
      </c>
      <c r="E893" s="35" t="inlineStr">
        <is>
          <t>Auto Loan</t>
        </is>
      </c>
      <c r="F893" s="37" t="n">
        <v>45653</v>
      </c>
      <c r="G893" s="38" t="n">
        <v>726000</v>
      </c>
      <c r="H893" s="39" t="n">
        <v>0.1085</v>
      </c>
      <c r="I893" s="35" t="n">
        <v>36</v>
      </c>
      <c r="J893" s="35" t="n">
        <v>822</v>
      </c>
      <c r="K893" s="35" t="n">
        <v>0</v>
      </c>
      <c r="L893" s="40">
        <f>ROUND(PMT(H893/12,I893,-G893),0)</f>
        <v/>
      </c>
      <c r="M893" s="41">
        <f>MAX(0,(YEAR(AsOfDate)-YEAR(F893))*12+MONTH(AsOfDate)-MONTH(F893))</f>
        <v/>
      </c>
      <c r="N893" s="41">
        <f>MAX(0,MIN(I893,M893)-INT(K893/30))</f>
        <v/>
      </c>
      <c r="O893" s="40">
        <f>IF(N893&gt;=I893,0,ROUND(PV(H893/12,I893-N893,-L893),0))</f>
        <v/>
      </c>
      <c r="P893" s="40">
        <f>MIN(I893,M893)*L893-N893*L893</f>
        <v/>
      </c>
      <c r="Q893" s="41">
        <f>INDEX(DPD_Bucket,MATCH(K893,DPD_From,1))</f>
        <v/>
      </c>
      <c r="R893" s="41">
        <f>INDEX(DPD_Class,MATCH(K893,DPD_From,1))</f>
        <v/>
      </c>
      <c r="S893" s="41">
        <f>INDEX(DPD_NPA,MATCH(K893,DPD_From,1))</f>
        <v/>
      </c>
      <c r="T893" s="42">
        <f>INDEX(DPD_Prov,MATCH(K893,DPD_From,1))</f>
        <v/>
      </c>
      <c r="U893" s="40">
        <f>ROUND(O893*T893,0)</f>
        <v/>
      </c>
      <c r="V893" s="41">
        <f>INDEX(CIBIL_Grade,MATCH(J893,CIBIL_From,1))</f>
        <v/>
      </c>
      <c r="W893" s="41">
        <f>YEAR(F893)&amp;"-Q"&amp;ROUNDUP(MONTH(F893)/3,0)</f>
        <v/>
      </c>
      <c r="X893" s="41">
        <f>IF(AND(OR(Dashboard!$C$4="All",D893=Dashboard!$C$4),OR(Dashboard!$C$5="All",E893=Dashboard!$C$5)),1,0)</f>
        <v/>
      </c>
      <c r="Y893" s="43">
        <f>IF(AND(X893=1,S893="Yes"),O893+ROW()/1000000,0)</f>
        <v/>
      </c>
    </row>
    <row r="894">
      <c r="A894" s="35" t="inlineStr">
        <is>
          <t>LN100893</t>
        </is>
      </c>
      <c r="B894" s="35" t="inlineStr">
        <is>
          <t>Reyansh Khan</t>
        </is>
      </c>
      <c r="C894" s="35" t="inlineStr">
        <is>
          <t>GUW-01</t>
        </is>
      </c>
      <c r="D894" s="36">
        <f>INDEX(Branches!$C$2:$C$15,MATCH(C894,Branches!$A$2:$A$15,0))</f>
        <v/>
      </c>
      <c r="E894" s="35" t="inlineStr">
        <is>
          <t>Auto Loan</t>
        </is>
      </c>
      <c r="F894" s="37" t="n">
        <v>45411</v>
      </c>
      <c r="G894" s="38" t="n">
        <v>646000</v>
      </c>
      <c r="H894" s="39" t="n">
        <v>0.1198</v>
      </c>
      <c r="I894" s="35" t="n">
        <v>48</v>
      </c>
      <c r="J894" s="35" t="n">
        <v>661</v>
      </c>
      <c r="K894" s="35" t="n">
        <v>0</v>
      </c>
      <c r="L894" s="40">
        <f>ROUND(PMT(H894/12,I894,-G894),0)</f>
        <v/>
      </c>
      <c r="M894" s="41">
        <f>MAX(0,(YEAR(AsOfDate)-YEAR(F894))*12+MONTH(AsOfDate)-MONTH(F894))</f>
        <v/>
      </c>
      <c r="N894" s="41">
        <f>MAX(0,MIN(I894,M894)-INT(K894/30))</f>
        <v/>
      </c>
      <c r="O894" s="40">
        <f>IF(N894&gt;=I894,0,ROUND(PV(H894/12,I894-N894,-L894),0))</f>
        <v/>
      </c>
      <c r="P894" s="40">
        <f>MIN(I894,M894)*L894-N894*L894</f>
        <v/>
      </c>
      <c r="Q894" s="41">
        <f>INDEX(DPD_Bucket,MATCH(K894,DPD_From,1))</f>
        <v/>
      </c>
      <c r="R894" s="41">
        <f>INDEX(DPD_Class,MATCH(K894,DPD_From,1))</f>
        <v/>
      </c>
      <c r="S894" s="41">
        <f>INDEX(DPD_NPA,MATCH(K894,DPD_From,1))</f>
        <v/>
      </c>
      <c r="T894" s="42">
        <f>INDEX(DPD_Prov,MATCH(K894,DPD_From,1))</f>
        <v/>
      </c>
      <c r="U894" s="40">
        <f>ROUND(O894*T894,0)</f>
        <v/>
      </c>
      <c r="V894" s="41">
        <f>INDEX(CIBIL_Grade,MATCH(J894,CIBIL_From,1))</f>
        <v/>
      </c>
      <c r="W894" s="41">
        <f>YEAR(F894)&amp;"-Q"&amp;ROUNDUP(MONTH(F894)/3,0)</f>
        <v/>
      </c>
      <c r="X894" s="41">
        <f>IF(AND(OR(Dashboard!$C$4="All",D894=Dashboard!$C$4),OR(Dashboard!$C$5="All",E894=Dashboard!$C$5)),1,0)</f>
        <v/>
      </c>
      <c r="Y894" s="43">
        <f>IF(AND(X894=1,S894="Yes"),O894+ROW()/1000000,0)</f>
        <v/>
      </c>
    </row>
    <row r="895">
      <c r="A895" s="35" t="inlineStr">
        <is>
          <t>LN100894</t>
        </is>
      </c>
      <c r="B895" s="35" t="inlineStr">
        <is>
          <t>Sneha Rao</t>
        </is>
      </c>
      <c r="C895" s="35" t="inlineStr">
        <is>
          <t>PAT-01</t>
        </is>
      </c>
      <c r="D895" s="36">
        <f>INDEX(Branches!$C$2:$C$15,MATCH(C895,Branches!$A$2:$A$15,0))</f>
        <v/>
      </c>
      <c r="E895" s="35" t="inlineStr">
        <is>
          <t>Personal Loan</t>
        </is>
      </c>
      <c r="F895" s="37" t="n">
        <v>45667</v>
      </c>
      <c r="G895" s="38" t="n">
        <v>483000</v>
      </c>
      <c r="H895" s="39" t="n">
        <v>0.1702</v>
      </c>
      <c r="I895" s="35" t="n">
        <v>12</v>
      </c>
      <c r="J895" s="35" t="n">
        <v>704</v>
      </c>
      <c r="K895" s="35" t="n">
        <v>0</v>
      </c>
      <c r="L895" s="40">
        <f>ROUND(PMT(H895/12,I895,-G895),0)</f>
        <v/>
      </c>
      <c r="M895" s="41">
        <f>MAX(0,(YEAR(AsOfDate)-YEAR(F895))*12+MONTH(AsOfDate)-MONTH(F895))</f>
        <v/>
      </c>
      <c r="N895" s="41">
        <f>MAX(0,MIN(I895,M895)-INT(K895/30))</f>
        <v/>
      </c>
      <c r="O895" s="40">
        <f>IF(N895&gt;=I895,0,ROUND(PV(H895/12,I895-N895,-L895),0))</f>
        <v/>
      </c>
      <c r="P895" s="40">
        <f>MIN(I895,M895)*L895-N895*L895</f>
        <v/>
      </c>
      <c r="Q895" s="41">
        <f>INDEX(DPD_Bucket,MATCH(K895,DPD_From,1))</f>
        <v/>
      </c>
      <c r="R895" s="41">
        <f>INDEX(DPD_Class,MATCH(K895,DPD_From,1))</f>
        <v/>
      </c>
      <c r="S895" s="41">
        <f>INDEX(DPD_NPA,MATCH(K895,DPD_From,1))</f>
        <v/>
      </c>
      <c r="T895" s="42">
        <f>INDEX(DPD_Prov,MATCH(K895,DPD_From,1))</f>
        <v/>
      </c>
      <c r="U895" s="40">
        <f>ROUND(O895*T895,0)</f>
        <v/>
      </c>
      <c r="V895" s="41">
        <f>INDEX(CIBIL_Grade,MATCH(J895,CIBIL_From,1))</f>
        <v/>
      </c>
      <c r="W895" s="41">
        <f>YEAR(F895)&amp;"-Q"&amp;ROUNDUP(MONTH(F895)/3,0)</f>
        <v/>
      </c>
      <c r="X895" s="41">
        <f>IF(AND(OR(Dashboard!$C$4="All",D895=Dashboard!$C$4),OR(Dashboard!$C$5="All",E895=Dashboard!$C$5)),1,0)</f>
        <v/>
      </c>
      <c r="Y895" s="43">
        <f>IF(AND(X895=1,S895="Yes"),O895+ROW()/1000000,0)</f>
        <v/>
      </c>
    </row>
    <row r="896">
      <c r="A896" s="35" t="inlineStr">
        <is>
          <t>LN100895</t>
        </is>
      </c>
      <c r="B896" s="35" t="inlineStr">
        <is>
          <t>Arjun Nair</t>
        </is>
      </c>
      <c r="C896" s="35" t="inlineStr">
        <is>
          <t>HYD-01</t>
        </is>
      </c>
      <c r="D896" s="36">
        <f>INDEX(Branches!$C$2:$C$15,MATCH(C896,Branches!$A$2:$A$15,0))</f>
        <v/>
      </c>
      <c r="E896" s="35" t="inlineStr">
        <is>
          <t>Auto Loan</t>
        </is>
      </c>
      <c r="F896" s="37" t="n">
        <v>45973</v>
      </c>
      <c r="G896" s="38" t="n">
        <v>1242000</v>
      </c>
      <c r="H896" s="39" t="n">
        <v>0.1161</v>
      </c>
      <c r="I896" s="35" t="n">
        <v>36</v>
      </c>
      <c r="J896" s="35" t="n">
        <v>631</v>
      </c>
      <c r="K896" s="35" t="n">
        <v>0</v>
      </c>
      <c r="L896" s="40">
        <f>ROUND(PMT(H896/12,I896,-G896),0)</f>
        <v/>
      </c>
      <c r="M896" s="41">
        <f>MAX(0,(YEAR(AsOfDate)-YEAR(F896))*12+MONTH(AsOfDate)-MONTH(F896))</f>
        <v/>
      </c>
      <c r="N896" s="41">
        <f>MAX(0,MIN(I896,M896)-INT(K896/30))</f>
        <v/>
      </c>
      <c r="O896" s="40">
        <f>IF(N896&gt;=I896,0,ROUND(PV(H896/12,I896-N896,-L896),0))</f>
        <v/>
      </c>
      <c r="P896" s="40">
        <f>MIN(I896,M896)*L896-N896*L896</f>
        <v/>
      </c>
      <c r="Q896" s="41">
        <f>INDEX(DPD_Bucket,MATCH(K896,DPD_From,1))</f>
        <v/>
      </c>
      <c r="R896" s="41">
        <f>INDEX(DPD_Class,MATCH(K896,DPD_From,1))</f>
        <v/>
      </c>
      <c r="S896" s="41">
        <f>INDEX(DPD_NPA,MATCH(K896,DPD_From,1))</f>
        <v/>
      </c>
      <c r="T896" s="42">
        <f>INDEX(DPD_Prov,MATCH(K896,DPD_From,1))</f>
        <v/>
      </c>
      <c r="U896" s="40">
        <f>ROUND(O896*T896,0)</f>
        <v/>
      </c>
      <c r="V896" s="41">
        <f>INDEX(CIBIL_Grade,MATCH(J896,CIBIL_From,1))</f>
        <v/>
      </c>
      <c r="W896" s="41">
        <f>YEAR(F896)&amp;"-Q"&amp;ROUNDUP(MONTH(F896)/3,0)</f>
        <v/>
      </c>
      <c r="X896" s="41">
        <f>IF(AND(OR(Dashboard!$C$4="All",D896=Dashboard!$C$4),OR(Dashboard!$C$5="All",E896=Dashboard!$C$5)),1,0)</f>
        <v/>
      </c>
      <c r="Y896" s="43">
        <f>IF(AND(X896=1,S896="Yes"),O896+ROW()/1000000,0)</f>
        <v/>
      </c>
    </row>
    <row r="897">
      <c r="A897" s="35" t="inlineStr">
        <is>
          <t>LN100896</t>
        </is>
      </c>
      <c r="B897" s="35" t="inlineStr">
        <is>
          <t>Farhan Mishra</t>
        </is>
      </c>
      <c r="C897" s="35" t="inlineStr">
        <is>
          <t>GUW-01</t>
        </is>
      </c>
      <c r="D897" s="36">
        <f>INDEX(Branches!$C$2:$C$15,MATCH(C897,Branches!$A$2:$A$15,0))</f>
        <v/>
      </c>
      <c r="E897" s="35" t="inlineStr">
        <is>
          <t>Personal Loan</t>
        </is>
      </c>
      <c r="F897" s="37" t="n">
        <v>45978</v>
      </c>
      <c r="G897" s="38" t="n">
        <v>495000</v>
      </c>
      <c r="H897" s="39" t="n">
        <v>0.1253</v>
      </c>
      <c r="I897" s="35" t="n">
        <v>48</v>
      </c>
      <c r="J897" s="35" t="n">
        <v>836</v>
      </c>
      <c r="K897" s="35" t="n">
        <v>0</v>
      </c>
      <c r="L897" s="40">
        <f>ROUND(PMT(H897/12,I897,-G897),0)</f>
        <v/>
      </c>
      <c r="M897" s="41">
        <f>MAX(0,(YEAR(AsOfDate)-YEAR(F897))*12+MONTH(AsOfDate)-MONTH(F897))</f>
        <v/>
      </c>
      <c r="N897" s="41">
        <f>MAX(0,MIN(I897,M897)-INT(K897/30))</f>
        <v/>
      </c>
      <c r="O897" s="40">
        <f>IF(N897&gt;=I897,0,ROUND(PV(H897/12,I897-N897,-L897),0))</f>
        <v/>
      </c>
      <c r="P897" s="40">
        <f>MIN(I897,M897)*L897-N897*L897</f>
        <v/>
      </c>
      <c r="Q897" s="41">
        <f>INDEX(DPD_Bucket,MATCH(K897,DPD_From,1))</f>
        <v/>
      </c>
      <c r="R897" s="41">
        <f>INDEX(DPD_Class,MATCH(K897,DPD_From,1))</f>
        <v/>
      </c>
      <c r="S897" s="41">
        <f>INDEX(DPD_NPA,MATCH(K897,DPD_From,1))</f>
        <v/>
      </c>
      <c r="T897" s="42">
        <f>INDEX(DPD_Prov,MATCH(K897,DPD_From,1))</f>
        <v/>
      </c>
      <c r="U897" s="40">
        <f>ROUND(O897*T897,0)</f>
        <v/>
      </c>
      <c r="V897" s="41">
        <f>INDEX(CIBIL_Grade,MATCH(J897,CIBIL_From,1))</f>
        <v/>
      </c>
      <c r="W897" s="41">
        <f>YEAR(F897)&amp;"-Q"&amp;ROUNDUP(MONTH(F897)/3,0)</f>
        <v/>
      </c>
      <c r="X897" s="41">
        <f>IF(AND(OR(Dashboard!$C$4="All",D897=Dashboard!$C$4),OR(Dashboard!$C$5="All",E897=Dashboard!$C$5)),1,0)</f>
        <v/>
      </c>
      <c r="Y897" s="43">
        <f>IF(AND(X897=1,S897="Yes"),O897+ROW()/1000000,0)</f>
        <v/>
      </c>
    </row>
    <row r="898">
      <c r="A898" s="35" t="inlineStr">
        <is>
          <t>LN100897</t>
        </is>
      </c>
      <c r="B898" s="35" t="inlineStr">
        <is>
          <t>Nikhil Kulkarni</t>
        </is>
      </c>
      <c r="C898" s="35" t="inlineStr">
        <is>
          <t>LKO-01</t>
        </is>
      </c>
      <c r="D898" s="36">
        <f>INDEX(Branches!$C$2:$C$15,MATCH(C898,Branches!$A$2:$A$15,0))</f>
        <v/>
      </c>
      <c r="E898" s="35" t="inlineStr">
        <is>
          <t>Home Loan</t>
        </is>
      </c>
      <c r="F898" s="37" t="n">
        <v>45824</v>
      </c>
      <c r="G898" s="38" t="n">
        <v>9730000</v>
      </c>
      <c r="H898" s="39" t="n">
        <v>0.0959</v>
      </c>
      <c r="I898" s="35" t="n">
        <v>120</v>
      </c>
      <c r="J898" s="35" t="n">
        <v>696</v>
      </c>
      <c r="K898" s="35" t="n">
        <v>0</v>
      </c>
      <c r="L898" s="40">
        <f>ROUND(PMT(H898/12,I898,-G898),0)</f>
        <v/>
      </c>
      <c r="M898" s="41">
        <f>MAX(0,(YEAR(AsOfDate)-YEAR(F898))*12+MONTH(AsOfDate)-MONTH(F898))</f>
        <v/>
      </c>
      <c r="N898" s="41">
        <f>MAX(0,MIN(I898,M898)-INT(K898/30))</f>
        <v/>
      </c>
      <c r="O898" s="40">
        <f>IF(N898&gt;=I898,0,ROUND(PV(H898/12,I898-N898,-L898),0))</f>
        <v/>
      </c>
      <c r="P898" s="40">
        <f>MIN(I898,M898)*L898-N898*L898</f>
        <v/>
      </c>
      <c r="Q898" s="41">
        <f>INDEX(DPD_Bucket,MATCH(K898,DPD_From,1))</f>
        <v/>
      </c>
      <c r="R898" s="41">
        <f>INDEX(DPD_Class,MATCH(K898,DPD_From,1))</f>
        <v/>
      </c>
      <c r="S898" s="41">
        <f>INDEX(DPD_NPA,MATCH(K898,DPD_From,1))</f>
        <v/>
      </c>
      <c r="T898" s="42">
        <f>INDEX(DPD_Prov,MATCH(K898,DPD_From,1))</f>
        <v/>
      </c>
      <c r="U898" s="40">
        <f>ROUND(O898*T898,0)</f>
        <v/>
      </c>
      <c r="V898" s="41">
        <f>INDEX(CIBIL_Grade,MATCH(J898,CIBIL_From,1))</f>
        <v/>
      </c>
      <c r="W898" s="41">
        <f>YEAR(F898)&amp;"-Q"&amp;ROUNDUP(MONTH(F898)/3,0)</f>
        <v/>
      </c>
      <c r="X898" s="41">
        <f>IF(AND(OR(Dashboard!$C$4="All",D898=Dashboard!$C$4),OR(Dashboard!$C$5="All",E898=Dashboard!$C$5)),1,0)</f>
        <v/>
      </c>
      <c r="Y898" s="43">
        <f>IF(AND(X898=1,S898="Yes"),O898+ROW()/1000000,0)</f>
        <v/>
      </c>
    </row>
    <row r="899">
      <c r="A899" s="35" t="inlineStr">
        <is>
          <t>LN100898</t>
        </is>
      </c>
      <c r="B899" s="35" t="inlineStr">
        <is>
          <t>Ananya Verma</t>
        </is>
      </c>
      <c r="C899" s="35" t="inlineStr">
        <is>
          <t>BBS-01</t>
        </is>
      </c>
      <c r="D899" s="36">
        <f>INDEX(Branches!$C$2:$C$15,MATCH(C899,Branches!$A$2:$A$15,0))</f>
        <v/>
      </c>
      <c r="E899" s="35" t="inlineStr">
        <is>
          <t>Personal Loan</t>
        </is>
      </c>
      <c r="F899" s="37" t="n">
        <v>45643</v>
      </c>
      <c r="G899" s="38" t="n">
        <v>995000</v>
      </c>
      <c r="H899" s="39" t="n">
        <v>0.1328</v>
      </c>
      <c r="I899" s="35" t="n">
        <v>24</v>
      </c>
      <c r="J899" s="35" t="n">
        <v>818</v>
      </c>
      <c r="K899" s="35" t="n">
        <v>525</v>
      </c>
      <c r="L899" s="40">
        <f>ROUND(PMT(H899/12,I899,-G899),0)</f>
        <v/>
      </c>
      <c r="M899" s="41">
        <f>MAX(0,(YEAR(AsOfDate)-YEAR(F899))*12+MONTH(AsOfDate)-MONTH(F899))</f>
        <v/>
      </c>
      <c r="N899" s="41">
        <f>MAX(0,MIN(I899,M899)-INT(K899/30))</f>
        <v/>
      </c>
      <c r="O899" s="40">
        <f>IF(N899&gt;=I899,0,ROUND(PV(H899/12,I899-N899,-L899),0))</f>
        <v/>
      </c>
      <c r="P899" s="40">
        <f>MIN(I899,M899)*L899-N899*L899</f>
        <v/>
      </c>
      <c r="Q899" s="41">
        <f>INDEX(DPD_Bucket,MATCH(K899,DPD_From,1))</f>
        <v/>
      </c>
      <c r="R899" s="41">
        <f>INDEX(DPD_Class,MATCH(K899,DPD_From,1))</f>
        <v/>
      </c>
      <c r="S899" s="41">
        <f>INDEX(DPD_NPA,MATCH(K899,DPD_From,1))</f>
        <v/>
      </c>
      <c r="T899" s="42">
        <f>INDEX(DPD_Prov,MATCH(K899,DPD_From,1))</f>
        <v/>
      </c>
      <c r="U899" s="40">
        <f>ROUND(O899*T899,0)</f>
        <v/>
      </c>
      <c r="V899" s="41">
        <f>INDEX(CIBIL_Grade,MATCH(J899,CIBIL_From,1))</f>
        <v/>
      </c>
      <c r="W899" s="41">
        <f>YEAR(F899)&amp;"-Q"&amp;ROUNDUP(MONTH(F899)/3,0)</f>
        <v/>
      </c>
      <c r="X899" s="41">
        <f>IF(AND(OR(Dashboard!$C$4="All",D899=Dashboard!$C$4),OR(Dashboard!$C$5="All",E899=Dashboard!$C$5)),1,0)</f>
        <v/>
      </c>
      <c r="Y899" s="43">
        <f>IF(AND(X899=1,S899="Yes"),O899+ROW()/1000000,0)</f>
        <v/>
      </c>
    </row>
    <row r="900">
      <c r="A900" s="35" t="inlineStr">
        <is>
          <t>LN100899</t>
        </is>
      </c>
      <c r="B900" s="35" t="inlineStr">
        <is>
          <t>Rahul Singh</t>
        </is>
      </c>
      <c r="C900" s="35" t="inlineStr">
        <is>
          <t>MUM-01</t>
        </is>
      </c>
      <c r="D900" s="36">
        <f>INDEX(Branches!$C$2:$C$15,MATCH(C900,Branches!$A$2:$A$15,0))</f>
        <v/>
      </c>
      <c r="E900" s="35" t="inlineStr">
        <is>
          <t>Business Loan</t>
        </is>
      </c>
      <c r="F900" s="37" t="n">
        <v>45236</v>
      </c>
      <c r="G900" s="38" t="n">
        <v>4787000</v>
      </c>
      <c r="H900" s="39" t="n">
        <v>0.1664</v>
      </c>
      <c r="I900" s="35" t="n">
        <v>60</v>
      </c>
      <c r="J900" s="35" t="n">
        <v>800</v>
      </c>
      <c r="K900" s="35" t="n">
        <v>0</v>
      </c>
      <c r="L900" s="40">
        <f>ROUND(PMT(H900/12,I900,-G900),0)</f>
        <v/>
      </c>
      <c r="M900" s="41">
        <f>MAX(0,(YEAR(AsOfDate)-YEAR(F900))*12+MONTH(AsOfDate)-MONTH(F900))</f>
        <v/>
      </c>
      <c r="N900" s="41">
        <f>MAX(0,MIN(I900,M900)-INT(K900/30))</f>
        <v/>
      </c>
      <c r="O900" s="40">
        <f>IF(N900&gt;=I900,0,ROUND(PV(H900/12,I900-N900,-L900),0))</f>
        <v/>
      </c>
      <c r="P900" s="40">
        <f>MIN(I900,M900)*L900-N900*L900</f>
        <v/>
      </c>
      <c r="Q900" s="41">
        <f>INDEX(DPD_Bucket,MATCH(K900,DPD_From,1))</f>
        <v/>
      </c>
      <c r="R900" s="41">
        <f>INDEX(DPD_Class,MATCH(K900,DPD_From,1))</f>
        <v/>
      </c>
      <c r="S900" s="41">
        <f>INDEX(DPD_NPA,MATCH(K900,DPD_From,1))</f>
        <v/>
      </c>
      <c r="T900" s="42">
        <f>INDEX(DPD_Prov,MATCH(K900,DPD_From,1))</f>
        <v/>
      </c>
      <c r="U900" s="40">
        <f>ROUND(O900*T900,0)</f>
        <v/>
      </c>
      <c r="V900" s="41">
        <f>INDEX(CIBIL_Grade,MATCH(J900,CIBIL_From,1))</f>
        <v/>
      </c>
      <c r="W900" s="41">
        <f>YEAR(F900)&amp;"-Q"&amp;ROUNDUP(MONTH(F900)/3,0)</f>
        <v/>
      </c>
      <c r="X900" s="41">
        <f>IF(AND(OR(Dashboard!$C$4="All",D900=Dashboard!$C$4),OR(Dashboard!$C$5="All",E900=Dashboard!$C$5)),1,0)</f>
        <v/>
      </c>
      <c r="Y900" s="43">
        <f>IF(AND(X900=1,S900="Yes"),O900+ROW()/1000000,0)</f>
        <v/>
      </c>
    </row>
    <row r="901">
      <c r="A901" s="35" t="inlineStr">
        <is>
          <t>LN100900</t>
        </is>
      </c>
      <c r="B901" s="35" t="inlineStr">
        <is>
          <t>Aditya Singh</t>
        </is>
      </c>
      <c r="C901" s="35" t="inlineStr">
        <is>
          <t>AMD-01</t>
        </is>
      </c>
      <c r="D901" s="36">
        <f>INDEX(Branches!$C$2:$C$15,MATCH(C901,Branches!$A$2:$A$15,0))</f>
        <v/>
      </c>
      <c r="E901" s="35" t="inlineStr">
        <is>
          <t>Business Loan</t>
        </is>
      </c>
      <c r="F901" s="37" t="n">
        <v>45548</v>
      </c>
      <c r="G901" s="38" t="n">
        <v>3968000</v>
      </c>
      <c r="H901" s="39" t="n">
        <v>0.1892</v>
      </c>
      <c r="I901" s="35" t="n">
        <v>24</v>
      </c>
      <c r="J901" s="35" t="n">
        <v>882</v>
      </c>
      <c r="K901" s="35" t="n">
        <v>0</v>
      </c>
      <c r="L901" s="40">
        <f>ROUND(PMT(H901/12,I901,-G901),0)</f>
        <v/>
      </c>
      <c r="M901" s="41">
        <f>MAX(0,(YEAR(AsOfDate)-YEAR(F901))*12+MONTH(AsOfDate)-MONTH(F901))</f>
        <v/>
      </c>
      <c r="N901" s="41">
        <f>MAX(0,MIN(I901,M901)-INT(K901/30))</f>
        <v/>
      </c>
      <c r="O901" s="40">
        <f>IF(N901&gt;=I901,0,ROUND(PV(H901/12,I901-N901,-L901),0))</f>
        <v/>
      </c>
      <c r="P901" s="40">
        <f>MIN(I901,M901)*L901-N901*L901</f>
        <v/>
      </c>
      <c r="Q901" s="41">
        <f>INDEX(DPD_Bucket,MATCH(K901,DPD_From,1))</f>
        <v/>
      </c>
      <c r="R901" s="41">
        <f>INDEX(DPD_Class,MATCH(K901,DPD_From,1))</f>
        <v/>
      </c>
      <c r="S901" s="41">
        <f>INDEX(DPD_NPA,MATCH(K901,DPD_From,1))</f>
        <v/>
      </c>
      <c r="T901" s="42">
        <f>INDEX(DPD_Prov,MATCH(K901,DPD_From,1))</f>
        <v/>
      </c>
      <c r="U901" s="40">
        <f>ROUND(O901*T901,0)</f>
        <v/>
      </c>
      <c r="V901" s="41">
        <f>INDEX(CIBIL_Grade,MATCH(J901,CIBIL_From,1))</f>
        <v/>
      </c>
      <c r="W901" s="41">
        <f>YEAR(F901)&amp;"-Q"&amp;ROUNDUP(MONTH(F901)/3,0)</f>
        <v/>
      </c>
      <c r="X901" s="41">
        <f>IF(AND(OR(Dashboard!$C$4="All",D901=Dashboard!$C$4),OR(Dashboard!$C$5="All",E901=Dashboard!$C$5)),1,0)</f>
        <v/>
      </c>
      <c r="Y901" s="43">
        <f>IF(AND(X901=1,S901="Yes"),O901+ROW()/1000000,0)</f>
        <v/>
      </c>
    </row>
    <row r="902">
      <c r="A902" s="35" t="inlineStr">
        <is>
          <t>LN100901</t>
        </is>
      </c>
      <c r="B902" s="35" t="inlineStr">
        <is>
          <t>Sai Pillai</t>
        </is>
      </c>
      <c r="C902" s="35" t="inlineStr">
        <is>
          <t>DEL-01</t>
        </is>
      </c>
      <c r="D902" s="36">
        <f>INDEX(Branches!$C$2:$C$15,MATCH(C902,Branches!$A$2:$A$15,0))</f>
        <v/>
      </c>
      <c r="E902" s="35" t="inlineStr">
        <is>
          <t>Personal Loan</t>
        </is>
      </c>
      <c r="F902" s="37" t="n">
        <v>45682</v>
      </c>
      <c r="G902" s="38" t="n">
        <v>821000</v>
      </c>
      <c r="H902" s="39" t="n">
        <v>0.1798</v>
      </c>
      <c r="I902" s="35" t="n">
        <v>12</v>
      </c>
      <c r="J902" s="35" t="n">
        <v>766</v>
      </c>
      <c r="K902" s="35" t="n">
        <v>0</v>
      </c>
      <c r="L902" s="40">
        <f>ROUND(PMT(H902/12,I902,-G902),0)</f>
        <v/>
      </c>
      <c r="M902" s="41">
        <f>MAX(0,(YEAR(AsOfDate)-YEAR(F902))*12+MONTH(AsOfDate)-MONTH(F902))</f>
        <v/>
      </c>
      <c r="N902" s="41">
        <f>MAX(0,MIN(I902,M902)-INT(K902/30))</f>
        <v/>
      </c>
      <c r="O902" s="40">
        <f>IF(N902&gt;=I902,0,ROUND(PV(H902/12,I902-N902,-L902),0))</f>
        <v/>
      </c>
      <c r="P902" s="40">
        <f>MIN(I902,M902)*L902-N902*L902</f>
        <v/>
      </c>
      <c r="Q902" s="41">
        <f>INDEX(DPD_Bucket,MATCH(K902,DPD_From,1))</f>
        <v/>
      </c>
      <c r="R902" s="41">
        <f>INDEX(DPD_Class,MATCH(K902,DPD_From,1))</f>
        <v/>
      </c>
      <c r="S902" s="41">
        <f>INDEX(DPD_NPA,MATCH(K902,DPD_From,1))</f>
        <v/>
      </c>
      <c r="T902" s="42">
        <f>INDEX(DPD_Prov,MATCH(K902,DPD_From,1))</f>
        <v/>
      </c>
      <c r="U902" s="40">
        <f>ROUND(O902*T902,0)</f>
        <v/>
      </c>
      <c r="V902" s="41">
        <f>INDEX(CIBIL_Grade,MATCH(J902,CIBIL_From,1))</f>
        <v/>
      </c>
      <c r="W902" s="41">
        <f>YEAR(F902)&amp;"-Q"&amp;ROUNDUP(MONTH(F902)/3,0)</f>
        <v/>
      </c>
      <c r="X902" s="41">
        <f>IF(AND(OR(Dashboard!$C$4="All",D902=Dashboard!$C$4),OR(Dashboard!$C$5="All",E902=Dashboard!$C$5)),1,0)</f>
        <v/>
      </c>
      <c r="Y902" s="43">
        <f>IF(AND(X902=1,S902="Yes"),O902+ROW()/1000000,0)</f>
        <v/>
      </c>
    </row>
    <row r="903">
      <c r="A903" s="35" t="inlineStr">
        <is>
          <t>LN100902</t>
        </is>
      </c>
      <c r="B903" s="35" t="inlineStr">
        <is>
          <t>Sneha Mohanty</t>
        </is>
      </c>
      <c r="C903" s="35" t="inlineStr">
        <is>
          <t>BBS-01</t>
        </is>
      </c>
      <c r="D903" s="36">
        <f>INDEX(Branches!$C$2:$C$15,MATCH(C903,Branches!$A$2:$A$15,0))</f>
        <v/>
      </c>
      <c r="E903" s="35" t="inlineStr">
        <is>
          <t>Gold Loan</t>
        </is>
      </c>
      <c r="F903" s="37" t="n">
        <v>45343</v>
      </c>
      <c r="G903" s="38" t="n">
        <v>348000</v>
      </c>
      <c r="H903" s="39" t="n">
        <v>0.1176</v>
      </c>
      <c r="I903" s="35" t="n">
        <v>6</v>
      </c>
      <c r="J903" s="35" t="n">
        <v>723</v>
      </c>
      <c r="K903" s="35" t="n">
        <v>0</v>
      </c>
      <c r="L903" s="40">
        <f>ROUND(PMT(H903/12,I903,-G903),0)</f>
        <v/>
      </c>
      <c r="M903" s="41">
        <f>MAX(0,(YEAR(AsOfDate)-YEAR(F903))*12+MONTH(AsOfDate)-MONTH(F903))</f>
        <v/>
      </c>
      <c r="N903" s="41">
        <f>MAX(0,MIN(I903,M903)-INT(K903/30))</f>
        <v/>
      </c>
      <c r="O903" s="40">
        <f>IF(N903&gt;=I903,0,ROUND(PV(H903/12,I903-N903,-L903),0))</f>
        <v/>
      </c>
      <c r="P903" s="40">
        <f>MIN(I903,M903)*L903-N903*L903</f>
        <v/>
      </c>
      <c r="Q903" s="41">
        <f>INDEX(DPD_Bucket,MATCH(K903,DPD_From,1))</f>
        <v/>
      </c>
      <c r="R903" s="41">
        <f>INDEX(DPD_Class,MATCH(K903,DPD_From,1))</f>
        <v/>
      </c>
      <c r="S903" s="41">
        <f>INDEX(DPD_NPA,MATCH(K903,DPD_From,1))</f>
        <v/>
      </c>
      <c r="T903" s="42">
        <f>INDEX(DPD_Prov,MATCH(K903,DPD_From,1))</f>
        <v/>
      </c>
      <c r="U903" s="40">
        <f>ROUND(O903*T903,0)</f>
        <v/>
      </c>
      <c r="V903" s="41">
        <f>INDEX(CIBIL_Grade,MATCH(J903,CIBIL_From,1))</f>
        <v/>
      </c>
      <c r="W903" s="41">
        <f>YEAR(F903)&amp;"-Q"&amp;ROUNDUP(MONTH(F903)/3,0)</f>
        <v/>
      </c>
      <c r="X903" s="41">
        <f>IF(AND(OR(Dashboard!$C$4="All",D903=Dashboard!$C$4),OR(Dashboard!$C$5="All",E903=Dashboard!$C$5)),1,0)</f>
        <v/>
      </c>
      <c r="Y903" s="43">
        <f>IF(AND(X903=1,S903="Yes"),O903+ROW()/1000000,0)</f>
        <v/>
      </c>
    </row>
    <row r="904">
      <c r="A904" s="35" t="inlineStr">
        <is>
          <t>LN100903</t>
        </is>
      </c>
      <c r="B904" s="35" t="inlineStr">
        <is>
          <t>Rahul Mohanty</t>
        </is>
      </c>
      <c r="C904" s="35" t="inlineStr">
        <is>
          <t>HYD-01</t>
        </is>
      </c>
      <c r="D904" s="36">
        <f>INDEX(Branches!$C$2:$C$15,MATCH(C904,Branches!$A$2:$A$15,0))</f>
        <v/>
      </c>
      <c r="E904" s="35" t="inlineStr">
        <is>
          <t>Gold Loan</t>
        </is>
      </c>
      <c r="F904" s="37" t="n">
        <v>45255</v>
      </c>
      <c r="G904" s="38" t="n">
        <v>84000</v>
      </c>
      <c r="H904" s="39" t="n">
        <v>0.1152</v>
      </c>
      <c r="I904" s="35" t="n">
        <v>6</v>
      </c>
      <c r="J904" s="35" t="n">
        <v>815</v>
      </c>
      <c r="K904" s="35" t="n">
        <v>0</v>
      </c>
      <c r="L904" s="40">
        <f>ROUND(PMT(H904/12,I904,-G904),0)</f>
        <v/>
      </c>
      <c r="M904" s="41">
        <f>MAX(0,(YEAR(AsOfDate)-YEAR(F904))*12+MONTH(AsOfDate)-MONTH(F904))</f>
        <v/>
      </c>
      <c r="N904" s="41">
        <f>MAX(0,MIN(I904,M904)-INT(K904/30))</f>
        <v/>
      </c>
      <c r="O904" s="40">
        <f>IF(N904&gt;=I904,0,ROUND(PV(H904/12,I904-N904,-L904),0))</f>
        <v/>
      </c>
      <c r="P904" s="40">
        <f>MIN(I904,M904)*L904-N904*L904</f>
        <v/>
      </c>
      <c r="Q904" s="41">
        <f>INDEX(DPD_Bucket,MATCH(K904,DPD_From,1))</f>
        <v/>
      </c>
      <c r="R904" s="41">
        <f>INDEX(DPD_Class,MATCH(K904,DPD_From,1))</f>
        <v/>
      </c>
      <c r="S904" s="41">
        <f>INDEX(DPD_NPA,MATCH(K904,DPD_From,1))</f>
        <v/>
      </c>
      <c r="T904" s="42">
        <f>INDEX(DPD_Prov,MATCH(K904,DPD_From,1))</f>
        <v/>
      </c>
      <c r="U904" s="40">
        <f>ROUND(O904*T904,0)</f>
        <v/>
      </c>
      <c r="V904" s="41">
        <f>INDEX(CIBIL_Grade,MATCH(J904,CIBIL_From,1))</f>
        <v/>
      </c>
      <c r="W904" s="41">
        <f>YEAR(F904)&amp;"-Q"&amp;ROUNDUP(MONTH(F904)/3,0)</f>
        <v/>
      </c>
      <c r="X904" s="41">
        <f>IF(AND(OR(Dashboard!$C$4="All",D904=Dashboard!$C$4),OR(Dashboard!$C$5="All",E904=Dashboard!$C$5)),1,0)</f>
        <v/>
      </c>
      <c r="Y904" s="43">
        <f>IF(AND(X904=1,S904="Yes"),O904+ROW()/1000000,0)</f>
        <v/>
      </c>
    </row>
    <row r="905">
      <c r="A905" s="35" t="inlineStr">
        <is>
          <t>LN100904</t>
        </is>
      </c>
      <c r="B905" s="35" t="inlineStr">
        <is>
          <t>Reyansh Menon</t>
        </is>
      </c>
      <c r="C905" s="35" t="inlineStr">
        <is>
          <t>CHN-01</t>
        </is>
      </c>
      <c r="D905" s="36">
        <f>INDEX(Branches!$C$2:$C$15,MATCH(C905,Branches!$A$2:$A$15,0))</f>
        <v/>
      </c>
      <c r="E905" s="35" t="inlineStr">
        <is>
          <t>Personal Loan</t>
        </is>
      </c>
      <c r="F905" s="37" t="n">
        <v>45308</v>
      </c>
      <c r="G905" s="38" t="n">
        <v>573000</v>
      </c>
      <c r="H905" s="39" t="n">
        <v>0.1559</v>
      </c>
      <c r="I905" s="35" t="n">
        <v>12</v>
      </c>
      <c r="J905" s="35" t="n">
        <v>716</v>
      </c>
      <c r="K905" s="35" t="n">
        <v>0</v>
      </c>
      <c r="L905" s="40">
        <f>ROUND(PMT(H905/12,I905,-G905),0)</f>
        <v/>
      </c>
      <c r="M905" s="41">
        <f>MAX(0,(YEAR(AsOfDate)-YEAR(F905))*12+MONTH(AsOfDate)-MONTH(F905))</f>
        <v/>
      </c>
      <c r="N905" s="41">
        <f>MAX(0,MIN(I905,M905)-INT(K905/30))</f>
        <v/>
      </c>
      <c r="O905" s="40">
        <f>IF(N905&gt;=I905,0,ROUND(PV(H905/12,I905-N905,-L905),0))</f>
        <v/>
      </c>
      <c r="P905" s="40">
        <f>MIN(I905,M905)*L905-N905*L905</f>
        <v/>
      </c>
      <c r="Q905" s="41">
        <f>INDEX(DPD_Bucket,MATCH(K905,DPD_From,1))</f>
        <v/>
      </c>
      <c r="R905" s="41">
        <f>INDEX(DPD_Class,MATCH(K905,DPD_From,1))</f>
        <v/>
      </c>
      <c r="S905" s="41">
        <f>INDEX(DPD_NPA,MATCH(K905,DPD_From,1))</f>
        <v/>
      </c>
      <c r="T905" s="42">
        <f>INDEX(DPD_Prov,MATCH(K905,DPD_From,1))</f>
        <v/>
      </c>
      <c r="U905" s="40">
        <f>ROUND(O905*T905,0)</f>
        <v/>
      </c>
      <c r="V905" s="41">
        <f>INDEX(CIBIL_Grade,MATCH(J905,CIBIL_From,1))</f>
        <v/>
      </c>
      <c r="W905" s="41">
        <f>YEAR(F905)&amp;"-Q"&amp;ROUNDUP(MONTH(F905)/3,0)</f>
        <v/>
      </c>
      <c r="X905" s="41">
        <f>IF(AND(OR(Dashboard!$C$4="All",D905=Dashboard!$C$4),OR(Dashboard!$C$5="All",E905=Dashboard!$C$5)),1,0)</f>
        <v/>
      </c>
      <c r="Y905" s="43">
        <f>IF(AND(X905=1,S905="Yes"),O905+ROW()/1000000,0)</f>
        <v/>
      </c>
    </row>
    <row r="906">
      <c r="A906" s="35" t="inlineStr">
        <is>
          <t>LN100905</t>
        </is>
      </c>
      <c r="B906" s="35" t="inlineStr">
        <is>
          <t>Zoya Mishra</t>
        </is>
      </c>
      <c r="C906" s="35" t="inlineStr">
        <is>
          <t>AMD-01</t>
        </is>
      </c>
      <c r="D906" s="36">
        <f>INDEX(Branches!$C$2:$C$15,MATCH(C906,Branches!$A$2:$A$15,0))</f>
        <v/>
      </c>
      <c r="E906" s="35" t="inlineStr">
        <is>
          <t>Business Loan</t>
        </is>
      </c>
      <c r="F906" s="37" t="n">
        <v>45579</v>
      </c>
      <c r="G906" s="38" t="n">
        <v>1479000</v>
      </c>
      <c r="H906" s="39" t="n">
        <v>0.1513</v>
      </c>
      <c r="I906" s="35" t="n">
        <v>12</v>
      </c>
      <c r="J906" s="35" t="n">
        <v>721</v>
      </c>
      <c r="K906" s="35" t="n">
        <v>0</v>
      </c>
      <c r="L906" s="40">
        <f>ROUND(PMT(H906/12,I906,-G906),0)</f>
        <v/>
      </c>
      <c r="M906" s="41">
        <f>MAX(0,(YEAR(AsOfDate)-YEAR(F906))*12+MONTH(AsOfDate)-MONTH(F906))</f>
        <v/>
      </c>
      <c r="N906" s="41">
        <f>MAX(0,MIN(I906,M906)-INT(K906/30))</f>
        <v/>
      </c>
      <c r="O906" s="40">
        <f>IF(N906&gt;=I906,0,ROUND(PV(H906/12,I906-N906,-L906),0))</f>
        <v/>
      </c>
      <c r="P906" s="40">
        <f>MIN(I906,M906)*L906-N906*L906</f>
        <v/>
      </c>
      <c r="Q906" s="41">
        <f>INDEX(DPD_Bucket,MATCH(K906,DPD_From,1))</f>
        <v/>
      </c>
      <c r="R906" s="41">
        <f>INDEX(DPD_Class,MATCH(K906,DPD_From,1))</f>
        <v/>
      </c>
      <c r="S906" s="41">
        <f>INDEX(DPD_NPA,MATCH(K906,DPD_From,1))</f>
        <v/>
      </c>
      <c r="T906" s="42">
        <f>INDEX(DPD_Prov,MATCH(K906,DPD_From,1))</f>
        <v/>
      </c>
      <c r="U906" s="40">
        <f>ROUND(O906*T906,0)</f>
        <v/>
      </c>
      <c r="V906" s="41">
        <f>INDEX(CIBIL_Grade,MATCH(J906,CIBIL_From,1))</f>
        <v/>
      </c>
      <c r="W906" s="41">
        <f>YEAR(F906)&amp;"-Q"&amp;ROUNDUP(MONTH(F906)/3,0)</f>
        <v/>
      </c>
      <c r="X906" s="41">
        <f>IF(AND(OR(Dashboard!$C$4="All",D906=Dashboard!$C$4),OR(Dashboard!$C$5="All",E906=Dashboard!$C$5)),1,0)</f>
        <v/>
      </c>
      <c r="Y906" s="43">
        <f>IF(AND(X906=1,S906="Yes"),O906+ROW()/1000000,0)</f>
        <v/>
      </c>
    </row>
    <row r="907">
      <c r="A907" s="35" t="inlineStr">
        <is>
          <t>LN100906</t>
        </is>
      </c>
      <c r="B907" s="35" t="inlineStr">
        <is>
          <t>Gaurav Pillai</t>
        </is>
      </c>
      <c r="C907" s="35" t="inlineStr">
        <is>
          <t>BLR-01</t>
        </is>
      </c>
      <c r="D907" s="36">
        <f>INDEX(Branches!$C$2:$C$15,MATCH(C907,Branches!$A$2:$A$15,0))</f>
        <v/>
      </c>
      <c r="E907" s="35" t="inlineStr">
        <is>
          <t>Gold Loan</t>
        </is>
      </c>
      <c r="F907" s="37" t="n">
        <v>45225</v>
      </c>
      <c r="G907" s="38" t="n">
        <v>210000</v>
      </c>
      <c r="H907" s="39" t="n">
        <v>0.1085</v>
      </c>
      <c r="I907" s="35" t="n">
        <v>6</v>
      </c>
      <c r="J907" s="35" t="n">
        <v>778</v>
      </c>
      <c r="K907" s="35" t="n">
        <v>0</v>
      </c>
      <c r="L907" s="40">
        <f>ROUND(PMT(H907/12,I907,-G907),0)</f>
        <v/>
      </c>
      <c r="M907" s="41">
        <f>MAX(0,(YEAR(AsOfDate)-YEAR(F907))*12+MONTH(AsOfDate)-MONTH(F907))</f>
        <v/>
      </c>
      <c r="N907" s="41">
        <f>MAX(0,MIN(I907,M907)-INT(K907/30))</f>
        <v/>
      </c>
      <c r="O907" s="40">
        <f>IF(N907&gt;=I907,0,ROUND(PV(H907/12,I907-N907,-L907),0))</f>
        <v/>
      </c>
      <c r="P907" s="40">
        <f>MIN(I907,M907)*L907-N907*L907</f>
        <v/>
      </c>
      <c r="Q907" s="41">
        <f>INDEX(DPD_Bucket,MATCH(K907,DPD_From,1))</f>
        <v/>
      </c>
      <c r="R907" s="41">
        <f>INDEX(DPD_Class,MATCH(K907,DPD_From,1))</f>
        <v/>
      </c>
      <c r="S907" s="41">
        <f>INDEX(DPD_NPA,MATCH(K907,DPD_From,1))</f>
        <v/>
      </c>
      <c r="T907" s="42">
        <f>INDEX(DPD_Prov,MATCH(K907,DPD_From,1))</f>
        <v/>
      </c>
      <c r="U907" s="40">
        <f>ROUND(O907*T907,0)</f>
        <v/>
      </c>
      <c r="V907" s="41">
        <f>INDEX(CIBIL_Grade,MATCH(J907,CIBIL_From,1))</f>
        <v/>
      </c>
      <c r="W907" s="41">
        <f>YEAR(F907)&amp;"-Q"&amp;ROUNDUP(MONTH(F907)/3,0)</f>
        <v/>
      </c>
      <c r="X907" s="41">
        <f>IF(AND(OR(Dashboard!$C$4="All",D907=Dashboard!$C$4),OR(Dashboard!$C$5="All",E907=Dashboard!$C$5)),1,0)</f>
        <v/>
      </c>
      <c r="Y907" s="43">
        <f>IF(AND(X907=1,S907="Yes"),O907+ROW()/1000000,0)</f>
        <v/>
      </c>
    </row>
    <row r="908">
      <c r="A908" s="35" t="inlineStr">
        <is>
          <t>LN100907</t>
        </is>
      </c>
      <c r="B908" s="35" t="inlineStr">
        <is>
          <t>Sneha Sharma</t>
        </is>
      </c>
      <c r="C908" s="35" t="inlineStr">
        <is>
          <t>CHN-01</t>
        </is>
      </c>
      <c r="D908" s="36">
        <f>INDEX(Branches!$C$2:$C$15,MATCH(C908,Branches!$A$2:$A$15,0))</f>
        <v/>
      </c>
      <c r="E908" s="35" t="inlineStr">
        <is>
          <t>Auto Loan</t>
        </is>
      </c>
      <c r="F908" s="37" t="n">
        <v>45954</v>
      </c>
      <c r="G908" s="38" t="n">
        <v>1089000</v>
      </c>
      <c r="H908" s="39" t="n">
        <v>0.0951</v>
      </c>
      <c r="I908" s="35" t="n">
        <v>60</v>
      </c>
      <c r="J908" s="35" t="n">
        <v>850</v>
      </c>
      <c r="K908" s="35" t="n">
        <v>0</v>
      </c>
      <c r="L908" s="40">
        <f>ROUND(PMT(H908/12,I908,-G908),0)</f>
        <v/>
      </c>
      <c r="M908" s="41">
        <f>MAX(0,(YEAR(AsOfDate)-YEAR(F908))*12+MONTH(AsOfDate)-MONTH(F908))</f>
        <v/>
      </c>
      <c r="N908" s="41">
        <f>MAX(0,MIN(I908,M908)-INT(K908/30))</f>
        <v/>
      </c>
      <c r="O908" s="40">
        <f>IF(N908&gt;=I908,0,ROUND(PV(H908/12,I908-N908,-L908),0))</f>
        <v/>
      </c>
      <c r="P908" s="40">
        <f>MIN(I908,M908)*L908-N908*L908</f>
        <v/>
      </c>
      <c r="Q908" s="41">
        <f>INDEX(DPD_Bucket,MATCH(K908,DPD_From,1))</f>
        <v/>
      </c>
      <c r="R908" s="41">
        <f>INDEX(DPD_Class,MATCH(K908,DPD_From,1))</f>
        <v/>
      </c>
      <c r="S908" s="41">
        <f>INDEX(DPD_NPA,MATCH(K908,DPD_From,1))</f>
        <v/>
      </c>
      <c r="T908" s="42">
        <f>INDEX(DPD_Prov,MATCH(K908,DPD_From,1))</f>
        <v/>
      </c>
      <c r="U908" s="40">
        <f>ROUND(O908*T908,0)</f>
        <v/>
      </c>
      <c r="V908" s="41">
        <f>INDEX(CIBIL_Grade,MATCH(J908,CIBIL_From,1))</f>
        <v/>
      </c>
      <c r="W908" s="41">
        <f>YEAR(F908)&amp;"-Q"&amp;ROUNDUP(MONTH(F908)/3,0)</f>
        <v/>
      </c>
      <c r="X908" s="41">
        <f>IF(AND(OR(Dashboard!$C$4="All",D908=Dashboard!$C$4),OR(Dashboard!$C$5="All",E908=Dashboard!$C$5)),1,0)</f>
        <v/>
      </c>
      <c r="Y908" s="43">
        <f>IF(AND(X908=1,S908="Yes"),O908+ROW()/1000000,0)</f>
        <v/>
      </c>
    </row>
    <row r="909">
      <c r="A909" s="35" t="inlineStr">
        <is>
          <t>LN100908</t>
        </is>
      </c>
      <c r="B909" s="35" t="inlineStr">
        <is>
          <t>Diya Menon</t>
        </is>
      </c>
      <c r="C909" s="35" t="inlineStr">
        <is>
          <t>AMD-01</t>
        </is>
      </c>
      <c r="D909" s="36">
        <f>INDEX(Branches!$C$2:$C$15,MATCH(C909,Branches!$A$2:$A$15,0))</f>
        <v/>
      </c>
      <c r="E909" s="35" t="inlineStr">
        <is>
          <t>Personal Loan</t>
        </is>
      </c>
      <c r="F909" s="37" t="n">
        <v>45332</v>
      </c>
      <c r="G909" s="38" t="n">
        <v>1349000</v>
      </c>
      <c r="H909" s="39" t="n">
        <v>0.1452</v>
      </c>
      <c r="I909" s="35" t="n">
        <v>24</v>
      </c>
      <c r="J909" s="35" t="n">
        <v>738</v>
      </c>
      <c r="K909" s="35" t="n">
        <v>0</v>
      </c>
      <c r="L909" s="40">
        <f>ROUND(PMT(H909/12,I909,-G909),0)</f>
        <v/>
      </c>
      <c r="M909" s="41">
        <f>MAX(0,(YEAR(AsOfDate)-YEAR(F909))*12+MONTH(AsOfDate)-MONTH(F909))</f>
        <v/>
      </c>
      <c r="N909" s="41">
        <f>MAX(0,MIN(I909,M909)-INT(K909/30))</f>
        <v/>
      </c>
      <c r="O909" s="40">
        <f>IF(N909&gt;=I909,0,ROUND(PV(H909/12,I909-N909,-L909),0))</f>
        <v/>
      </c>
      <c r="P909" s="40">
        <f>MIN(I909,M909)*L909-N909*L909</f>
        <v/>
      </c>
      <c r="Q909" s="41">
        <f>INDEX(DPD_Bucket,MATCH(K909,DPD_From,1))</f>
        <v/>
      </c>
      <c r="R909" s="41">
        <f>INDEX(DPD_Class,MATCH(K909,DPD_From,1))</f>
        <v/>
      </c>
      <c r="S909" s="41">
        <f>INDEX(DPD_NPA,MATCH(K909,DPD_From,1))</f>
        <v/>
      </c>
      <c r="T909" s="42">
        <f>INDEX(DPD_Prov,MATCH(K909,DPD_From,1))</f>
        <v/>
      </c>
      <c r="U909" s="40">
        <f>ROUND(O909*T909,0)</f>
        <v/>
      </c>
      <c r="V909" s="41">
        <f>INDEX(CIBIL_Grade,MATCH(J909,CIBIL_From,1))</f>
        <v/>
      </c>
      <c r="W909" s="41">
        <f>YEAR(F909)&amp;"-Q"&amp;ROUNDUP(MONTH(F909)/3,0)</f>
        <v/>
      </c>
      <c r="X909" s="41">
        <f>IF(AND(OR(Dashboard!$C$4="All",D909=Dashboard!$C$4),OR(Dashboard!$C$5="All",E909=Dashboard!$C$5)),1,0)</f>
        <v/>
      </c>
      <c r="Y909" s="43">
        <f>IF(AND(X909=1,S909="Yes"),O909+ROW()/1000000,0)</f>
        <v/>
      </c>
    </row>
    <row r="910">
      <c r="A910" s="35" t="inlineStr">
        <is>
          <t>LN100909</t>
        </is>
      </c>
      <c r="B910" s="35" t="inlineStr">
        <is>
          <t>Sneha Das</t>
        </is>
      </c>
      <c r="C910" s="35" t="inlineStr">
        <is>
          <t>CHN-01</t>
        </is>
      </c>
      <c r="D910" s="36">
        <f>INDEX(Branches!$C$2:$C$15,MATCH(C910,Branches!$A$2:$A$15,0))</f>
        <v/>
      </c>
      <c r="E910" s="35" t="inlineStr">
        <is>
          <t>Auto Loan</t>
        </is>
      </c>
      <c r="F910" s="37" t="n">
        <v>45274</v>
      </c>
      <c r="G910" s="38" t="n">
        <v>703000</v>
      </c>
      <c r="H910" s="39" t="n">
        <v>0.0902</v>
      </c>
      <c r="I910" s="35" t="n">
        <v>84</v>
      </c>
      <c r="J910" s="35" t="n">
        <v>762</v>
      </c>
      <c r="K910" s="35" t="n">
        <v>0</v>
      </c>
      <c r="L910" s="40">
        <f>ROUND(PMT(H910/12,I910,-G910),0)</f>
        <v/>
      </c>
      <c r="M910" s="41">
        <f>MAX(0,(YEAR(AsOfDate)-YEAR(F910))*12+MONTH(AsOfDate)-MONTH(F910))</f>
        <v/>
      </c>
      <c r="N910" s="41">
        <f>MAX(0,MIN(I910,M910)-INT(K910/30))</f>
        <v/>
      </c>
      <c r="O910" s="40">
        <f>IF(N910&gt;=I910,0,ROUND(PV(H910/12,I910-N910,-L910),0))</f>
        <v/>
      </c>
      <c r="P910" s="40">
        <f>MIN(I910,M910)*L910-N910*L910</f>
        <v/>
      </c>
      <c r="Q910" s="41">
        <f>INDEX(DPD_Bucket,MATCH(K910,DPD_From,1))</f>
        <v/>
      </c>
      <c r="R910" s="41">
        <f>INDEX(DPD_Class,MATCH(K910,DPD_From,1))</f>
        <v/>
      </c>
      <c r="S910" s="41">
        <f>INDEX(DPD_NPA,MATCH(K910,DPD_From,1))</f>
        <v/>
      </c>
      <c r="T910" s="42">
        <f>INDEX(DPD_Prov,MATCH(K910,DPD_From,1))</f>
        <v/>
      </c>
      <c r="U910" s="40">
        <f>ROUND(O910*T910,0)</f>
        <v/>
      </c>
      <c r="V910" s="41">
        <f>INDEX(CIBIL_Grade,MATCH(J910,CIBIL_From,1))</f>
        <v/>
      </c>
      <c r="W910" s="41">
        <f>YEAR(F910)&amp;"-Q"&amp;ROUNDUP(MONTH(F910)/3,0)</f>
        <v/>
      </c>
      <c r="X910" s="41">
        <f>IF(AND(OR(Dashboard!$C$4="All",D910=Dashboard!$C$4),OR(Dashboard!$C$5="All",E910=Dashboard!$C$5)),1,0)</f>
        <v/>
      </c>
      <c r="Y910" s="43">
        <f>IF(AND(X910=1,S910="Yes"),O910+ROW()/1000000,0)</f>
        <v/>
      </c>
    </row>
    <row r="911">
      <c r="A911" s="35" t="inlineStr">
        <is>
          <t>LN100910</t>
        </is>
      </c>
      <c r="B911" s="35" t="inlineStr">
        <is>
          <t>Ishaan Pillai</t>
        </is>
      </c>
      <c r="C911" s="35" t="inlineStr">
        <is>
          <t>KOL-01</t>
        </is>
      </c>
      <c r="D911" s="36">
        <f>INDEX(Branches!$C$2:$C$15,MATCH(C911,Branches!$A$2:$A$15,0))</f>
        <v/>
      </c>
      <c r="E911" s="35" t="inlineStr">
        <is>
          <t>Auto Loan</t>
        </is>
      </c>
      <c r="F911" s="37" t="n">
        <v>46109</v>
      </c>
      <c r="G911" s="38" t="n">
        <v>1973000</v>
      </c>
      <c r="H911" s="39" t="n">
        <v>0.0927</v>
      </c>
      <c r="I911" s="35" t="n">
        <v>60</v>
      </c>
      <c r="J911" s="35" t="n">
        <v>778</v>
      </c>
      <c r="K911" s="35" t="n">
        <v>0</v>
      </c>
      <c r="L911" s="40">
        <f>ROUND(PMT(H911/12,I911,-G911),0)</f>
        <v/>
      </c>
      <c r="M911" s="41">
        <f>MAX(0,(YEAR(AsOfDate)-YEAR(F911))*12+MONTH(AsOfDate)-MONTH(F911))</f>
        <v/>
      </c>
      <c r="N911" s="41">
        <f>MAX(0,MIN(I911,M911)-INT(K911/30))</f>
        <v/>
      </c>
      <c r="O911" s="40">
        <f>IF(N911&gt;=I911,0,ROUND(PV(H911/12,I911-N911,-L911),0))</f>
        <v/>
      </c>
      <c r="P911" s="40">
        <f>MIN(I911,M911)*L911-N911*L911</f>
        <v/>
      </c>
      <c r="Q911" s="41">
        <f>INDEX(DPD_Bucket,MATCH(K911,DPD_From,1))</f>
        <v/>
      </c>
      <c r="R911" s="41">
        <f>INDEX(DPD_Class,MATCH(K911,DPD_From,1))</f>
        <v/>
      </c>
      <c r="S911" s="41">
        <f>INDEX(DPD_NPA,MATCH(K911,DPD_From,1))</f>
        <v/>
      </c>
      <c r="T911" s="42">
        <f>INDEX(DPD_Prov,MATCH(K911,DPD_From,1))</f>
        <v/>
      </c>
      <c r="U911" s="40">
        <f>ROUND(O911*T911,0)</f>
        <v/>
      </c>
      <c r="V911" s="41">
        <f>INDEX(CIBIL_Grade,MATCH(J911,CIBIL_From,1))</f>
        <v/>
      </c>
      <c r="W911" s="41">
        <f>YEAR(F911)&amp;"-Q"&amp;ROUNDUP(MONTH(F911)/3,0)</f>
        <v/>
      </c>
      <c r="X911" s="41">
        <f>IF(AND(OR(Dashboard!$C$4="All",D911=Dashboard!$C$4),OR(Dashboard!$C$5="All",E911=Dashboard!$C$5)),1,0)</f>
        <v/>
      </c>
      <c r="Y911" s="43">
        <f>IF(AND(X911=1,S911="Yes"),O911+ROW()/1000000,0)</f>
        <v/>
      </c>
    </row>
    <row r="912">
      <c r="A912" s="35" t="inlineStr">
        <is>
          <t>LN100911</t>
        </is>
      </c>
      <c r="B912" s="35" t="inlineStr">
        <is>
          <t>Rahul Banerjee</t>
        </is>
      </c>
      <c r="C912" s="35" t="inlineStr">
        <is>
          <t>HYD-01</t>
        </is>
      </c>
      <c r="D912" s="36">
        <f>INDEX(Branches!$C$2:$C$15,MATCH(C912,Branches!$A$2:$A$15,0))</f>
        <v/>
      </c>
      <c r="E912" s="35" t="inlineStr">
        <is>
          <t>Personal Loan</t>
        </is>
      </c>
      <c r="F912" s="37" t="n">
        <v>45913</v>
      </c>
      <c r="G912" s="38" t="n">
        <v>254000</v>
      </c>
      <c r="H912" s="39" t="n">
        <v>0.1131</v>
      </c>
      <c r="I912" s="35" t="n">
        <v>48</v>
      </c>
      <c r="J912" s="35" t="n">
        <v>692</v>
      </c>
      <c r="K912" s="35" t="n">
        <v>0</v>
      </c>
      <c r="L912" s="40">
        <f>ROUND(PMT(H912/12,I912,-G912),0)</f>
        <v/>
      </c>
      <c r="M912" s="41">
        <f>MAX(0,(YEAR(AsOfDate)-YEAR(F912))*12+MONTH(AsOfDate)-MONTH(F912))</f>
        <v/>
      </c>
      <c r="N912" s="41">
        <f>MAX(0,MIN(I912,M912)-INT(K912/30))</f>
        <v/>
      </c>
      <c r="O912" s="40">
        <f>IF(N912&gt;=I912,0,ROUND(PV(H912/12,I912-N912,-L912),0))</f>
        <v/>
      </c>
      <c r="P912" s="40">
        <f>MIN(I912,M912)*L912-N912*L912</f>
        <v/>
      </c>
      <c r="Q912" s="41">
        <f>INDEX(DPD_Bucket,MATCH(K912,DPD_From,1))</f>
        <v/>
      </c>
      <c r="R912" s="41">
        <f>INDEX(DPD_Class,MATCH(K912,DPD_From,1))</f>
        <v/>
      </c>
      <c r="S912" s="41">
        <f>INDEX(DPD_NPA,MATCH(K912,DPD_From,1))</f>
        <v/>
      </c>
      <c r="T912" s="42">
        <f>INDEX(DPD_Prov,MATCH(K912,DPD_From,1))</f>
        <v/>
      </c>
      <c r="U912" s="40">
        <f>ROUND(O912*T912,0)</f>
        <v/>
      </c>
      <c r="V912" s="41">
        <f>INDEX(CIBIL_Grade,MATCH(J912,CIBIL_From,1))</f>
        <v/>
      </c>
      <c r="W912" s="41">
        <f>YEAR(F912)&amp;"-Q"&amp;ROUNDUP(MONTH(F912)/3,0)</f>
        <v/>
      </c>
      <c r="X912" s="41">
        <f>IF(AND(OR(Dashboard!$C$4="All",D912=Dashboard!$C$4),OR(Dashboard!$C$5="All",E912=Dashboard!$C$5)),1,0)</f>
        <v/>
      </c>
      <c r="Y912" s="43">
        <f>IF(AND(X912=1,S912="Yes"),O912+ROW()/1000000,0)</f>
        <v/>
      </c>
    </row>
    <row r="913">
      <c r="A913" s="35" t="inlineStr">
        <is>
          <t>LN100912</t>
        </is>
      </c>
      <c r="B913" s="35" t="inlineStr">
        <is>
          <t>Manish Mohanty</t>
        </is>
      </c>
      <c r="C913" s="35" t="inlineStr">
        <is>
          <t>BLR-01</t>
        </is>
      </c>
      <c r="D913" s="36">
        <f>INDEX(Branches!$C$2:$C$15,MATCH(C913,Branches!$A$2:$A$15,0))</f>
        <v/>
      </c>
      <c r="E913" s="35" t="inlineStr">
        <is>
          <t>Home Loan</t>
        </is>
      </c>
      <c r="F913" s="37" t="n">
        <v>45469</v>
      </c>
      <c r="G913" s="38" t="n">
        <v>10818000</v>
      </c>
      <c r="H913" s="39" t="n">
        <v>0.0888</v>
      </c>
      <c r="I913" s="35" t="n">
        <v>120</v>
      </c>
      <c r="J913" s="35" t="n">
        <v>818</v>
      </c>
      <c r="K913" s="35" t="n">
        <v>0</v>
      </c>
      <c r="L913" s="40">
        <f>ROUND(PMT(H913/12,I913,-G913),0)</f>
        <v/>
      </c>
      <c r="M913" s="41">
        <f>MAX(0,(YEAR(AsOfDate)-YEAR(F913))*12+MONTH(AsOfDate)-MONTH(F913))</f>
        <v/>
      </c>
      <c r="N913" s="41">
        <f>MAX(0,MIN(I913,M913)-INT(K913/30))</f>
        <v/>
      </c>
      <c r="O913" s="40">
        <f>IF(N913&gt;=I913,0,ROUND(PV(H913/12,I913-N913,-L913),0))</f>
        <v/>
      </c>
      <c r="P913" s="40">
        <f>MIN(I913,M913)*L913-N913*L913</f>
        <v/>
      </c>
      <c r="Q913" s="41">
        <f>INDEX(DPD_Bucket,MATCH(K913,DPD_From,1))</f>
        <v/>
      </c>
      <c r="R913" s="41">
        <f>INDEX(DPD_Class,MATCH(K913,DPD_From,1))</f>
        <v/>
      </c>
      <c r="S913" s="41">
        <f>INDEX(DPD_NPA,MATCH(K913,DPD_From,1))</f>
        <v/>
      </c>
      <c r="T913" s="42">
        <f>INDEX(DPD_Prov,MATCH(K913,DPD_From,1))</f>
        <v/>
      </c>
      <c r="U913" s="40">
        <f>ROUND(O913*T913,0)</f>
        <v/>
      </c>
      <c r="V913" s="41">
        <f>INDEX(CIBIL_Grade,MATCH(J913,CIBIL_From,1))</f>
        <v/>
      </c>
      <c r="W913" s="41">
        <f>YEAR(F913)&amp;"-Q"&amp;ROUNDUP(MONTH(F913)/3,0)</f>
        <v/>
      </c>
      <c r="X913" s="41">
        <f>IF(AND(OR(Dashboard!$C$4="All",D913=Dashboard!$C$4),OR(Dashboard!$C$5="All",E913=Dashboard!$C$5)),1,0)</f>
        <v/>
      </c>
      <c r="Y913" s="43">
        <f>IF(AND(X913=1,S913="Yes"),O913+ROW()/1000000,0)</f>
        <v/>
      </c>
    </row>
    <row r="914">
      <c r="A914" s="35" t="inlineStr">
        <is>
          <t>LN100913</t>
        </is>
      </c>
      <c r="B914" s="35" t="inlineStr">
        <is>
          <t>Meera Mohanty</t>
        </is>
      </c>
      <c r="C914" s="35" t="inlineStr">
        <is>
          <t>JAI-01</t>
        </is>
      </c>
      <c r="D914" s="36">
        <f>INDEX(Branches!$C$2:$C$15,MATCH(C914,Branches!$A$2:$A$15,0))</f>
        <v/>
      </c>
      <c r="E914" s="35" t="inlineStr">
        <is>
          <t>Gold Loan</t>
        </is>
      </c>
      <c r="F914" s="37" t="n">
        <v>45284</v>
      </c>
      <c r="G914" s="38" t="n">
        <v>119000</v>
      </c>
      <c r="H914" s="39" t="n">
        <v>0.1053</v>
      </c>
      <c r="I914" s="35" t="n">
        <v>6</v>
      </c>
      <c r="J914" s="35" t="n">
        <v>690</v>
      </c>
      <c r="K914" s="35" t="n">
        <v>0</v>
      </c>
      <c r="L914" s="40">
        <f>ROUND(PMT(H914/12,I914,-G914),0)</f>
        <v/>
      </c>
      <c r="M914" s="41">
        <f>MAX(0,(YEAR(AsOfDate)-YEAR(F914))*12+MONTH(AsOfDate)-MONTH(F914))</f>
        <v/>
      </c>
      <c r="N914" s="41">
        <f>MAX(0,MIN(I914,M914)-INT(K914/30))</f>
        <v/>
      </c>
      <c r="O914" s="40">
        <f>IF(N914&gt;=I914,0,ROUND(PV(H914/12,I914-N914,-L914),0))</f>
        <v/>
      </c>
      <c r="P914" s="40">
        <f>MIN(I914,M914)*L914-N914*L914</f>
        <v/>
      </c>
      <c r="Q914" s="41">
        <f>INDEX(DPD_Bucket,MATCH(K914,DPD_From,1))</f>
        <v/>
      </c>
      <c r="R914" s="41">
        <f>INDEX(DPD_Class,MATCH(K914,DPD_From,1))</f>
        <v/>
      </c>
      <c r="S914" s="41">
        <f>INDEX(DPD_NPA,MATCH(K914,DPD_From,1))</f>
        <v/>
      </c>
      <c r="T914" s="42">
        <f>INDEX(DPD_Prov,MATCH(K914,DPD_From,1))</f>
        <v/>
      </c>
      <c r="U914" s="40">
        <f>ROUND(O914*T914,0)</f>
        <v/>
      </c>
      <c r="V914" s="41">
        <f>INDEX(CIBIL_Grade,MATCH(J914,CIBIL_From,1))</f>
        <v/>
      </c>
      <c r="W914" s="41">
        <f>YEAR(F914)&amp;"-Q"&amp;ROUNDUP(MONTH(F914)/3,0)</f>
        <v/>
      </c>
      <c r="X914" s="41">
        <f>IF(AND(OR(Dashboard!$C$4="All",D914=Dashboard!$C$4),OR(Dashboard!$C$5="All",E914=Dashboard!$C$5)),1,0)</f>
        <v/>
      </c>
      <c r="Y914" s="43">
        <f>IF(AND(X914=1,S914="Yes"),O914+ROW()/1000000,0)</f>
        <v/>
      </c>
    </row>
    <row r="915">
      <c r="A915" s="35" t="inlineStr">
        <is>
          <t>LN100914</t>
        </is>
      </c>
      <c r="B915" s="35" t="inlineStr">
        <is>
          <t>Kabir Khan</t>
        </is>
      </c>
      <c r="C915" s="35" t="inlineStr">
        <is>
          <t>KOC-01</t>
        </is>
      </c>
      <c r="D915" s="36">
        <f>INDEX(Branches!$C$2:$C$15,MATCH(C915,Branches!$A$2:$A$15,0))</f>
        <v/>
      </c>
      <c r="E915" s="35" t="inlineStr">
        <is>
          <t>Auto Loan</t>
        </is>
      </c>
      <c r="F915" s="37" t="n">
        <v>45634</v>
      </c>
      <c r="G915" s="38" t="n">
        <v>1158000</v>
      </c>
      <c r="H915" s="39" t="n">
        <v>0.1133</v>
      </c>
      <c r="I915" s="35" t="n">
        <v>36</v>
      </c>
      <c r="J915" s="35" t="n">
        <v>740</v>
      </c>
      <c r="K915" s="35" t="n">
        <v>0</v>
      </c>
      <c r="L915" s="40">
        <f>ROUND(PMT(H915/12,I915,-G915),0)</f>
        <v/>
      </c>
      <c r="M915" s="41">
        <f>MAX(0,(YEAR(AsOfDate)-YEAR(F915))*12+MONTH(AsOfDate)-MONTH(F915))</f>
        <v/>
      </c>
      <c r="N915" s="41">
        <f>MAX(0,MIN(I915,M915)-INT(K915/30))</f>
        <v/>
      </c>
      <c r="O915" s="40">
        <f>IF(N915&gt;=I915,0,ROUND(PV(H915/12,I915-N915,-L915),0))</f>
        <v/>
      </c>
      <c r="P915" s="40">
        <f>MIN(I915,M915)*L915-N915*L915</f>
        <v/>
      </c>
      <c r="Q915" s="41">
        <f>INDEX(DPD_Bucket,MATCH(K915,DPD_From,1))</f>
        <v/>
      </c>
      <c r="R915" s="41">
        <f>INDEX(DPD_Class,MATCH(K915,DPD_From,1))</f>
        <v/>
      </c>
      <c r="S915" s="41">
        <f>INDEX(DPD_NPA,MATCH(K915,DPD_From,1))</f>
        <v/>
      </c>
      <c r="T915" s="42">
        <f>INDEX(DPD_Prov,MATCH(K915,DPD_From,1))</f>
        <v/>
      </c>
      <c r="U915" s="40">
        <f>ROUND(O915*T915,0)</f>
        <v/>
      </c>
      <c r="V915" s="41">
        <f>INDEX(CIBIL_Grade,MATCH(J915,CIBIL_From,1))</f>
        <v/>
      </c>
      <c r="W915" s="41">
        <f>YEAR(F915)&amp;"-Q"&amp;ROUNDUP(MONTH(F915)/3,0)</f>
        <v/>
      </c>
      <c r="X915" s="41">
        <f>IF(AND(OR(Dashboard!$C$4="All",D915=Dashboard!$C$4),OR(Dashboard!$C$5="All",E915=Dashboard!$C$5)),1,0)</f>
        <v/>
      </c>
      <c r="Y915" s="43">
        <f>IF(AND(X915=1,S915="Yes"),O915+ROW()/1000000,0)</f>
        <v/>
      </c>
    </row>
    <row r="916">
      <c r="A916" s="35" t="inlineStr">
        <is>
          <t>LN100915</t>
        </is>
      </c>
      <c r="B916" s="35" t="inlineStr">
        <is>
          <t>Lakshmi Reddy</t>
        </is>
      </c>
      <c r="C916" s="35" t="inlineStr">
        <is>
          <t>KOC-01</t>
        </is>
      </c>
      <c r="D916" s="36">
        <f>INDEX(Branches!$C$2:$C$15,MATCH(C916,Branches!$A$2:$A$15,0))</f>
        <v/>
      </c>
      <c r="E916" s="35" t="inlineStr">
        <is>
          <t>Home Loan</t>
        </is>
      </c>
      <c r="F916" s="37" t="n">
        <v>45145</v>
      </c>
      <c r="G916" s="38" t="n">
        <v>3566000</v>
      </c>
      <c r="H916" s="39" t="n">
        <v>0.0896</v>
      </c>
      <c r="I916" s="35" t="n">
        <v>240</v>
      </c>
      <c r="J916" s="35" t="n">
        <v>707</v>
      </c>
      <c r="K916" s="35" t="n">
        <v>0</v>
      </c>
      <c r="L916" s="40">
        <f>ROUND(PMT(H916/12,I916,-G916),0)</f>
        <v/>
      </c>
      <c r="M916" s="41">
        <f>MAX(0,(YEAR(AsOfDate)-YEAR(F916))*12+MONTH(AsOfDate)-MONTH(F916))</f>
        <v/>
      </c>
      <c r="N916" s="41">
        <f>MAX(0,MIN(I916,M916)-INT(K916/30))</f>
        <v/>
      </c>
      <c r="O916" s="40">
        <f>IF(N916&gt;=I916,0,ROUND(PV(H916/12,I916-N916,-L916),0))</f>
        <v/>
      </c>
      <c r="P916" s="40">
        <f>MIN(I916,M916)*L916-N916*L916</f>
        <v/>
      </c>
      <c r="Q916" s="41">
        <f>INDEX(DPD_Bucket,MATCH(K916,DPD_From,1))</f>
        <v/>
      </c>
      <c r="R916" s="41">
        <f>INDEX(DPD_Class,MATCH(K916,DPD_From,1))</f>
        <v/>
      </c>
      <c r="S916" s="41">
        <f>INDEX(DPD_NPA,MATCH(K916,DPD_From,1))</f>
        <v/>
      </c>
      <c r="T916" s="42">
        <f>INDEX(DPD_Prov,MATCH(K916,DPD_From,1))</f>
        <v/>
      </c>
      <c r="U916" s="40">
        <f>ROUND(O916*T916,0)</f>
        <v/>
      </c>
      <c r="V916" s="41">
        <f>INDEX(CIBIL_Grade,MATCH(J916,CIBIL_From,1))</f>
        <v/>
      </c>
      <c r="W916" s="41">
        <f>YEAR(F916)&amp;"-Q"&amp;ROUNDUP(MONTH(F916)/3,0)</f>
        <v/>
      </c>
      <c r="X916" s="41">
        <f>IF(AND(OR(Dashboard!$C$4="All",D916=Dashboard!$C$4),OR(Dashboard!$C$5="All",E916=Dashboard!$C$5)),1,0)</f>
        <v/>
      </c>
      <c r="Y916" s="43">
        <f>IF(AND(X916=1,S916="Yes"),O916+ROW()/1000000,0)</f>
        <v/>
      </c>
    </row>
    <row r="917">
      <c r="A917" s="35" t="inlineStr">
        <is>
          <t>LN100916</t>
        </is>
      </c>
      <c r="B917" s="35" t="inlineStr">
        <is>
          <t>Suresh Das</t>
        </is>
      </c>
      <c r="C917" s="35" t="inlineStr">
        <is>
          <t>CHN-01</t>
        </is>
      </c>
      <c r="D917" s="36">
        <f>INDEX(Branches!$C$2:$C$15,MATCH(C917,Branches!$A$2:$A$15,0))</f>
        <v/>
      </c>
      <c r="E917" s="35" t="inlineStr">
        <is>
          <t>Auto Loan</t>
        </is>
      </c>
      <c r="F917" s="37" t="n">
        <v>45874</v>
      </c>
      <c r="G917" s="38" t="n">
        <v>1783000</v>
      </c>
      <c r="H917" s="39" t="n">
        <v>0.1008</v>
      </c>
      <c r="I917" s="35" t="n">
        <v>48</v>
      </c>
      <c r="J917" s="35" t="n">
        <v>712</v>
      </c>
      <c r="K917" s="35" t="n">
        <v>0</v>
      </c>
      <c r="L917" s="40">
        <f>ROUND(PMT(H917/12,I917,-G917),0)</f>
        <v/>
      </c>
      <c r="M917" s="41">
        <f>MAX(0,(YEAR(AsOfDate)-YEAR(F917))*12+MONTH(AsOfDate)-MONTH(F917))</f>
        <v/>
      </c>
      <c r="N917" s="41">
        <f>MAX(0,MIN(I917,M917)-INT(K917/30))</f>
        <v/>
      </c>
      <c r="O917" s="40">
        <f>IF(N917&gt;=I917,0,ROUND(PV(H917/12,I917-N917,-L917),0))</f>
        <v/>
      </c>
      <c r="P917" s="40">
        <f>MIN(I917,M917)*L917-N917*L917</f>
        <v/>
      </c>
      <c r="Q917" s="41">
        <f>INDEX(DPD_Bucket,MATCH(K917,DPD_From,1))</f>
        <v/>
      </c>
      <c r="R917" s="41">
        <f>INDEX(DPD_Class,MATCH(K917,DPD_From,1))</f>
        <v/>
      </c>
      <c r="S917" s="41">
        <f>INDEX(DPD_NPA,MATCH(K917,DPD_From,1))</f>
        <v/>
      </c>
      <c r="T917" s="42">
        <f>INDEX(DPD_Prov,MATCH(K917,DPD_From,1))</f>
        <v/>
      </c>
      <c r="U917" s="40">
        <f>ROUND(O917*T917,0)</f>
        <v/>
      </c>
      <c r="V917" s="41">
        <f>INDEX(CIBIL_Grade,MATCH(J917,CIBIL_From,1))</f>
        <v/>
      </c>
      <c r="W917" s="41">
        <f>YEAR(F917)&amp;"-Q"&amp;ROUNDUP(MONTH(F917)/3,0)</f>
        <v/>
      </c>
      <c r="X917" s="41">
        <f>IF(AND(OR(Dashboard!$C$4="All",D917=Dashboard!$C$4),OR(Dashboard!$C$5="All",E917=Dashboard!$C$5)),1,0)</f>
        <v/>
      </c>
      <c r="Y917" s="43">
        <f>IF(AND(X917=1,S917="Yes"),O917+ROW()/1000000,0)</f>
        <v/>
      </c>
    </row>
    <row r="918">
      <c r="A918" s="35" t="inlineStr">
        <is>
          <t>LN100917</t>
        </is>
      </c>
      <c r="B918" s="35" t="inlineStr">
        <is>
          <t>Lakshmi Verma</t>
        </is>
      </c>
      <c r="C918" s="35" t="inlineStr">
        <is>
          <t>MUM-01</t>
        </is>
      </c>
      <c r="D918" s="36">
        <f>INDEX(Branches!$C$2:$C$15,MATCH(C918,Branches!$A$2:$A$15,0))</f>
        <v/>
      </c>
      <c r="E918" s="35" t="inlineStr">
        <is>
          <t>Personal Loan</t>
        </is>
      </c>
      <c r="F918" s="37" t="n">
        <v>45719</v>
      </c>
      <c r="G918" s="38" t="n">
        <v>254000</v>
      </c>
      <c r="H918" s="39" t="n">
        <v>0.1323</v>
      </c>
      <c r="I918" s="35" t="n">
        <v>24</v>
      </c>
      <c r="J918" s="35" t="n">
        <v>702</v>
      </c>
      <c r="K918" s="35" t="n">
        <v>0</v>
      </c>
      <c r="L918" s="40">
        <f>ROUND(PMT(H918/12,I918,-G918),0)</f>
        <v/>
      </c>
      <c r="M918" s="41">
        <f>MAX(0,(YEAR(AsOfDate)-YEAR(F918))*12+MONTH(AsOfDate)-MONTH(F918))</f>
        <v/>
      </c>
      <c r="N918" s="41">
        <f>MAX(0,MIN(I918,M918)-INT(K918/30))</f>
        <v/>
      </c>
      <c r="O918" s="40">
        <f>IF(N918&gt;=I918,0,ROUND(PV(H918/12,I918-N918,-L918),0))</f>
        <v/>
      </c>
      <c r="P918" s="40">
        <f>MIN(I918,M918)*L918-N918*L918</f>
        <v/>
      </c>
      <c r="Q918" s="41">
        <f>INDEX(DPD_Bucket,MATCH(K918,DPD_From,1))</f>
        <v/>
      </c>
      <c r="R918" s="41">
        <f>INDEX(DPD_Class,MATCH(K918,DPD_From,1))</f>
        <v/>
      </c>
      <c r="S918" s="41">
        <f>INDEX(DPD_NPA,MATCH(K918,DPD_From,1))</f>
        <v/>
      </c>
      <c r="T918" s="42">
        <f>INDEX(DPD_Prov,MATCH(K918,DPD_From,1))</f>
        <v/>
      </c>
      <c r="U918" s="40">
        <f>ROUND(O918*T918,0)</f>
        <v/>
      </c>
      <c r="V918" s="41">
        <f>INDEX(CIBIL_Grade,MATCH(J918,CIBIL_From,1))</f>
        <v/>
      </c>
      <c r="W918" s="41">
        <f>YEAR(F918)&amp;"-Q"&amp;ROUNDUP(MONTH(F918)/3,0)</f>
        <v/>
      </c>
      <c r="X918" s="41">
        <f>IF(AND(OR(Dashboard!$C$4="All",D918=Dashboard!$C$4),OR(Dashboard!$C$5="All",E918=Dashboard!$C$5)),1,0)</f>
        <v/>
      </c>
      <c r="Y918" s="43">
        <f>IF(AND(X918=1,S918="Yes"),O918+ROW()/1000000,0)</f>
        <v/>
      </c>
    </row>
    <row r="919">
      <c r="A919" s="35" t="inlineStr">
        <is>
          <t>LN100918</t>
        </is>
      </c>
      <c r="B919" s="35" t="inlineStr">
        <is>
          <t>Vivaan Patel</t>
        </is>
      </c>
      <c r="C919" s="35" t="inlineStr">
        <is>
          <t>BLR-01</t>
        </is>
      </c>
      <c r="D919" s="36">
        <f>INDEX(Branches!$C$2:$C$15,MATCH(C919,Branches!$A$2:$A$15,0))</f>
        <v/>
      </c>
      <c r="E919" s="35" t="inlineStr">
        <is>
          <t>Gold Loan</t>
        </is>
      </c>
      <c r="F919" s="37" t="n">
        <v>45668</v>
      </c>
      <c r="G919" s="38" t="n">
        <v>50000</v>
      </c>
      <c r="H919" s="39" t="n">
        <v>0.1098</v>
      </c>
      <c r="I919" s="35" t="n">
        <v>12</v>
      </c>
      <c r="J919" s="35" t="n">
        <v>788</v>
      </c>
      <c r="K919" s="35" t="n">
        <v>0</v>
      </c>
      <c r="L919" s="40">
        <f>ROUND(PMT(H919/12,I919,-G919),0)</f>
        <v/>
      </c>
      <c r="M919" s="41">
        <f>MAX(0,(YEAR(AsOfDate)-YEAR(F919))*12+MONTH(AsOfDate)-MONTH(F919))</f>
        <v/>
      </c>
      <c r="N919" s="41">
        <f>MAX(0,MIN(I919,M919)-INT(K919/30))</f>
        <v/>
      </c>
      <c r="O919" s="40">
        <f>IF(N919&gt;=I919,0,ROUND(PV(H919/12,I919-N919,-L919),0))</f>
        <v/>
      </c>
      <c r="P919" s="40">
        <f>MIN(I919,M919)*L919-N919*L919</f>
        <v/>
      </c>
      <c r="Q919" s="41">
        <f>INDEX(DPD_Bucket,MATCH(K919,DPD_From,1))</f>
        <v/>
      </c>
      <c r="R919" s="41">
        <f>INDEX(DPD_Class,MATCH(K919,DPD_From,1))</f>
        <v/>
      </c>
      <c r="S919" s="41">
        <f>INDEX(DPD_NPA,MATCH(K919,DPD_From,1))</f>
        <v/>
      </c>
      <c r="T919" s="42">
        <f>INDEX(DPD_Prov,MATCH(K919,DPD_From,1))</f>
        <v/>
      </c>
      <c r="U919" s="40">
        <f>ROUND(O919*T919,0)</f>
        <v/>
      </c>
      <c r="V919" s="41">
        <f>INDEX(CIBIL_Grade,MATCH(J919,CIBIL_From,1))</f>
        <v/>
      </c>
      <c r="W919" s="41">
        <f>YEAR(F919)&amp;"-Q"&amp;ROUNDUP(MONTH(F919)/3,0)</f>
        <v/>
      </c>
      <c r="X919" s="41">
        <f>IF(AND(OR(Dashboard!$C$4="All",D919=Dashboard!$C$4),OR(Dashboard!$C$5="All",E919=Dashboard!$C$5)),1,0)</f>
        <v/>
      </c>
      <c r="Y919" s="43">
        <f>IF(AND(X919=1,S919="Yes"),O919+ROW()/1000000,0)</f>
        <v/>
      </c>
    </row>
    <row r="920">
      <c r="A920" s="35" t="inlineStr">
        <is>
          <t>LN100919</t>
        </is>
      </c>
      <c r="B920" s="35" t="inlineStr">
        <is>
          <t>Ananya Pillai</t>
        </is>
      </c>
      <c r="C920" s="35" t="inlineStr">
        <is>
          <t>PUN-01</t>
        </is>
      </c>
      <c r="D920" s="36">
        <f>INDEX(Branches!$C$2:$C$15,MATCH(C920,Branches!$A$2:$A$15,0))</f>
        <v/>
      </c>
      <c r="E920" s="35" t="inlineStr">
        <is>
          <t>Auto Loan</t>
        </is>
      </c>
      <c r="F920" s="37" t="n">
        <v>45207</v>
      </c>
      <c r="G920" s="38" t="n">
        <v>935000</v>
      </c>
      <c r="H920" s="39" t="n">
        <v>0.0925</v>
      </c>
      <c r="I920" s="35" t="n">
        <v>60</v>
      </c>
      <c r="J920" s="35" t="n">
        <v>720</v>
      </c>
      <c r="K920" s="35" t="n">
        <v>0</v>
      </c>
      <c r="L920" s="40">
        <f>ROUND(PMT(H920/12,I920,-G920),0)</f>
        <v/>
      </c>
      <c r="M920" s="41">
        <f>MAX(0,(YEAR(AsOfDate)-YEAR(F920))*12+MONTH(AsOfDate)-MONTH(F920))</f>
        <v/>
      </c>
      <c r="N920" s="41">
        <f>MAX(0,MIN(I920,M920)-INT(K920/30))</f>
        <v/>
      </c>
      <c r="O920" s="40">
        <f>IF(N920&gt;=I920,0,ROUND(PV(H920/12,I920-N920,-L920),0))</f>
        <v/>
      </c>
      <c r="P920" s="40">
        <f>MIN(I920,M920)*L920-N920*L920</f>
        <v/>
      </c>
      <c r="Q920" s="41">
        <f>INDEX(DPD_Bucket,MATCH(K920,DPD_From,1))</f>
        <v/>
      </c>
      <c r="R920" s="41">
        <f>INDEX(DPD_Class,MATCH(K920,DPD_From,1))</f>
        <v/>
      </c>
      <c r="S920" s="41">
        <f>INDEX(DPD_NPA,MATCH(K920,DPD_From,1))</f>
        <v/>
      </c>
      <c r="T920" s="42">
        <f>INDEX(DPD_Prov,MATCH(K920,DPD_From,1))</f>
        <v/>
      </c>
      <c r="U920" s="40">
        <f>ROUND(O920*T920,0)</f>
        <v/>
      </c>
      <c r="V920" s="41">
        <f>INDEX(CIBIL_Grade,MATCH(J920,CIBIL_From,1))</f>
        <v/>
      </c>
      <c r="W920" s="41">
        <f>YEAR(F920)&amp;"-Q"&amp;ROUNDUP(MONTH(F920)/3,0)</f>
        <v/>
      </c>
      <c r="X920" s="41">
        <f>IF(AND(OR(Dashboard!$C$4="All",D920=Dashboard!$C$4),OR(Dashboard!$C$5="All",E920=Dashboard!$C$5)),1,0)</f>
        <v/>
      </c>
      <c r="Y920" s="43">
        <f>IF(AND(X920=1,S920="Yes"),O920+ROW()/1000000,0)</f>
        <v/>
      </c>
    </row>
    <row r="921">
      <c r="A921" s="35" t="inlineStr">
        <is>
          <t>LN100920</t>
        </is>
      </c>
      <c r="B921" s="35" t="inlineStr">
        <is>
          <t>Zoya Menon</t>
        </is>
      </c>
      <c r="C921" s="35" t="inlineStr">
        <is>
          <t>BBS-01</t>
        </is>
      </c>
      <c r="D921" s="36">
        <f>INDEX(Branches!$C$2:$C$15,MATCH(C921,Branches!$A$2:$A$15,0))</f>
        <v/>
      </c>
      <c r="E921" s="35" t="inlineStr">
        <is>
          <t>Personal Loan</t>
        </is>
      </c>
      <c r="F921" s="37" t="n">
        <v>45907</v>
      </c>
      <c r="G921" s="38" t="n">
        <v>1190000</v>
      </c>
      <c r="H921" s="39" t="n">
        <v>0.1447</v>
      </c>
      <c r="I921" s="35" t="n">
        <v>60</v>
      </c>
      <c r="J921" s="35" t="n">
        <v>808</v>
      </c>
      <c r="K921" s="35" t="n">
        <v>0</v>
      </c>
      <c r="L921" s="40">
        <f>ROUND(PMT(H921/12,I921,-G921),0)</f>
        <v/>
      </c>
      <c r="M921" s="41">
        <f>MAX(0,(YEAR(AsOfDate)-YEAR(F921))*12+MONTH(AsOfDate)-MONTH(F921))</f>
        <v/>
      </c>
      <c r="N921" s="41">
        <f>MAX(0,MIN(I921,M921)-INT(K921/30))</f>
        <v/>
      </c>
      <c r="O921" s="40">
        <f>IF(N921&gt;=I921,0,ROUND(PV(H921/12,I921-N921,-L921),0))</f>
        <v/>
      </c>
      <c r="P921" s="40">
        <f>MIN(I921,M921)*L921-N921*L921</f>
        <v/>
      </c>
      <c r="Q921" s="41">
        <f>INDEX(DPD_Bucket,MATCH(K921,DPD_From,1))</f>
        <v/>
      </c>
      <c r="R921" s="41">
        <f>INDEX(DPD_Class,MATCH(K921,DPD_From,1))</f>
        <v/>
      </c>
      <c r="S921" s="41">
        <f>INDEX(DPD_NPA,MATCH(K921,DPD_From,1))</f>
        <v/>
      </c>
      <c r="T921" s="42">
        <f>INDEX(DPD_Prov,MATCH(K921,DPD_From,1))</f>
        <v/>
      </c>
      <c r="U921" s="40">
        <f>ROUND(O921*T921,0)</f>
        <v/>
      </c>
      <c r="V921" s="41">
        <f>INDEX(CIBIL_Grade,MATCH(J921,CIBIL_From,1))</f>
        <v/>
      </c>
      <c r="W921" s="41">
        <f>YEAR(F921)&amp;"-Q"&amp;ROUNDUP(MONTH(F921)/3,0)</f>
        <v/>
      </c>
      <c r="X921" s="41">
        <f>IF(AND(OR(Dashboard!$C$4="All",D921=Dashboard!$C$4),OR(Dashboard!$C$5="All",E921=Dashboard!$C$5)),1,0)</f>
        <v/>
      </c>
      <c r="Y921" s="43">
        <f>IF(AND(X921=1,S921="Yes"),O921+ROW()/1000000,0)</f>
        <v/>
      </c>
    </row>
    <row r="922">
      <c r="A922" s="35" t="inlineStr">
        <is>
          <t>LN100921</t>
        </is>
      </c>
      <c r="B922" s="35" t="inlineStr">
        <is>
          <t>Lakshmi Sahoo</t>
        </is>
      </c>
      <c r="C922" s="35" t="inlineStr">
        <is>
          <t>CHN-01</t>
        </is>
      </c>
      <c r="D922" s="36">
        <f>INDEX(Branches!$C$2:$C$15,MATCH(C922,Branches!$A$2:$A$15,0))</f>
        <v/>
      </c>
      <c r="E922" s="35" t="inlineStr">
        <is>
          <t>Auto Loan</t>
        </is>
      </c>
      <c r="F922" s="37" t="n">
        <v>45743</v>
      </c>
      <c r="G922" s="38" t="n">
        <v>466000</v>
      </c>
      <c r="H922" s="39" t="n">
        <v>0.119</v>
      </c>
      <c r="I922" s="35" t="n">
        <v>60</v>
      </c>
      <c r="J922" s="35" t="n">
        <v>714</v>
      </c>
      <c r="K922" s="35" t="n">
        <v>0</v>
      </c>
      <c r="L922" s="40">
        <f>ROUND(PMT(H922/12,I922,-G922),0)</f>
        <v/>
      </c>
      <c r="M922" s="41">
        <f>MAX(0,(YEAR(AsOfDate)-YEAR(F922))*12+MONTH(AsOfDate)-MONTH(F922))</f>
        <v/>
      </c>
      <c r="N922" s="41">
        <f>MAX(0,MIN(I922,M922)-INT(K922/30))</f>
        <v/>
      </c>
      <c r="O922" s="40">
        <f>IF(N922&gt;=I922,0,ROUND(PV(H922/12,I922-N922,-L922),0))</f>
        <v/>
      </c>
      <c r="P922" s="40">
        <f>MIN(I922,M922)*L922-N922*L922</f>
        <v/>
      </c>
      <c r="Q922" s="41">
        <f>INDEX(DPD_Bucket,MATCH(K922,DPD_From,1))</f>
        <v/>
      </c>
      <c r="R922" s="41">
        <f>INDEX(DPD_Class,MATCH(K922,DPD_From,1))</f>
        <v/>
      </c>
      <c r="S922" s="41">
        <f>INDEX(DPD_NPA,MATCH(K922,DPD_From,1))</f>
        <v/>
      </c>
      <c r="T922" s="42">
        <f>INDEX(DPD_Prov,MATCH(K922,DPD_From,1))</f>
        <v/>
      </c>
      <c r="U922" s="40">
        <f>ROUND(O922*T922,0)</f>
        <v/>
      </c>
      <c r="V922" s="41">
        <f>INDEX(CIBIL_Grade,MATCH(J922,CIBIL_From,1))</f>
        <v/>
      </c>
      <c r="W922" s="41">
        <f>YEAR(F922)&amp;"-Q"&amp;ROUNDUP(MONTH(F922)/3,0)</f>
        <v/>
      </c>
      <c r="X922" s="41">
        <f>IF(AND(OR(Dashboard!$C$4="All",D922=Dashboard!$C$4),OR(Dashboard!$C$5="All",E922=Dashboard!$C$5)),1,0)</f>
        <v/>
      </c>
      <c r="Y922" s="43">
        <f>IF(AND(X922=1,S922="Yes"),O922+ROW()/1000000,0)</f>
        <v/>
      </c>
    </row>
    <row r="923">
      <c r="A923" s="35" t="inlineStr">
        <is>
          <t>LN100922</t>
        </is>
      </c>
      <c r="B923" s="35" t="inlineStr">
        <is>
          <t>Harsh Nair</t>
        </is>
      </c>
      <c r="C923" s="35" t="inlineStr">
        <is>
          <t>CHN-01</t>
        </is>
      </c>
      <c r="D923" s="36">
        <f>INDEX(Branches!$C$2:$C$15,MATCH(C923,Branches!$A$2:$A$15,0))</f>
        <v/>
      </c>
      <c r="E923" s="35" t="inlineStr">
        <is>
          <t>Gold Loan</t>
        </is>
      </c>
      <c r="F923" s="37" t="n">
        <v>45778</v>
      </c>
      <c r="G923" s="38" t="n">
        <v>474000</v>
      </c>
      <c r="H923" s="39" t="n">
        <v>0.1086</v>
      </c>
      <c r="I923" s="35" t="n">
        <v>6</v>
      </c>
      <c r="J923" s="35" t="n">
        <v>723</v>
      </c>
      <c r="K923" s="35" t="n">
        <v>0</v>
      </c>
      <c r="L923" s="40">
        <f>ROUND(PMT(H923/12,I923,-G923),0)</f>
        <v/>
      </c>
      <c r="M923" s="41">
        <f>MAX(0,(YEAR(AsOfDate)-YEAR(F923))*12+MONTH(AsOfDate)-MONTH(F923))</f>
        <v/>
      </c>
      <c r="N923" s="41">
        <f>MAX(0,MIN(I923,M923)-INT(K923/30))</f>
        <v/>
      </c>
      <c r="O923" s="40">
        <f>IF(N923&gt;=I923,0,ROUND(PV(H923/12,I923-N923,-L923),0))</f>
        <v/>
      </c>
      <c r="P923" s="40">
        <f>MIN(I923,M923)*L923-N923*L923</f>
        <v/>
      </c>
      <c r="Q923" s="41">
        <f>INDEX(DPD_Bucket,MATCH(K923,DPD_From,1))</f>
        <v/>
      </c>
      <c r="R923" s="41">
        <f>INDEX(DPD_Class,MATCH(K923,DPD_From,1))</f>
        <v/>
      </c>
      <c r="S923" s="41">
        <f>INDEX(DPD_NPA,MATCH(K923,DPD_From,1))</f>
        <v/>
      </c>
      <c r="T923" s="42">
        <f>INDEX(DPD_Prov,MATCH(K923,DPD_From,1))</f>
        <v/>
      </c>
      <c r="U923" s="40">
        <f>ROUND(O923*T923,0)</f>
        <v/>
      </c>
      <c r="V923" s="41">
        <f>INDEX(CIBIL_Grade,MATCH(J923,CIBIL_From,1))</f>
        <v/>
      </c>
      <c r="W923" s="41">
        <f>YEAR(F923)&amp;"-Q"&amp;ROUNDUP(MONTH(F923)/3,0)</f>
        <v/>
      </c>
      <c r="X923" s="41">
        <f>IF(AND(OR(Dashboard!$C$4="All",D923=Dashboard!$C$4),OR(Dashboard!$C$5="All",E923=Dashboard!$C$5)),1,0)</f>
        <v/>
      </c>
      <c r="Y923" s="43">
        <f>IF(AND(X923=1,S923="Yes"),O923+ROW()/1000000,0)</f>
        <v/>
      </c>
    </row>
    <row r="924">
      <c r="A924" s="35" t="inlineStr">
        <is>
          <t>LN100923</t>
        </is>
      </c>
      <c r="B924" s="35" t="inlineStr">
        <is>
          <t>Meera Kulkarni</t>
        </is>
      </c>
      <c r="C924" s="35" t="inlineStr">
        <is>
          <t>BBS-01</t>
        </is>
      </c>
      <c r="D924" s="36">
        <f>INDEX(Branches!$C$2:$C$15,MATCH(C924,Branches!$A$2:$A$15,0))</f>
        <v/>
      </c>
      <c r="E924" s="35" t="inlineStr">
        <is>
          <t>Auto Loan</t>
        </is>
      </c>
      <c r="F924" s="37" t="n">
        <v>45760</v>
      </c>
      <c r="G924" s="38" t="n">
        <v>804000</v>
      </c>
      <c r="H924" s="39" t="n">
        <v>0.1162</v>
      </c>
      <c r="I924" s="35" t="n">
        <v>84</v>
      </c>
      <c r="J924" s="35" t="n">
        <v>703</v>
      </c>
      <c r="K924" s="35" t="n">
        <v>0</v>
      </c>
      <c r="L924" s="40">
        <f>ROUND(PMT(H924/12,I924,-G924),0)</f>
        <v/>
      </c>
      <c r="M924" s="41">
        <f>MAX(0,(YEAR(AsOfDate)-YEAR(F924))*12+MONTH(AsOfDate)-MONTH(F924))</f>
        <v/>
      </c>
      <c r="N924" s="41">
        <f>MAX(0,MIN(I924,M924)-INT(K924/30))</f>
        <v/>
      </c>
      <c r="O924" s="40">
        <f>IF(N924&gt;=I924,0,ROUND(PV(H924/12,I924-N924,-L924),0))</f>
        <v/>
      </c>
      <c r="P924" s="40">
        <f>MIN(I924,M924)*L924-N924*L924</f>
        <v/>
      </c>
      <c r="Q924" s="41">
        <f>INDEX(DPD_Bucket,MATCH(K924,DPD_From,1))</f>
        <v/>
      </c>
      <c r="R924" s="41">
        <f>INDEX(DPD_Class,MATCH(K924,DPD_From,1))</f>
        <v/>
      </c>
      <c r="S924" s="41">
        <f>INDEX(DPD_NPA,MATCH(K924,DPD_From,1))</f>
        <v/>
      </c>
      <c r="T924" s="42">
        <f>INDEX(DPD_Prov,MATCH(K924,DPD_From,1))</f>
        <v/>
      </c>
      <c r="U924" s="40">
        <f>ROUND(O924*T924,0)</f>
        <v/>
      </c>
      <c r="V924" s="41">
        <f>INDEX(CIBIL_Grade,MATCH(J924,CIBIL_From,1))</f>
        <v/>
      </c>
      <c r="W924" s="41">
        <f>YEAR(F924)&amp;"-Q"&amp;ROUNDUP(MONTH(F924)/3,0)</f>
        <v/>
      </c>
      <c r="X924" s="41">
        <f>IF(AND(OR(Dashboard!$C$4="All",D924=Dashboard!$C$4),OR(Dashboard!$C$5="All",E924=Dashboard!$C$5)),1,0)</f>
        <v/>
      </c>
      <c r="Y924" s="43">
        <f>IF(AND(X924=1,S924="Yes"),O924+ROW()/1000000,0)</f>
        <v/>
      </c>
    </row>
    <row r="925">
      <c r="A925" s="35" t="inlineStr">
        <is>
          <t>LN100924</t>
        </is>
      </c>
      <c r="B925" s="35" t="inlineStr">
        <is>
          <t>Farhan Nair</t>
        </is>
      </c>
      <c r="C925" s="35" t="inlineStr">
        <is>
          <t>AMD-01</t>
        </is>
      </c>
      <c r="D925" s="36">
        <f>INDEX(Branches!$C$2:$C$15,MATCH(C925,Branches!$A$2:$A$15,0))</f>
        <v/>
      </c>
      <c r="E925" s="35" t="inlineStr">
        <is>
          <t>Business Loan</t>
        </is>
      </c>
      <c r="F925" s="37" t="n">
        <v>45424</v>
      </c>
      <c r="G925" s="38" t="n">
        <v>805000</v>
      </c>
      <c r="H925" s="39" t="n">
        <v>0.1593</v>
      </c>
      <c r="I925" s="35" t="n">
        <v>36</v>
      </c>
      <c r="J925" s="35" t="n">
        <v>728</v>
      </c>
      <c r="K925" s="35" t="n">
        <v>0</v>
      </c>
      <c r="L925" s="40">
        <f>ROUND(PMT(H925/12,I925,-G925),0)</f>
        <v/>
      </c>
      <c r="M925" s="41">
        <f>MAX(0,(YEAR(AsOfDate)-YEAR(F925))*12+MONTH(AsOfDate)-MONTH(F925))</f>
        <v/>
      </c>
      <c r="N925" s="41">
        <f>MAX(0,MIN(I925,M925)-INT(K925/30))</f>
        <v/>
      </c>
      <c r="O925" s="40">
        <f>IF(N925&gt;=I925,0,ROUND(PV(H925/12,I925-N925,-L925),0))</f>
        <v/>
      </c>
      <c r="P925" s="40">
        <f>MIN(I925,M925)*L925-N925*L925</f>
        <v/>
      </c>
      <c r="Q925" s="41">
        <f>INDEX(DPD_Bucket,MATCH(K925,DPD_From,1))</f>
        <v/>
      </c>
      <c r="R925" s="41">
        <f>INDEX(DPD_Class,MATCH(K925,DPD_From,1))</f>
        <v/>
      </c>
      <c r="S925" s="41">
        <f>INDEX(DPD_NPA,MATCH(K925,DPD_From,1))</f>
        <v/>
      </c>
      <c r="T925" s="42">
        <f>INDEX(DPD_Prov,MATCH(K925,DPD_From,1))</f>
        <v/>
      </c>
      <c r="U925" s="40">
        <f>ROUND(O925*T925,0)</f>
        <v/>
      </c>
      <c r="V925" s="41">
        <f>INDEX(CIBIL_Grade,MATCH(J925,CIBIL_From,1))</f>
        <v/>
      </c>
      <c r="W925" s="41">
        <f>YEAR(F925)&amp;"-Q"&amp;ROUNDUP(MONTH(F925)/3,0)</f>
        <v/>
      </c>
      <c r="X925" s="41">
        <f>IF(AND(OR(Dashboard!$C$4="All",D925=Dashboard!$C$4),OR(Dashboard!$C$5="All",E925=Dashboard!$C$5)),1,0)</f>
        <v/>
      </c>
      <c r="Y925" s="43">
        <f>IF(AND(X925=1,S925="Yes"),O925+ROW()/1000000,0)</f>
        <v/>
      </c>
    </row>
    <row r="926">
      <c r="A926" s="35" t="inlineStr">
        <is>
          <t>LN100925</t>
        </is>
      </c>
      <c r="B926" s="35" t="inlineStr">
        <is>
          <t>Vivaan Mishra</t>
        </is>
      </c>
      <c r="C926" s="35" t="inlineStr">
        <is>
          <t>BLR-01</t>
        </is>
      </c>
      <c r="D926" s="36">
        <f>INDEX(Branches!$C$2:$C$15,MATCH(C926,Branches!$A$2:$A$15,0))</f>
        <v/>
      </c>
      <c r="E926" s="35" t="inlineStr">
        <is>
          <t>Gold Loan</t>
        </is>
      </c>
      <c r="F926" s="37" t="n">
        <v>45832</v>
      </c>
      <c r="G926" s="38" t="n">
        <v>407000</v>
      </c>
      <c r="H926" s="39" t="n">
        <v>0.1108</v>
      </c>
      <c r="I926" s="35" t="n">
        <v>6</v>
      </c>
      <c r="J926" s="35" t="n">
        <v>666</v>
      </c>
      <c r="K926" s="35" t="n">
        <v>0</v>
      </c>
      <c r="L926" s="40">
        <f>ROUND(PMT(H926/12,I926,-G926),0)</f>
        <v/>
      </c>
      <c r="M926" s="41">
        <f>MAX(0,(YEAR(AsOfDate)-YEAR(F926))*12+MONTH(AsOfDate)-MONTH(F926))</f>
        <v/>
      </c>
      <c r="N926" s="41">
        <f>MAX(0,MIN(I926,M926)-INT(K926/30))</f>
        <v/>
      </c>
      <c r="O926" s="40">
        <f>IF(N926&gt;=I926,0,ROUND(PV(H926/12,I926-N926,-L926),0))</f>
        <v/>
      </c>
      <c r="P926" s="40">
        <f>MIN(I926,M926)*L926-N926*L926</f>
        <v/>
      </c>
      <c r="Q926" s="41">
        <f>INDEX(DPD_Bucket,MATCH(K926,DPD_From,1))</f>
        <v/>
      </c>
      <c r="R926" s="41">
        <f>INDEX(DPD_Class,MATCH(K926,DPD_From,1))</f>
        <v/>
      </c>
      <c r="S926" s="41">
        <f>INDEX(DPD_NPA,MATCH(K926,DPD_From,1))</f>
        <v/>
      </c>
      <c r="T926" s="42">
        <f>INDEX(DPD_Prov,MATCH(K926,DPD_From,1))</f>
        <v/>
      </c>
      <c r="U926" s="40">
        <f>ROUND(O926*T926,0)</f>
        <v/>
      </c>
      <c r="V926" s="41">
        <f>INDEX(CIBIL_Grade,MATCH(J926,CIBIL_From,1))</f>
        <v/>
      </c>
      <c r="W926" s="41">
        <f>YEAR(F926)&amp;"-Q"&amp;ROUNDUP(MONTH(F926)/3,0)</f>
        <v/>
      </c>
      <c r="X926" s="41">
        <f>IF(AND(OR(Dashboard!$C$4="All",D926=Dashboard!$C$4),OR(Dashboard!$C$5="All",E926=Dashboard!$C$5)),1,0)</f>
        <v/>
      </c>
      <c r="Y926" s="43">
        <f>IF(AND(X926=1,S926="Yes"),O926+ROW()/1000000,0)</f>
        <v/>
      </c>
    </row>
    <row r="927">
      <c r="A927" s="35" t="inlineStr">
        <is>
          <t>LN100926</t>
        </is>
      </c>
      <c r="B927" s="35" t="inlineStr">
        <is>
          <t>Gaurav Chatterjee</t>
        </is>
      </c>
      <c r="C927" s="35" t="inlineStr">
        <is>
          <t>CHN-01</t>
        </is>
      </c>
      <c r="D927" s="36">
        <f>INDEX(Branches!$C$2:$C$15,MATCH(C927,Branches!$A$2:$A$15,0))</f>
        <v/>
      </c>
      <c r="E927" s="35" t="inlineStr">
        <is>
          <t>Business Loan</t>
        </is>
      </c>
      <c r="F927" s="37" t="n">
        <v>45160</v>
      </c>
      <c r="G927" s="38" t="n">
        <v>1245000</v>
      </c>
      <c r="H927" s="39" t="n">
        <v>0.1826</v>
      </c>
      <c r="I927" s="35" t="n">
        <v>60</v>
      </c>
      <c r="J927" s="35" t="n">
        <v>685</v>
      </c>
      <c r="K927" s="35" t="n">
        <v>0</v>
      </c>
      <c r="L927" s="40">
        <f>ROUND(PMT(H927/12,I927,-G927),0)</f>
        <v/>
      </c>
      <c r="M927" s="41">
        <f>MAX(0,(YEAR(AsOfDate)-YEAR(F927))*12+MONTH(AsOfDate)-MONTH(F927))</f>
        <v/>
      </c>
      <c r="N927" s="41">
        <f>MAX(0,MIN(I927,M927)-INT(K927/30))</f>
        <v/>
      </c>
      <c r="O927" s="40">
        <f>IF(N927&gt;=I927,0,ROUND(PV(H927/12,I927-N927,-L927),0))</f>
        <v/>
      </c>
      <c r="P927" s="40">
        <f>MIN(I927,M927)*L927-N927*L927</f>
        <v/>
      </c>
      <c r="Q927" s="41">
        <f>INDEX(DPD_Bucket,MATCH(K927,DPD_From,1))</f>
        <v/>
      </c>
      <c r="R927" s="41">
        <f>INDEX(DPD_Class,MATCH(K927,DPD_From,1))</f>
        <v/>
      </c>
      <c r="S927" s="41">
        <f>INDEX(DPD_NPA,MATCH(K927,DPD_From,1))</f>
        <v/>
      </c>
      <c r="T927" s="42">
        <f>INDEX(DPD_Prov,MATCH(K927,DPD_From,1))</f>
        <v/>
      </c>
      <c r="U927" s="40">
        <f>ROUND(O927*T927,0)</f>
        <v/>
      </c>
      <c r="V927" s="41">
        <f>INDEX(CIBIL_Grade,MATCH(J927,CIBIL_From,1))</f>
        <v/>
      </c>
      <c r="W927" s="41">
        <f>YEAR(F927)&amp;"-Q"&amp;ROUNDUP(MONTH(F927)/3,0)</f>
        <v/>
      </c>
      <c r="X927" s="41">
        <f>IF(AND(OR(Dashboard!$C$4="All",D927=Dashboard!$C$4),OR(Dashboard!$C$5="All",E927=Dashboard!$C$5)),1,0)</f>
        <v/>
      </c>
      <c r="Y927" s="43">
        <f>IF(AND(X927=1,S927="Yes"),O927+ROW()/1000000,0)</f>
        <v/>
      </c>
    </row>
    <row r="928">
      <c r="A928" s="35" t="inlineStr">
        <is>
          <t>LN100927</t>
        </is>
      </c>
      <c r="B928" s="35" t="inlineStr">
        <is>
          <t>Zoya Chatterjee</t>
        </is>
      </c>
      <c r="C928" s="35" t="inlineStr">
        <is>
          <t>MUM-01</t>
        </is>
      </c>
      <c r="D928" s="36">
        <f>INDEX(Branches!$C$2:$C$15,MATCH(C928,Branches!$A$2:$A$15,0))</f>
        <v/>
      </c>
      <c r="E928" s="35" t="inlineStr">
        <is>
          <t>Auto Loan</t>
        </is>
      </c>
      <c r="F928" s="37" t="n">
        <v>45353</v>
      </c>
      <c r="G928" s="38" t="n">
        <v>885000</v>
      </c>
      <c r="H928" s="39" t="n">
        <v>0.0958</v>
      </c>
      <c r="I928" s="35" t="n">
        <v>84</v>
      </c>
      <c r="J928" s="35" t="n">
        <v>705</v>
      </c>
      <c r="K928" s="35" t="n">
        <v>599</v>
      </c>
      <c r="L928" s="40">
        <f>ROUND(PMT(H928/12,I928,-G928),0)</f>
        <v/>
      </c>
      <c r="M928" s="41">
        <f>MAX(0,(YEAR(AsOfDate)-YEAR(F928))*12+MONTH(AsOfDate)-MONTH(F928))</f>
        <v/>
      </c>
      <c r="N928" s="41">
        <f>MAX(0,MIN(I928,M928)-INT(K928/30))</f>
        <v/>
      </c>
      <c r="O928" s="40">
        <f>IF(N928&gt;=I928,0,ROUND(PV(H928/12,I928-N928,-L928),0))</f>
        <v/>
      </c>
      <c r="P928" s="40">
        <f>MIN(I928,M928)*L928-N928*L928</f>
        <v/>
      </c>
      <c r="Q928" s="41">
        <f>INDEX(DPD_Bucket,MATCH(K928,DPD_From,1))</f>
        <v/>
      </c>
      <c r="R928" s="41">
        <f>INDEX(DPD_Class,MATCH(K928,DPD_From,1))</f>
        <v/>
      </c>
      <c r="S928" s="41">
        <f>INDEX(DPD_NPA,MATCH(K928,DPD_From,1))</f>
        <v/>
      </c>
      <c r="T928" s="42">
        <f>INDEX(DPD_Prov,MATCH(K928,DPD_From,1))</f>
        <v/>
      </c>
      <c r="U928" s="40">
        <f>ROUND(O928*T928,0)</f>
        <v/>
      </c>
      <c r="V928" s="41">
        <f>INDEX(CIBIL_Grade,MATCH(J928,CIBIL_From,1))</f>
        <v/>
      </c>
      <c r="W928" s="41">
        <f>YEAR(F928)&amp;"-Q"&amp;ROUNDUP(MONTH(F928)/3,0)</f>
        <v/>
      </c>
      <c r="X928" s="41">
        <f>IF(AND(OR(Dashboard!$C$4="All",D928=Dashboard!$C$4),OR(Dashboard!$C$5="All",E928=Dashboard!$C$5)),1,0)</f>
        <v/>
      </c>
      <c r="Y928" s="43">
        <f>IF(AND(X928=1,S928="Yes"),O928+ROW()/1000000,0)</f>
        <v/>
      </c>
    </row>
    <row r="929">
      <c r="A929" s="35" t="inlineStr">
        <is>
          <t>LN100928</t>
        </is>
      </c>
      <c r="B929" s="35" t="inlineStr">
        <is>
          <t>Rohan Mohanty</t>
        </is>
      </c>
      <c r="C929" s="35" t="inlineStr">
        <is>
          <t>MUM-01</t>
        </is>
      </c>
      <c r="D929" s="36">
        <f>INDEX(Branches!$C$2:$C$15,MATCH(C929,Branches!$A$2:$A$15,0))</f>
        <v/>
      </c>
      <c r="E929" s="35" t="inlineStr">
        <is>
          <t>Business Loan</t>
        </is>
      </c>
      <c r="F929" s="37" t="n">
        <v>45823</v>
      </c>
      <c r="G929" s="38" t="n">
        <v>676000</v>
      </c>
      <c r="H929" s="39" t="n">
        <v>0.1404</v>
      </c>
      <c r="I929" s="35" t="n">
        <v>12</v>
      </c>
      <c r="J929" s="35" t="n">
        <v>711</v>
      </c>
      <c r="K929" s="35" t="n">
        <v>0</v>
      </c>
      <c r="L929" s="40">
        <f>ROUND(PMT(H929/12,I929,-G929),0)</f>
        <v/>
      </c>
      <c r="M929" s="41">
        <f>MAX(0,(YEAR(AsOfDate)-YEAR(F929))*12+MONTH(AsOfDate)-MONTH(F929))</f>
        <v/>
      </c>
      <c r="N929" s="41">
        <f>MAX(0,MIN(I929,M929)-INT(K929/30))</f>
        <v/>
      </c>
      <c r="O929" s="40">
        <f>IF(N929&gt;=I929,0,ROUND(PV(H929/12,I929-N929,-L929),0))</f>
        <v/>
      </c>
      <c r="P929" s="40">
        <f>MIN(I929,M929)*L929-N929*L929</f>
        <v/>
      </c>
      <c r="Q929" s="41">
        <f>INDEX(DPD_Bucket,MATCH(K929,DPD_From,1))</f>
        <v/>
      </c>
      <c r="R929" s="41">
        <f>INDEX(DPD_Class,MATCH(K929,DPD_From,1))</f>
        <v/>
      </c>
      <c r="S929" s="41">
        <f>INDEX(DPD_NPA,MATCH(K929,DPD_From,1))</f>
        <v/>
      </c>
      <c r="T929" s="42">
        <f>INDEX(DPD_Prov,MATCH(K929,DPD_From,1))</f>
        <v/>
      </c>
      <c r="U929" s="40">
        <f>ROUND(O929*T929,0)</f>
        <v/>
      </c>
      <c r="V929" s="41">
        <f>INDEX(CIBIL_Grade,MATCH(J929,CIBIL_From,1))</f>
        <v/>
      </c>
      <c r="W929" s="41">
        <f>YEAR(F929)&amp;"-Q"&amp;ROUNDUP(MONTH(F929)/3,0)</f>
        <v/>
      </c>
      <c r="X929" s="41">
        <f>IF(AND(OR(Dashboard!$C$4="All",D929=Dashboard!$C$4),OR(Dashboard!$C$5="All",E929=Dashboard!$C$5)),1,0)</f>
        <v/>
      </c>
      <c r="Y929" s="43">
        <f>IF(AND(X929=1,S929="Yes"),O929+ROW()/1000000,0)</f>
        <v/>
      </c>
    </row>
    <row r="930">
      <c r="A930" s="35" t="inlineStr">
        <is>
          <t>LN100929</t>
        </is>
      </c>
      <c r="B930" s="35" t="inlineStr">
        <is>
          <t>Tanvi Das</t>
        </is>
      </c>
      <c r="C930" s="35" t="inlineStr">
        <is>
          <t>LKO-01</t>
        </is>
      </c>
      <c r="D930" s="36">
        <f>INDEX(Branches!$C$2:$C$15,MATCH(C930,Branches!$A$2:$A$15,0))</f>
        <v/>
      </c>
      <c r="E930" s="35" t="inlineStr">
        <is>
          <t>Gold Loan</t>
        </is>
      </c>
      <c r="F930" s="37" t="n">
        <v>45620</v>
      </c>
      <c r="G930" s="38" t="n">
        <v>102000</v>
      </c>
      <c r="H930" s="39" t="n">
        <v>0.1095</v>
      </c>
      <c r="I930" s="35" t="n">
        <v>6</v>
      </c>
      <c r="J930" s="35" t="n">
        <v>747</v>
      </c>
      <c r="K930" s="35" t="n">
        <v>0</v>
      </c>
      <c r="L930" s="40">
        <f>ROUND(PMT(H930/12,I930,-G930),0)</f>
        <v/>
      </c>
      <c r="M930" s="41">
        <f>MAX(0,(YEAR(AsOfDate)-YEAR(F930))*12+MONTH(AsOfDate)-MONTH(F930))</f>
        <v/>
      </c>
      <c r="N930" s="41">
        <f>MAX(0,MIN(I930,M930)-INT(K930/30))</f>
        <v/>
      </c>
      <c r="O930" s="40">
        <f>IF(N930&gt;=I930,0,ROUND(PV(H930/12,I930-N930,-L930),0))</f>
        <v/>
      </c>
      <c r="P930" s="40">
        <f>MIN(I930,M930)*L930-N930*L930</f>
        <v/>
      </c>
      <c r="Q930" s="41">
        <f>INDEX(DPD_Bucket,MATCH(K930,DPD_From,1))</f>
        <v/>
      </c>
      <c r="R930" s="41">
        <f>INDEX(DPD_Class,MATCH(K930,DPD_From,1))</f>
        <v/>
      </c>
      <c r="S930" s="41">
        <f>INDEX(DPD_NPA,MATCH(K930,DPD_From,1))</f>
        <v/>
      </c>
      <c r="T930" s="42">
        <f>INDEX(DPD_Prov,MATCH(K930,DPD_From,1))</f>
        <v/>
      </c>
      <c r="U930" s="40">
        <f>ROUND(O930*T930,0)</f>
        <v/>
      </c>
      <c r="V930" s="41">
        <f>INDEX(CIBIL_Grade,MATCH(J930,CIBIL_From,1))</f>
        <v/>
      </c>
      <c r="W930" s="41">
        <f>YEAR(F930)&amp;"-Q"&amp;ROUNDUP(MONTH(F930)/3,0)</f>
        <v/>
      </c>
      <c r="X930" s="41">
        <f>IF(AND(OR(Dashboard!$C$4="All",D930=Dashboard!$C$4),OR(Dashboard!$C$5="All",E930=Dashboard!$C$5)),1,0)</f>
        <v/>
      </c>
      <c r="Y930" s="43">
        <f>IF(AND(X930=1,S930="Yes"),O930+ROW()/1000000,0)</f>
        <v/>
      </c>
    </row>
    <row r="931">
      <c r="A931" s="35" t="inlineStr">
        <is>
          <t>LN100930</t>
        </is>
      </c>
      <c r="B931" s="35" t="inlineStr">
        <is>
          <t>Priya Verma</t>
        </is>
      </c>
      <c r="C931" s="35" t="inlineStr">
        <is>
          <t>KOL-01</t>
        </is>
      </c>
      <c r="D931" s="36">
        <f>INDEX(Branches!$C$2:$C$15,MATCH(C931,Branches!$A$2:$A$15,0))</f>
        <v/>
      </c>
      <c r="E931" s="35" t="inlineStr">
        <is>
          <t>Personal Loan</t>
        </is>
      </c>
      <c r="F931" s="37" t="n">
        <v>45509</v>
      </c>
      <c r="G931" s="38" t="n">
        <v>1242000</v>
      </c>
      <c r="H931" s="39" t="n">
        <v>0.1668</v>
      </c>
      <c r="I931" s="35" t="n">
        <v>36</v>
      </c>
      <c r="J931" s="35" t="n">
        <v>722</v>
      </c>
      <c r="K931" s="35" t="n">
        <v>78</v>
      </c>
      <c r="L931" s="40">
        <f>ROUND(PMT(H931/12,I931,-G931),0)</f>
        <v/>
      </c>
      <c r="M931" s="41">
        <f>MAX(0,(YEAR(AsOfDate)-YEAR(F931))*12+MONTH(AsOfDate)-MONTH(F931))</f>
        <v/>
      </c>
      <c r="N931" s="41">
        <f>MAX(0,MIN(I931,M931)-INT(K931/30))</f>
        <v/>
      </c>
      <c r="O931" s="40">
        <f>IF(N931&gt;=I931,0,ROUND(PV(H931/12,I931-N931,-L931),0))</f>
        <v/>
      </c>
      <c r="P931" s="40">
        <f>MIN(I931,M931)*L931-N931*L931</f>
        <v/>
      </c>
      <c r="Q931" s="41">
        <f>INDEX(DPD_Bucket,MATCH(K931,DPD_From,1))</f>
        <v/>
      </c>
      <c r="R931" s="41">
        <f>INDEX(DPD_Class,MATCH(K931,DPD_From,1))</f>
        <v/>
      </c>
      <c r="S931" s="41">
        <f>INDEX(DPD_NPA,MATCH(K931,DPD_From,1))</f>
        <v/>
      </c>
      <c r="T931" s="42">
        <f>INDEX(DPD_Prov,MATCH(K931,DPD_From,1))</f>
        <v/>
      </c>
      <c r="U931" s="40">
        <f>ROUND(O931*T931,0)</f>
        <v/>
      </c>
      <c r="V931" s="41">
        <f>INDEX(CIBIL_Grade,MATCH(J931,CIBIL_From,1))</f>
        <v/>
      </c>
      <c r="W931" s="41">
        <f>YEAR(F931)&amp;"-Q"&amp;ROUNDUP(MONTH(F931)/3,0)</f>
        <v/>
      </c>
      <c r="X931" s="41">
        <f>IF(AND(OR(Dashboard!$C$4="All",D931=Dashboard!$C$4),OR(Dashboard!$C$5="All",E931=Dashboard!$C$5)),1,0)</f>
        <v/>
      </c>
      <c r="Y931" s="43">
        <f>IF(AND(X931=1,S931="Yes"),O931+ROW()/1000000,0)</f>
        <v/>
      </c>
    </row>
    <row r="932">
      <c r="A932" s="35" t="inlineStr">
        <is>
          <t>LN100931</t>
        </is>
      </c>
      <c r="B932" s="35" t="inlineStr">
        <is>
          <t>Gaurav Mishra</t>
        </is>
      </c>
      <c r="C932" s="35" t="inlineStr">
        <is>
          <t>CHN-01</t>
        </is>
      </c>
      <c r="D932" s="36">
        <f>INDEX(Branches!$C$2:$C$15,MATCH(C932,Branches!$A$2:$A$15,0))</f>
        <v/>
      </c>
      <c r="E932" s="35" t="inlineStr">
        <is>
          <t>Home Loan</t>
        </is>
      </c>
      <c r="F932" s="37" t="n">
        <v>45812</v>
      </c>
      <c r="G932" s="38" t="n">
        <v>11394000</v>
      </c>
      <c r="H932" s="39" t="n">
        <v>0.0936</v>
      </c>
      <c r="I932" s="35" t="n">
        <v>180</v>
      </c>
      <c r="J932" s="35" t="n">
        <v>734</v>
      </c>
      <c r="K932" s="35" t="n">
        <v>0</v>
      </c>
      <c r="L932" s="40">
        <f>ROUND(PMT(H932/12,I932,-G932),0)</f>
        <v/>
      </c>
      <c r="M932" s="41">
        <f>MAX(0,(YEAR(AsOfDate)-YEAR(F932))*12+MONTH(AsOfDate)-MONTH(F932))</f>
        <v/>
      </c>
      <c r="N932" s="41">
        <f>MAX(0,MIN(I932,M932)-INT(K932/30))</f>
        <v/>
      </c>
      <c r="O932" s="40">
        <f>IF(N932&gt;=I932,0,ROUND(PV(H932/12,I932-N932,-L932),0))</f>
        <v/>
      </c>
      <c r="P932" s="40">
        <f>MIN(I932,M932)*L932-N932*L932</f>
        <v/>
      </c>
      <c r="Q932" s="41">
        <f>INDEX(DPD_Bucket,MATCH(K932,DPD_From,1))</f>
        <v/>
      </c>
      <c r="R932" s="41">
        <f>INDEX(DPD_Class,MATCH(K932,DPD_From,1))</f>
        <v/>
      </c>
      <c r="S932" s="41">
        <f>INDEX(DPD_NPA,MATCH(K932,DPD_From,1))</f>
        <v/>
      </c>
      <c r="T932" s="42">
        <f>INDEX(DPD_Prov,MATCH(K932,DPD_From,1))</f>
        <v/>
      </c>
      <c r="U932" s="40">
        <f>ROUND(O932*T932,0)</f>
        <v/>
      </c>
      <c r="V932" s="41">
        <f>INDEX(CIBIL_Grade,MATCH(J932,CIBIL_From,1))</f>
        <v/>
      </c>
      <c r="W932" s="41">
        <f>YEAR(F932)&amp;"-Q"&amp;ROUNDUP(MONTH(F932)/3,0)</f>
        <v/>
      </c>
      <c r="X932" s="41">
        <f>IF(AND(OR(Dashboard!$C$4="All",D932=Dashboard!$C$4),OR(Dashboard!$C$5="All",E932=Dashboard!$C$5)),1,0)</f>
        <v/>
      </c>
      <c r="Y932" s="43">
        <f>IF(AND(X932=1,S932="Yes"),O932+ROW()/1000000,0)</f>
        <v/>
      </c>
    </row>
    <row r="933">
      <c r="A933" s="35" t="inlineStr">
        <is>
          <t>LN100932</t>
        </is>
      </c>
      <c r="B933" s="35" t="inlineStr">
        <is>
          <t>Kabir Rao</t>
        </is>
      </c>
      <c r="C933" s="35" t="inlineStr">
        <is>
          <t>MUM-01</t>
        </is>
      </c>
      <c r="D933" s="36">
        <f>INDEX(Branches!$C$2:$C$15,MATCH(C933,Branches!$A$2:$A$15,0))</f>
        <v/>
      </c>
      <c r="E933" s="35" t="inlineStr">
        <is>
          <t>Gold Loan</t>
        </is>
      </c>
      <c r="F933" s="37" t="n">
        <v>45751</v>
      </c>
      <c r="G933" s="38" t="n">
        <v>142000</v>
      </c>
      <c r="H933" s="39" t="n">
        <v>0.1089</v>
      </c>
      <c r="I933" s="35" t="n">
        <v>12</v>
      </c>
      <c r="J933" s="35" t="n">
        <v>744</v>
      </c>
      <c r="K933" s="35" t="n">
        <v>0</v>
      </c>
      <c r="L933" s="40">
        <f>ROUND(PMT(H933/12,I933,-G933),0)</f>
        <v/>
      </c>
      <c r="M933" s="41">
        <f>MAX(0,(YEAR(AsOfDate)-YEAR(F933))*12+MONTH(AsOfDate)-MONTH(F933))</f>
        <v/>
      </c>
      <c r="N933" s="41">
        <f>MAX(0,MIN(I933,M933)-INT(K933/30))</f>
        <v/>
      </c>
      <c r="O933" s="40">
        <f>IF(N933&gt;=I933,0,ROUND(PV(H933/12,I933-N933,-L933),0))</f>
        <v/>
      </c>
      <c r="P933" s="40">
        <f>MIN(I933,M933)*L933-N933*L933</f>
        <v/>
      </c>
      <c r="Q933" s="41">
        <f>INDEX(DPD_Bucket,MATCH(K933,DPD_From,1))</f>
        <v/>
      </c>
      <c r="R933" s="41">
        <f>INDEX(DPD_Class,MATCH(K933,DPD_From,1))</f>
        <v/>
      </c>
      <c r="S933" s="41">
        <f>INDEX(DPD_NPA,MATCH(K933,DPD_From,1))</f>
        <v/>
      </c>
      <c r="T933" s="42">
        <f>INDEX(DPD_Prov,MATCH(K933,DPD_From,1))</f>
        <v/>
      </c>
      <c r="U933" s="40">
        <f>ROUND(O933*T933,0)</f>
        <v/>
      </c>
      <c r="V933" s="41">
        <f>INDEX(CIBIL_Grade,MATCH(J933,CIBIL_From,1))</f>
        <v/>
      </c>
      <c r="W933" s="41">
        <f>YEAR(F933)&amp;"-Q"&amp;ROUNDUP(MONTH(F933)/3,0)</f>
        <v/>
      </c>
      <c r="X933" s="41">
        <f>IF(AND(OR(Dashboard!$C$4="All",D933=Dashboard!$C$4),OR(Dashboard!$C$5="All",E933=Dashboard!$C$5)),1,0)</f>
        <v/>
      </c>
      <c r="Y933" s="43">
        <f>IF(AND(X933=1,S933="Yes"),O933+ROW()/1000000,0)</f>
        <v/>
      </c>
    </row>
    <row r="934">
      <c r="A934" s="35" t="inlineStr">
        <is>
          <t>LN100933</t>
        </is>
      </c>
      <c r="B934" s="35" t="inlineStr">
        <is>
          <t>Sai Pillai</t>
        </is>
      </c>
      <c r="C934" s="35" t="inlineStr">
        <is>
          <t>CHN-01</t>
        </is>
      </c>
      <c r="D934" s="36">
        <f>INDEX(Branches!$C$2:$C$15,MATCH(C934,Branches!$A$2:$A$15,0))</f>
        <v/>
      </c>
      <c r="E934" s="35" t="inlineStr">
        <is>
          <t>Business Loan</t>
        </is>
      </c>
      <c r="F934" s="37" t="n">
        <v>45855</v>
      </c>
      <c r="G934" s="38" t="n">
        <v>2732000</v>
      </c>
      <c r="H934" s="39" t="n">
        <v>0.1622</v>
      </c>
      <c r="I934" s="35" t="n">
        <v>60</v>
      </c>
      <c r="J934" s="35" t="n">
        <v>651</v>
      </c>
      <c r="K934" s="35" t="n">
        <v>0</v>
      </c>
      <c r="L934" s="40">
        <f>ROUND(PMT(H934/12,I934,-G934),0)</f>
        <v/>
      </c>
      <c r="M934" s="41">
        <f>MAX(0,(YEAR(AsOfDate)-YEAR(F934))*12+MONTH(AsOfDate)-MONTH(F934))</f>
        <v/>
      </c>
      <c r="N934" s="41">
        <f>MAX(0,MIN(I934,M934)-INT(K934/30))</f>
        <v/>
      </c>
      <c r="O934" s="40">
        <f>IF(N934&gt;=I934,0,ROUND(PV(H934/12,I934-N934,-L934),0))</f>
        <v/>
      </c>
      <c r="P934" s="40">
        <f>MIN(I934,M934)*L934-N934*L934</f>
        <v/>
      </c>
      <c r="Q934" s="41">
        <f>INDEX(DPD_Bucket,MATCH(K934,DPD_From,1))</f>
        <v/>
      </c>
      <c r="R934" s="41">
        <f>INDEX(DPD_Class,MATCH(K934,DPD_From,1))</f>
        <v/>
      </c>
      <c r="S934" s="41">
        <f>INDEX(DPD_NPA,MATCH(K934,DPD_From,1))</f>
        <v/>
      </c>
      <c r="T934" s="42">
        <f>INDEX(DPD_Prov,MATCH(K934,DPD_From,1))</f>
        <v/>
      </c>
      <c r="U934" s="40">
        <f>ROUND(O934*T934,0)</f>
        <v/>
      </c>
      <c r="V934" s="41">
        <f>INDEX(CIBIL_Grade,MATCH(J934,CIBIL_From,1))</f>
        <v/>
      </c>
      <c r="W934" s="41">
        <f>YEAR(F934)&amp;"-Q"&amp;ROUNDUP(MONTH(F934)/3,0)</f>
        <v/>
      </c>
      <c r="X934" s="41">
        <f>IF(AND(OR(Dashboard!$C$4="All",D934=Dashboard!$C$4),OR(Dashboard!$C$5="All",E934=Dashboard!$C$5)),1,0)</f>
        <v/>
      </c>
      <c r="Y934" s="43">
        <f>IF(AND(X934=1,S934="Yes"),O934+ROW()/1000000,0)</f>
        <v/>
      </c>
    </row>
    <row r="935">
      <c r="A935" s="35" t="inlineStr">
        <is>
          <t>LN100934</t>
        </is>
      </c>
      <c r="B935" s="35" t="inlineStr">
        <is>
          <t>Zoya Patel</t>
        </is>
      </c>
      <c r="C935" s="35" t="inlineStr">
        <is>
          <t>KOL-01</t>
        </is>
      </c>
      <c r="D935" s="36">
        <f>INDEX(Branches!$C$2:$C$15,MATCH(C935,Branches!$A$2:$A$15,0))</f>
        <v/>
      </c>
      <c r="E935" s="35" t="inlineStr">
        <is>
          <t>Business Loan</t>
        </is>
      </c>
      <c r="F935" s="37" t="n">
        <v>45787</v>
      </c>
      <c r="G935" s="38" t="n">
        <v>1769000</v>
      </c>
      <c r="H935" s="39" t="n">
        <v>0.1517</v>
      </c>
      <c r="I935" s="35" t="n">
        <v>24</v>
      </c>
      <c r="J935" s="35" t="n">
        <v>764</v>
      </c>
      <c r="K935" s="35" t="n">
        <v>0</v>
      </c>
      <c r="L935" s="40">
        <f>ROUND(PMT(H935/12,I935,-G935),0)</f>
        <v/>
      </c>
      <c r="M935" s="41">
        <f>MAX(0,(YEAR(AsOfDate)-YEAR(F935))*12+MONTH(AsOfDate)-MONTH(F935))</f>
        <v/>
      </c>
      <c r="N935" s="41">
        <f>MAX(0,MIN(I935,M935)-INT(K935/30))</f>
        <v/>
      </c>
      <c r="O935" s="40">
        <f>IF(N935&gt;=I935,0,ROUND(PV(H935/12,I935-N935,-L935),0))</f>
        <v/>
      </c>
      <c r="P935" s="40">
        <f>MIN(I935,M935)*L935-N935*L935</f>
        <v/>
      </c>
      <c r="Q935" s="41">
        <f>INDEX(DPD_Bucket,MATCH(K935,DPD_From,1))</f>
        <v/>
      </c>
      <c r="R935" s="41">
        <f>INDEX(DPD_Class,MATCH(K935,DPD_From,1))</f>
        <v/>
      </c>
      <c r="S935" s="41">
        <f>INDEX(DPD_NPA,MATCH(K935,DPD_From,1))</f>
        <v/>
      </c>
      <c r="T935" s="42">
        <f>INDEX(DPD_Prov,MATCH(K935,DPD_From,1))</f>
        <v/>
      </c>
      <c r="U935" s="40">
        <f>ROUND(O935*T935,0)</f>
        <v/>
      </c>
      <c r="V935" s="41">
        <f>INDEX(CIBIL_Grade,MATCH(J935,CIBIL_From,1))</f>
        <v/>
      </c>
      <c r="W935" s="41">
        <f>YEAR(F935)&amp;"-Q"&amp;ROUNDUP(MONTH(F935)/3,0)</f>
        <v/>
      </c>
      <c r="X935" s="41">
        <f>IF(AND(OR(Dashboard!$C$4="All",D935=Dashboard!$C$4),OR(Dashboard!$C$5="All",E935=Dashboard!$C$5)),1,0)</f>
        <v/>
      </c>
      <c r="Y935" s="43">
        <f>IF(AND(X935=1,S935="Yes"),O935+ROW()/1000000,0)</f>
        <v/>
      </c>
    </row>
    <row r="936">
      <c r="A936" s="35" t="inlineStr">
        <is>
          <t>LN100935</t>
        </is>
      </c>
      <c r="B936" s="35" t="inlineStr">
        <is>
          <t>Harsh Banerjee</t>
        </is>
      </c>
      <c r="C936" s="35" t="inlineStr">
        <is>
          <t>CHN-01</t>
        </is>
      </c>
      <c r="D936" s="36">
        <f>INDEX(Branches!$C$2:$C$15,MATCH(C936,Branches!$A$2:$A$15,0))</f>
        <v/>
      </c>
      <c r="E936" s="35" t="inlineStr">
        <is>
          <t>Gold Loan</t>
        </is>
      </c>
      <c r="F936" s="37" t="n">
        <v>45789</v>
      </c>
      <c r="G936" s="38" t="n">
        <v>376000</v>
      </c>
      <c r="H936" s="39" t="n">
        <v>0.0941</v>
      </c>
      <c r="I936" s="35" t="n">
        <v>12</v>
      </c>
      <c r="J936" s="35" t="n">
        <v>754</v>
      </c>
      <c r="K936" s="35" t="n">
        <v>0</v>
      </c>
      <c r="L936" s="40">
        <f>ROUND(PMT(H936/12,I936,-G936),0)</f>
        <v/>
      </c>
      <c r="M936" s="41">
        <f>MAX(0,(YEAR(AsOfDate)-YEAR(F936))*12+MONTH(AsOfDate)-MONTH(F936))</f>
        <v/>
      </c>
      <c r="N936" s="41">
        <f>MAX(0,MIN(I936,M936)-INT(K936/30))</f>
        <v/>
      </c>
      <c r="O936" s="40">
        <f>IF(N936&gt;=I936,0,ROUND(PV(H936/12,I936-N936,-L936),0))</f>
        <v/>
      </c>
      <c r="P936" s="40">
        <f>MIN(I936,M936)*L936-N936*L936</f>
        <v/>
      </c>
      <c r="Q936" s="41">
        <f>INDEX(DPD_Bucket,MATCH(K936,DPD_From,1))</f>
        <v/>
      </c>
      <c r="R936" s="41">
        <f>INDEX(DPD_Class,MATCH(K936,DPD_From,1))</f>
        <v/>
      </c>
      <c r="S936" s="41">
        <f>INDEX(DPD_NPA,MATCH(K936,DPD_From,1))</f>
        <v/>
      </c>
      <c r="T936" s="42">
        <f>INDEX(DPD_Prov,MATCH(K936,DPD_From,1))</f>
        <v/>
      </c>
      <c r="U936" s="40">
        <f>ROUND(O936*T936,0)</f>
        <v/>
      </c>
      <c r="V936" s="41">
        <f>INDEX(CIBIL_Grade,MATCH(J936,CIBIL_From,1))</f>
        <v/>
      </c>
      <c r="W936" s="41">
        <f>YEAR(F936)&amp;"-Q"&amp;ROUNDUP(MONTH(F936)/3,0)</f>
        <v/>
      </c>
      <c r="X936" s="41">
        <f>IF(AND(OR(Dashboard!$C$4="All",D936=Dashboard!$C$4),OR(Dashboard!$C$5="All",E936=Dashboard!$C$5)),1,0)</f>
        <v/>
      </c>
      <c r="Y936" s="43">
        <f>IF(AND(X936=1,S936="Yes"),O936+ROW()/1000000,0)</f>
        <v/>
      </c>
    </row>
    <row r="937">
      <c r="A937" s="35" t="inlineStr">
        <is>
          <t>LN100936</t>
        </is>
      </c>
      <c r="B937" s="35" t="inlineStr">
        <is>
          <t>Aarav Nair</t>
        </is>
      </c>
      <c r="C937" s="35" t="inlineStr">
        <is>
          <t>GUW-01</t>
        </is>
      </c>
      <c r="D937" s="36">
        <f>INDEX(Branches!$C$2:$C$15,MATCH(C937,Branches!$A$2:$A$15,0))</f>
        <v/>
      </c>
      <c r="E937" s="35" t="inlineStr">
        <is>
          <t>Business Loan</t>
        </is>
      </c>
      <c r="F937" s="37" t="n">
        <v>45969</v>
      </c>
      <c r="G937" s="38" t="n">
        <v>561000</v>
      </c>
      <c r="H937" s="39" t="n">
        <v>0.1881</v>
      </c>
      <c r="I937" s="35" t="n">
        <v>12</v>
      </c>
      <c r="J937" s="35" t="n">
        <v>743</v>
      </c>
      <c r="K937" s="35" t="n">
        <v>0</v>
      </c>
      <c r="L937" s="40">
        <f>ROUND(PMT(H937/12,I937,-G937),0)</f>
        <v/>
      </c>
      <c r="M937" s="41">
        <f>MAX(0,(YEAR(AsOfDate)-YEAR(F937))*12+MONTH(AsOfDate)-MONTH(F937))</f>
        <v/>
      </c>
      <c r="N937" s="41">
        <f>MAX(0,MIN(I937,M937)-INT(K937/30))</f>
        <v/>
      </c>
      <c r="O937" s="40">
        <f>IF(N937&gt;=I937,0,ROUND(PV(H937/12,I937-N937,-L937),0))</f>
        <v/>
      </c>
      <c r="P937" s="40">
        <f>MIN(I937,M937)*L937-N937*L937</f>
        <v/>
      </c>
      <c r="Q937" s="41">
        <f>INDEX(DPD_Bucket,MATCH(K937,DPD_From,1))</f>
        <v/>
      </c>
      <c r="R937" s="41">
        <f>INDEX(DPD_Class,MATCH(K937,DPD_From,1))</f>
        <v/>
      </c>
      <c r="S937" s="41">
        <f>INDEX(DPD_NPA,MATCH(K937,DPD_From,1))</f>
        <v/>
      </c>
      <c r="T937" s="42">
        <f>INDEX(DPD_Prov,MATCH(K937,DPD_From,1))</f>
        <v/>
      </c>
      <c r="U937" s="40">
        <f>ROUND(O937*T937,0)</f>
        <v/>
      </c>
      <c r="V937" s="41">
        <f>INDEX(CIBIL_Grade,MATCH(J937,CIBIL_From,1))</f>
        <v/>
      </c>
      <c r="W937" s="41">
        <f>YEAR(F937)&amp;"-Q"&amp;ROUNDUP(MONTH(F937)/3,0)</f>
        <v/>
      </c>
      <c r="X937" s="41">
        <f>IF(AND(OR(Dashboard!$C$4="All",D937=Dashboard!$C$4),OR(Dashboard!$C$5="All",E937=Dashboard!$C$5)),1,0)</f>
        <v/>
      </c>
      <c r="Y937" s="43">
        <f>IF(AND(X937=1,S937="Yes"),O937+ROW()/1000000,0)</f>
        <v/>
      </c>
    </row>
    <row r="938">
      <c r="A938" s="35" t="inlineStr">
        <is>
          <t>LN100937</t>
        </is>
      </c>
      <c r="B938" s="35" t="inlineStr">
        <is>
          <t>Suresh Sharma</t>
        </is>
      </c>
      <c r="C938" s="35" t="inlineStr">
        <is>
          <t>PAT-01</t>
        </is>
      </c>
      <c r="D938" s="36">
        <f>INDEX(Branches!$C$2:$C$15,MATCH(C938,Branches!$A$2:$A$15,0))</f>
        <v/>
      </c>
      <c r="E938" s="35" t="inlineStr">
        <is>
          <t>Gold Loan</t>
        </is>
      </c>
      <c r="F938" s="37" t="n">
        <v>45665</v>
      </c>
      <c r="G938" s="38" t="n">
        <v>485000</v>
      </c>
      <c r="H938" s="39" t="n">
        <v>0.1187</v>
      </c>
      <c r="I938" s="35" t="n">
        <v>6</v>
      </c>
      <c r="J938" s="35" t="n">
        <v>740</v>
      </c>
      <c r="K938" s="35" t="n">
        <v>0</v>
      </c>
      <c r="L938" s="40">
        <f>ROUND(PMT(H938/12,I938,-G938),0)</f>
        <v/>
      </c>
      <c r="M938" s="41">
        <f>MAX(0,(YEAR(AsOfDate)-YEAR(F938))*12+MONTH(AsOfDate)-MONTH(F938))</f>
        <v/>
      </c>
      <c r="N938" s="41">
        <f>MAX(0,MIN(I938,M938)-INT(K938/30))</f>
        <v/>
      </c>
      <c r="O938" s="40">
        <f>IF(N938&gt;=I938,0,ROUND(PV(H938/12,I938-N938,-L938),0))</f>
        <v/>
      </c>
      <c r="P938" s="40">
        <f>MIN(I938,M938)*L938-N938*L938</f>
        <v/>
      </c>
      <c r="Q938" s="41">
        <f>INDEX(DPD_Bucket,MATCH(K938,DPD_From,1))</f>
        <v/>
      </c>
      <c r="R938" s="41">
        <f>INDEX(DPD_Class,MATCH(K938,DPD_From,1))</f>
        <v/>
      </c>
      <c r="S938" s="41">
        <f>INDEX(DPD_NPA,MATCH(K938,DPD_From,1))</f>
        <v/>
      </c>
      <c r="T938" s="42">
        <f>INDEX(DPD_Prov,MATCH(K938,DPD_From,1))</f>
        <v/>
      </c>
      <c r="U938" s="40">
        <f>ROUND(O938*T938,0)</f>
        <v/>
      </c>
      <c r="V938" s="41">
        <f>INDEX(CIBIL_Grade,MATCH(J938,CIBIL_From,1))</f>
        <v/>
      </c>
      <c r="W938" s="41">
        <f>YEAR(F938)&amp;"-Q"&amp;ROUNDUP(MONTH(F938)/3,0)</f>
        <v/>
      </c>
      <c r="X938" s="41">
        <f>IF(AND(OR(Dashboard!$C$4="All",D938=Dashboard!$C$4),OR(Dashboard!$C$5="All",E938=Dashboard!$C$5)),1,0)</f>
        <v/>
      </c>
      <c r="Y938" s="43">
        <f>IF(AND(X938=1,S938="Yes"),O938+ROW()/1000000,0)</f>
        <v/>
      </c>
    </row>
    <row r="939">
      <c r="A939" s="35" t="inlineStr">
        <is>
          <t>LN100938</t>
        </is>
      </c>
      <c r="B939" s="35" t="inlineStr">
        <is>
          <t>Aditya Das</t>
        </is>
      </c>
      <c r="C939" s="35" t="inlineStr">
        <is>
          <t>HYD-01</t>
        </is>
      </c>
      <c r="D939" s="36">
        <f>INDEX(Branches!$C$2:$C$15,MATCH(C939,Branches!$A$2:$A$15,0))</f>
        <v/>
      </c>
      <c r="E939" s="35" t="inlineStr">
        <is>
          <t>Home Loan</t>
        </is>
      </c>
      <c r="F939" s="37" t="n">
        <v>45480</v>
      </c>
      <c r="G939" s="38" t="n">
        <v>8246000</v>
      </c>
      <c r="H939" s="39" t="n">
        <v>0.0919</v>
      </c>
      <c r="I939" s="35" t="n">
        <v>240</v>
      </c>
      <c r="J939" s="35" t="n">
        <v>691</v>
      </c>
      <c r="K939" s="35" t="n">
        <v>0</v>
      </c>
      <c r="L939" s="40">
        <f>ROUND(PMT(H939/12,I939,-G939),0)</f>
        <v/>
      </c>
      <c r="M939" s="41">
        <f>MAX(0,(YEAR(AsOfDate)-YEAR(F939))*12+MONTH(AsOfDate)-MONTH(F939))</f>
        <v/>
      </c>
      <c r="N939" s="41">
        <f>MAX(0,MIN(I939,M939)-INT(K939/30))</f>
        <v/>
      </c>
      <c r="O939" s="40">
        <f>IF(N939&gt;=I939,0,ROUND(PV(H939/12,I939-N939,-L939),0))</f>
        <v/>
      </c>
      <c r="P939" s="40">
        <f>MIN(I939,M939)*L939-N939*L939</f>
        <v/>
      </c>
      <c r="Q939" s="41">
        <f>INDEX(DPD_Bucket,MATCH(K939,DPD_From,1))</f>
        <v/>
      </c>
      <c r="R939" s="41">
        <f>INDEX(DPD_Class,MATCH(K939,DPD_From,1))</f>
        <v/>
      </c>
      <c r="S939" s="41">
        <f>INDEX(DPD_NPA,MATCH(K939,DPD_From,1))</f>
        <v/>
      </c>
      <c r="T939" s="42">
        <f>INDEX(DPD_Prov,MATCH(K939,DPD_From,1))</f>
        <v/>
      </c>
      <c r="U939" s="40">
        <f>ROUND(O939*T939,0)</f>
        <v/>
      </c>
      <c r="V939" s="41">
        <f>INDEX(CIBIL_Grade,MATCH(J939,CIBIL_From,1))</f>
        <v/>
      </c>
      <c r="W939" s="41">
        <f>YEAR(F939)&amp;"-Q"&amp;ROUNDUP(MONTH(F939)/3,0)</f>
        <v/>
      </c>
      <c r="X939" s="41">
        <f>IF(AND(OR(Dashboard!$C$4="All",D939=Dashboard!$C$4),OR(Dashboard!$C$5="All",E939=Dashboard!$C$5)),1,0)</f>
        <v/>
      </c>
      <c r="Y939" s="43">
        <f>IF(AND(X939=1,S939="Yes"),O939+ROW()/1000000,0)</f>
        <v/>
      </c>
    </row>
    <row r="940">
      <c r="A940" s="35" t="inlineStr">
        <is>
          <t>LN100939</t>
        </is>
      </c>
      <c r="B940" s="35" t="inlineStr">
        <is>
          <t>Diya Nair</t>
        </is>
      </c>
      <c r="C940" s="35" t="inlineStr">
        <is>
          <t>LKO-01</t>
        </is>
      </c>
      <c r="D940" s="36">
        <f>INDEX(Branches!$C$2:$C$15,MATCH(C940,Branches!$A$2:$A$15,0))</f>
        <v/>
      </c>
      <c r="E940" s="35" t="inlineStr">
        <is>
          <t>Personal Loan</t>
        </is>
      </c>
      <c r="F940" s="37" t="n">
        <v>45544</v>
      </c>
      <c r="G940" s="38" t="n">
        <v>1341000</v>
      </c>
      <c r="H940" s="39" t="n">
        <v>0.1361</v>
      </c>
      <c r="I940" s="35" t="n">
        <v>24</v>
      </c>
      <c r="J940" s="35" t="n">
        <v>719</v>
      </c>
      <c r="K940" s="35" t="n">
        <v>101</v>
      </c>
      <c r="L940" s="40">
        <f>ROUND(PMT(H940/12,I940,-G940),0)</f>
        <v/>
      </c>
      <c r="M940" s="41">
        <f>MAX(0,(YEAR(AsOfDate)-YEAR(F940))*12+MONTH(AsOfDate)-MONTH(F940))</f>
        <v/>
      </c>
      <c r="N940" s="41">
        <f>MAX(0,MIN(I940,M940)-INT(K940/30))</f>
        <v/>
      </c>
      <c r="O940" s="40">
        <f>IF(N940&gt;=I940,0,ROUND(PV(H940/12,I940-N940,-L940),0))</f>
        <v/>
      </c>
      <c r="P940" s="40">
        <f>MIN(I940,M940)*L940-N940*L940</f>
        <v/>
      </c>
      <c r="Q940" s="41">
        <f>INDEX(DPD_Bucket,MATCH(K940,DPD_From,1))</f>
        <v/>
      </c>
      <c r="R940" s="41">
        <f>INDEX(DPD_Class,MATCH(K940,DPD_From,1))</f>
        <v/>
      </c>
      <c r="S940" s="41">
        <f>INDEX(DPD_NPA,MATCH(K940,DPD_From,1))</f>
        <v/>
      </c>
      <c r="T940" s="42">
        <f>INDEX(DPD_Prov,MATCH(K940,DPD_From,1))</f>
        <v/>
      </c>
      <c r="U940" s="40">
        <f>ROUND(O940*T940,0)</f>
        <v/>
      </c>
      <c r="V940" s="41">
        <f>INDEX(CIBIL_Grade,MATCH(J940,CIBIL_From,1))</f>
        <v/>
      </c>
      <c r="W940" s="41">
        <f>YEAR(F940)&amp;"-Q"&amp;ROUNDUP(MONTH(F940)/3,0)</f>
        <v/>
      </c>
      <c r="X940" s="41">
        <f>IF(AND(OR(Dashboard!$C$4="All",D940=Dashboard!$C$4),OR(Dashboard!$C$5="All",E940=Dashboard!$C$5)),1,0)</f>
        <v/>
      </c>
      <c r="Y940" s="43">
        <f>IF(AND(X940=1,S940="Yes"),O940+ROW()/1000000,0)</f>
        <v/>
      </c>
    </row>
    <row r="941">
      <c r="A941" s="35" t="inlineStr">
        <is>
          <t>LN100940</t>
        </is>
      </c>
      <c r="B941" s="35" t="inlineStr">
        <is>
          <t>Kavya Reddy</t>
        </is>
      </c>
      <c r="C941" s="35" t="inlineStr">
        <is>
          <t>PUN-01</t>
        </is>
      </c>
      <c r="D941" s="36">
        <f>INDEX(Branches!$C$2:$C$15,MATCH(C941,Branches!$A$2:$A$15,0))</f>
        <v/>
      </c>
      <c r="E941" s="35" t="inlineStr">
        <is>
          <t>Home Loan</t>
        </is>
      </c>
      <c r="F941" s="37" t="n">
        <v>46124</v>
      </c>
      <c r="G941" s="38" t="n">
        <v>10520000</v>
      </c>
      <c r="H941" s="39" t="n">
        <v>0.0872</v>
      </c>
      <c r="I941" s="35" t="n">
        <v>120</v>
      </c>
      <c r="J941" s="35" t="n">
        <v>762</v>
      </c>
      <c r="K941" s="35" t="n">
        <v>0</v>
      </c>
      <c r="L941" s="40">
        <f>ROUND(PMT(H941/12,I941,-G941),0)</f>
        <v/>
      </c>
      <c r="M941" s="41">
        <f>MAX(0,(YEAR(AsOfDate)-YEAR(F941))*12+MONTH(AsOfDate)-MONTH(F941))</f>
        <v/>
      </c>
      <c r="N941" s="41">
        <f>MAX(0,MIN(I941,M941)-INT(K941/30))</f>
        <v/>
      </c>
      <c r="O941" s="40">
        <f>IF(N941&gt;=I941,0,ROUND(PV(H941/12,I941-N941,-L941),0))</f>
        <v/>
      </c>
      <c r="P941" s="40">
        <f>MIN(I941,M941)*L941-N941*L941</f>
        <v/>
      </c>
      <c r="Q941" s="41">
        <f>INDEX(DPD_Bucket,MATCH(K941,DPD_From,1))</f>
        <v/>
      </c>
      <c r="R941" s="41">
        <f>INDEX(DPD_Class,MATCH(K941,DPD_From,1))</f>
        <v/>
      </c>
      <c r="S941" s="41">
        <f>INDEX(DPD_NPA,MATCH(K941,DPD_From,1))</f>
        <v/>
      </c>
      <c r="T941" s="42">
        <f>INDEX(DPD_Prov,MATCH(K941,DPD_From,1))</f>
        <v/>
      </c>
      <c r="U941" s="40">
        <f>ROUND(O941*T941,0)</f>
        <v/>
      </c>
      <c r="V941" s="41">
        <f>INDEX(CIBIL_Grade,MATCH(J941,CIBIL_From,1))</f>
        <v/>
      </c>
      <c r="W941" s="41">
        <f>YEAR(F941)&amp;"-Q"&amp;ROUNDUP(MONTH(F941)/3,0)</f>
        <v/>
      </c>
      <c r="X941" s="41">
        <f>IF(AND(OR(Dashboard!$C$4="All",D941=Dashboard!$C$4),OR(Dashboard!$C$5="All",E941=Dashboard!$C$5)),1,0)</f>
        <v/>
      </c>
      <c r="Y941" s="43">
        <f>IF(AND(X941=1,S941="Yes"),O941+ROW()/1000000,0)</f>
        <v/>
      </c>
    </row>
    <row r="942">
      <c r="A942" s="35" t="inlineStr">
        <is>
          <t>LN100941</t>
        </is>
      </c>
      <c r="B942" s="35" t="inlineStr">
        <is>
          <t>Suresh Reddy</t>
        </is>
      </c>
      <c r="C942" s="35" t="inlineStr">
        <is>
          <t>HYD-01</t>
        </is>
      </c>
      <c r="D942" s="36">
        <f>INDEX(Branches!$C$2:$C$15,MATCH(C942,Branches!$A$2:$A$15,0))</f>
        <v/>
      </c>
      <c r="E942" s="35" t="inlineStr">
        <is>
          <t>Business Loan</t>
        </is>
      </c>
      <c r="F942" s="37" t="n">
        <v>45943</v>
      </c>
      <c r="G942" s="38" t="n">
        <v>2429000</v>
      </c>
      <c r="H942" s="39" t="n">
        <v>0.1534</v>
      </c>
      <c r="I942" s="35" t="n">
        <v>60</v>
      </c>
      <c r="J942" s="35" t="n">
        <v>566</v>
      </c>
      <c r="K942" s="35" t="n">
        <v>10</v>
      </c>
      <c r="L942" s="40">
        <f>ROUND(PMT(H942/12,I942,-G942),0)</f>
        <v/>
      </c>
      <c r="M942" s="41">
        <f>MAX(0,(YEAR(AsOfDate)-YEAR(F942))*12+MONTH(AsOfDate)-MONTH(F942))</f>
        <v/>
      </c>
      <c r="N942" s="41">
        <f>MAX(0,MIN(I942,M942)-INT(K942/30))</f>
        <v/>
      </c>
      <c r="O942" s="40">
        <f>IF(N942&gt;=I942,0,ROUND(PV(H942/12,I942-N942,-L942),0))</f>
        <v/>
      </c>
      <c r="P942" s="40">
        <f>MIN(I942,M942)*L942-N942*L942</f>
        <v/>
      </c>
      <c r="Q942" s="41">
        <f>INDEX(DPD_Bucket,MATCH(K942,DPD_From,1))</f>
        <v/>
      </c>
      <c r="R942" s="41">
        <f>INDEX(DPD_Class,MATCH(K942,DPD_From,1))</f>
        <v/>
      </c>
      <c r="S942" s="41">
        <f>INDEX(DPD_NPA,MATCH(K942,DPD_From,1))</f>
        <v/>
      </c>
      <c r="T942" s="42">
        <f>INDEX(DPD_Prov,MATCH(K942,DPD_From,1))</f>
        <v/>
      </c>
      <c r="U942" s="40">
        <f>ROUND(O942*T942,0)</f>
        <v/>
      </c>
      <c r="V942" s="41">
        <f>INDEX(CIBIL_Grade,MATCH(J942,CIBIL_From,1))</f>
        <v/>
      </c>
      <c r="W942" s="41">
        <f>YEAR(F942)&amp;"-Q"&amp;ROUNDUP(MONTH(F942)/3,0)</f>
        <v/>
      </c>
      <c r="X942" s="41">
        <f>IF(AND(OR(Dashboard!$C$4="All",D942=Dashboard!$C$4),OR(Dashboard!$C$5="All",E942=Dashboard!$C$5)),1,0)</f>
        <v/>
      </c>
      <c r="Y942" s="43">
        <f>IF(AND(X942=1,S942="Yes"),O942+ROW()/1000000,0)</f>
        <v/>
      </c>
    </row>
    <row r="943">
      <c r="A943" s="35" t="inlineStr">
        <is>
          <t>LN100942</t>
        </is>
      </c>
      <c r="B943" s="35" t="inlineStr">
        <is>
          <t>Deepa Singh</t>
        </is>
      </c>
      <c r="C943" s="35" t="inlineStr">
        <is>
          <t>JAI-01</t>
        </is>
      </c>
      <c r="D943" s="36">
        <f>INDEX(Branches!$C$2:$C$15,MATCH(C943,Branches!$A$2:$A$15,0))</f>
        <v/>
      </c>
      <c r="E943" s="35" t="inlineStr">
        <is>
          <t>Home Loan</t>
        </is>
      </c>
      <c r="F943" s="37" t="n">
        <v>45866</v>
      </c>
      <c r="G943" s="38" t="n">
        <v>12628000</v>
      </c>
      <c r="H943" s="39" t="n">
        <v>0.08890000000000001</v>
      </c>
      <c r="I943" s="35" t="n">
        <v>180</v>
      </c>
      <c r="J943" s="35" t="n">
        <v>743</v>
      </c>
      <c r="K943" s="35" t="n">
        <v>0</v>
      </c>
      <c r="L943" s="40">
        <f>ROUND(PMT(H943/12,I943,-G943),0)</f>
        <v/>
      </c>
      <c r="M943" s="41">
        <f>MAX(0,(YEAR(AsOfDate)-YEAR(F943))*12+MONTH(AsOfDate)-MONTH(F943))</f>
        <v/>
      </c>
      <c r="N943" s="41">
        <f>MAX(0,MIN(I943,M943)-INT(K943/30))</f>
        <v/>
      </c>
      <c r="O943" s="40">
        <f>IF(N943&gt;=I943,0,ROUND(PV(H943/12,I943-N943,-L943),0))</f>
        <v/>
      </c>
      <c r="P943" s="40">
        <f>MIN(I943,M943)*L943-N943*L943</f>
        <v/>
      </c>
      <c r="Q943" s="41">
        <f>INDEX(DPD_Bucket,MATCH(K943,DPD_From,1))</f>
        <v/>
      </c>
      <c r="R943" s="41">
        <f>INDEX(DPD_Class,MATCH(K943,DPD_From,1))</f>
        <v/>
      </c>
      <c r="S943" s="41">
        <f>INDEX(DPD_NPA,MATCH(K943,DPD_From,1))</f>
        <v/>
      </c>
      <c r="T943" s="42">
        <f>INDEX(DPD_Prov,MATCH(K943,DPD_From,1))</f>
        <v/>
      </c>
      <c r="U943" s="40">
        <f>ROUND(O943*T943,0)</f>
        <v/>
      </c>
      <c r="V943" s="41">
        <f>INDEX(CIBIL_Grade,MATCH(J943,CIBIL_From,1))</f>
        <v/>
      </c>
      <c r="W943" s="41">
        <f>YEAR(F943)&amp;"-Q"&amp;ROUNDUP(MONTH(F943)/3,0)</f>
        <v/>
      </c>
      <c r="X943" s="41">
        <f>IF(AND(OR(Dashboard!$C$4="All",D943=Dashboard!$C$4),OR(Dashboard!$C$5="All",E943=Dashboard!$C$5)),1,0)</f>
        <v/>
      </c>
      <c r="Y943" s="43">
        <f>IF(AND(X943=1,S943="Yes"),O943+ROW()/1000000,0)</f>
        <v/>
      </c>
    </row>
    <row r="944">
      <c r="A944" s="35" t="inlineStr">
        <is>
          <t>LN100943</t>
        </is>
      </c>
      <c r="B944" s="35" t="inlineStr">
        <is>
          <t>Aditya Sharma</t>
        </is>
      </c>
      <c r="C944" s="35" t="inlineStr">
        <is>
          <t>GUW-01</t>
        </is>
      </c>
      <c r="D944" s="36">
        <f>INDEX(Branches!$C$2:$C$15,MATCH(C944,Branches!$A$2:$A$15,0))</f>
        <v/>
      </c>
      <c r="E944" s="35" t="inlineStr">
        <is>
          <t>Home Loan</t>
        </is>
      </c>
      <c r="F944" s="37" t="n">
        <v>45418</v>
      </c>
      <c r="G944" s="38" t="n">
        <v>14130000</v>
      </c>
      <c r="H944" s="39" t="n">
        <v>0.0861</v>
      </c>
      <c r="I944" s="35" t="n">
        <v>180</v>
      </c>
      <c r="J944" s="35" t="n">
        <v>826</v>
      </c>
      <c r="K944" s="35" t="n">
        <v>0</v>
      </c>
      <c r="L944" s="40">
        <f>ROUND(PMT(H944/12,I944,-G944),0)</f>
        <v/>
      </c>
      <c r="M944" s="41">
        <f>MAX(0,(YEAR(AsOfDate)-YEAR(F944))*12+MONTH(AsOfDate)-MONTH(F944))</f>
        <v/>
      </c>
      <c r="N944" s="41">
        <f>MAX(0,MIN(I944,M944)-INT(K944/30))</f>
        <v/>
      </c>
      <c r="O944" s="40">
        <f>IF(N944&gt;=I944,0,ROUND(PV(H944/12,I944-N944,-L944),0))</f>
        <v/>
      </c>
      <c r="P944" s="40">
        <f>MIN(I944,M944)*L944-N944*L944</f>
        <v/>
      </c>
      <c r="Q944" s="41">
        <f>INDEX(DPD_Bucket,MATCH(K944,DPD_From,1))</f>
        <v/>
      </c>
      <c r="R944" s="41">
        <f>INDEX(DPD_Class,MATCH(K944,DPD_From,1))</f>
        <v/>
      </c>
      <c r="S944" s="41">
        <f>INDEX(DPD_NPA,MATCH(K944,DPD_From,1))</f>
        <v/>
      </c>
      <c r="T944" s="42">
        <f>INDEX(DPD_Prov,MATCH(K944,DPD_From,1))</f>
        <v/>
      </c>
      <c r="U944" s="40">
        <f>ROUND(O944*T944,0)</f>
        <v/>
      </c>
      <c r="V944" s="41">
        <f>INDEX(CIBIL_Grade,MATCH(J944,CIBIL_From,1))</f>
        <v/>
      </c>
      <c r="W944" s="41">
        <f>YEAR(F944)&amp;"-Q"&amp;ROUNDUP(MONTH(F944)/3,0)</f>
        <v/>
      </c>
      <c r="X944" s="41">
        <f>IF(AND(OR(Dashboard!$C$4="All",D944=Dashboard!$C$4),OR(Dashboard!$C$5="All",E944=Dashboard!$C$5)),1,0)</f>
        <v/>
      </c>
      <c r="Y944" s="43">
        <f>IF(AND(X944=1,S944="Yes"),O944+ROW()/1000000,0)</f>
        <v/>
      </c>
    </row>
    <row r="945">
      <c r="A945" s="35" t="inlineStr">
        <is>
          <t>LN100944</t>
        </is>
      </c>
      <c r="B945" s="35" t="inlineStr">
        <is>
          <t>Zoya Pillai</t>
        </is>
      </c>
      <c r="C945" s="35" t="inlineStr">
        <is>
          <t>GUW-01</t>
        </is>
      </c>
      <c r="D945" s="36">
        <f>INDEX(Branches!$C$2:$C$15,MATCH(C945,Branches!$A$2:$A$15,0))</f>
        <v/>
      </c>
      <c r="E945" s="35" t="inlineStr">
        <is>
          <t>Personal Loan</t>
        </is>
      </c>
      <c r="F945" s="37" t="n">
        <v>45871</v>
      </c>
      <c r="G945" s="38" t="n">
        <v>194000</v>
      </c>
      <c r="H945" s="39" t="n">
        <v>0.1483</v>
      </c>
      <c r="I945" s="35" t="n">
        <v>36</v>
      </c>
      <c r="J945" s="35" t="n">
        <v>693</v>
      </c>
      <c r="K945" s="35" t="n">
        <v>0</v>
      </c>
      <c r="L945" s="40">
        <f>ROUND(PMT(H945/12,I945,-G945),0)</f>
        <v/>
      </c>
      <c r="M945" s="41">
        <f>MAX(0,(YEAR(AsOfDate)-YEAR(F945))*12+MONTH(AsOfDate)-MONTH(F945))</f>
        <v/>
      </c>
      <c r="N945" s="41">
        <f>MAX(0,MIN(I945,M945)-INT(K945/30))</f>
        <v/>
      </c>
      <c r="O945" s="40">
        <f>IF(N945&gt;=I945,0,ROUND(PV(H945/12,I945-N945,-L945),0))</f>
        <v/>
      </c>
      <c r="P945" s="40">
        <f>MIN(I945,M945)*L945-N945*L945</f>
        <v/>
      </c>
      <c r="Q945" s="41">
        <f>INDEX(DPD_Bucket,MATCH(K945,DPD_From,1))</f>
        <v/>
      </c>
      <c r="R945" s="41">
        <f>INDEX(DPD_Class,MATCH(K945,DPD_From,1))</f>
        <v/>
      </c>
      <c r="S945" s="41">
        <f>INDEX(DPD_NPA,MATCH(K945,DPD_From,1))</f>
        <v/>
      </c>
      <c r="T945" s="42">
        <f>INDEX(DPD_Prov,MATCH(K945,DPD_From,1))</f>
        <v/>
      </c>
      <c r="U945" s="40">
        <f>ROUND(O945*T945,0)</f>
        <v/>
      </c>
      <c r="V945" s="41">
        <f>INDEX(CIBIL_Grade,MATCH(J945,CIBIL_From,1))</f>
        <v/>
      </c>
      <c r="W945" s="41">
        <f>YEAR(F945)&amp;"-Q"&amp;ROUNDUP(MONTH(F945)/3,0)</f>
        <v/>
      </c>
      <c r="X945" s="41">
        <f>IF(AND(OR(Dashboard!$C$4="All",D945=Dashboard!$C$4),OR(Dashboard!$C$5="All",E945=Dashboard!$C$5)),1,0)</f>
        <v/>
      </c>
      <c r="Y945" s="43">
        <f>IF(AND(X945=1,S945="Yes"),O945+ROW()/1000000,0)</f>
        <v/>
      </c>
    </row>
    <row r="946">
      <c r="A946" s="35" t="inlineStr">
        <is>
          <t>LN100945</t>
        </is>
      </c>
      <c r="B946" s="35" t="inlineStr">
        <is>
          <t>Kavya Menon</t>
        </is>
      </c>
      <c r="C946" s="35" t="inlineStr">
        <is>
          <t>PUN-01</t>
        </is>
      </c>
      <c r="D946" s="36">
        <f>INDEX(Branches!$C$2:$C$15,MATCH(C946,Branches!$A$2:$A$15,0))</f>
        <v/>
      </c>
      <c r="E946" s="35" t="inlineStr">
        <is>
          <t>Gold Loan</t>
        </is>
      </c>
      <c r="F946" s="37" t="n">
        <v>45877</v>
      </c>
      <c r="G946" s="38" t="n">
        <v>272000</v>
      </c>
      <c r="H946" s="39" t="n">
        <v>0.1044</v>
      </c>
      <c r="I946" s="35" t="n">
        <v>12</v>
      </c>
      <c r="J946" s="35" t="n">
        <v>885</v>
      </c>
      <c r="K946" s="35" t="n">
        <v>0</v>
      </c>
      <c r="L946" s="40">
        <f>ROUND(PMT(H946/12,I946,-G946),0)</f>
        <v/>
      </c>
      <c r="M946" s="41">
        <f>MAX(0,(YEAR(AsOfDate)-YEAR(F946))*12+MONTH(AsOfDate)-MONTH(F946))</f>
        <v/>
      </c>
      <c r="N946" s="41">
        <f>MAX(0,MIN(I946,M946)-INT(K946/30))</f>
        <v/>
      </c>
      <c r="O946" s="40">
        <f>IF(N946&gt;=I946,0,ROUND(PV(H946/12,I946-N946,-L946),0))</f>
        <v/>
      </c>
      <c r="P946" s="40">
        <f>MIN(I946,M946)*L946-N946*L946</f>
        <v/>
      </c>
      <c r="Q946" s="41">
        <f>INDEX(DPD_Bucket,MATCH(K946,DPD_From,1))</f>
        <v/>
      </c>
      <c r="R946" s="41">
        <f>INDEX(DPD_Class,MATCH(K946,DPD_From,1))</f>
        <v/>
      </c>
      <c r="S946" s="41">
        <f>INDEX(DPD_NPA,MATCH(K946,DPD_From,1))</f>
        <v/>
      </c>
      <c r="T946" s="42">
        <f>INDEX(DPD_Prov,MATCH(K946,DPD_From,1))</f>
        <v/>
      </c>
      <c r="U946" s="40">
        <f>ROUND(O946*T946,0)</f>
        <v/>
      </c>
      <c r="V946" s="41">
        <f>INDEX(CIBIL_Grade,MATCH(J946,CIBIL_From,1))</f>
        <v/>
      </c>
      <c r="W946" s="41">
        <f>YEAR(F946)&amp;"-Q"&amp;ROUNDUP(MONTH(F946)/3,0)</f>
        <v/>
      </c>
      <c r="X946" s="41">
        <f>IF(AND(OR(Dashboard!$C$4="All",D946=Dashboard!$C$4),OR(Dashboard!$C$5="All",E946=Dashboard!$C$5)),1,0)</f>
        <v/>
      </c>
      <c r="Y946" s="43">
        <f>IF(AND(X946=1,S946="Yes"),O946+ROW()/1000000,0)</f>
        <v/>
      </c>
    </row>
    <row r="947">
      <c r="A947" s="35" t="inlineStr">
        <is>
          <t>LN100946</t>
        </is>
      </c>
      <c r="B947" s="35" t="inlineStr">
        <is>
          <t>Lakshmi Mohanty</t>
        </is>
      </c>
      <c r="C947" s="35" t="inlineStr">
        <is>
          <t>AMD-01</t>
        </is>
      </c>
      <c r="D947" s="36">
        <f>INDEX(Branches!$C$2:$C$15,MATCH(C947,Branches!$A$2:$A$15,0))</f>
        <v/>
      </c>
      <c r="E947" s="35" t="inlineStr">
        <is>
          <t>Gold Loan</t>
        </is>
      </c>
      <c r="F947" s="37" t="n">
        <v>45890</v>
      </c>
      <c r="G947" s="38" t="n">
        <v>238000</v>
      </c>
      <c r="H947" s="39" t="n">
        <v>0.1049</v>
      </c>
      <c r="I947" s="35" t="n">
        <v>12</v>
      </c>
      <c r="J947" s="35" t="n">
        <v>830</v>
      </c>
      <c r="K947" s="35" t="n">
        <v>0</v>
      </c>
      <c r="L947" s="40">
        <f>ROUND(PMT(H947/12,I947,-G947),0)</f>
        <v/>
      </c>
      <c r="M947" s="41">
        <f>MAX(0,(YEAR(AsOfDate)-YEAR(F947))*12+MONTH(AsOfDate)-MONTH(F947))</f>
        <v/>
      </c>
      <c r="N947" s="41">
        <f>MAX(0,MIN(I947,M947)-INT(K947/30))</f>
        <v/>
      </c>
      <c r="O947" s="40">
        <f>IF(N947&gt;=I947,0,ROUND(PV(H947/12,I947-N947,-L947),0))</f>
        <v/>
      </c>
      <c r="P947" s="40">
        <f>MIN(I947,M947)*L947-N947*L947</f>
        <v/>
      </c>
      <c r="Q947" s="41">
        <f>INDEX(DPD_Bucket,MATCH(K947,DPD_From,1))</f>
        <v/>
      </c>
      <c r="R947" s="41">
        <f>INDEX(DPD_Class,MATCH(K947,DPD_From,1))</f>
        <v/>
      </c>
      <c r="S947" s="41">
        <f>INDEX(DPD_NPA,MATCH(K947,DPD_From,1))</f>
        <v/>
      </c>
      <c r="T947" s="42">
        <f>INDEX(DPD_Prov,MATCH(K947,DPD_From,1))</f>
        <v/>
      </c>
      <c r="U947" s="40">
        <f>ROUND(O947*T947,0)</f>
        <v/>
      </c>
      <c r="V947" s="41">
        <f>INDEX(CIBIL_Grade,MATCH(J947,CIBIL_From,1))</f>
        <v/>
      </c>
      <c r="W947" s="41">
        <f>YEAR(F947)&amp;"-Q"&amp;ROUNDUP(MONTH(F947)/3,0)</f>
        <v/>
      </c>
      <c r="X947" s="41">
        <f>IF(AND(OR(Dashboard!$C$4="All",D947=Dashboard!$C$4),OR(Dashboard!$C$5="All",E947=Dashboard!$C$5)),1,0)</f>
        <v/>
      </c>
      <c r="Y947" s="43">
        <f>IF(AND(X947=1,S947="Yes"),O947+ROW()/1000000,0)</f>
        <v/>
      </c>
    </row>
    <row r="948">
      <c r="A948" s="35" t="inlineStr">
        <is>
          <t>LN100947</t>
        </is>
      </c>
      <c r="B948" s="35" t="inlineStr">
        <is>
          <t>Karthik Mohanty</t>
        </is>
      </c>
      <c r="C948" s="35" t="inlineStr">
        <is>
          <t>BBS-01</t>
        </is>
      </c>
      <c r="D948" s="36">
        <f>INDEX(Branches!$C$2:$C$15,MATCH(C948,Branches!$A$2:$A$15,0))</f>
        <v/>
      </c>
      <c r="E948" s="35" t="inlineStr">
        <is>
          <t>Personal Loan</t>
        </is>
      </c>
      <c r="F948" s="37" t="n">
        <v>45702</v>
      </c>
      <c r="G948" s="38" t="n">
        <v>222000</v>
      </c>
      <c r="H948" s="39" t="n">
        <v>0.1321</v>
      </c>
      <c r="I948" s="35" t="n">
        <v>60</v>
      </c>
      <c r="J948" s="35" t="n">
        <v>680</v>
      </c>
      <c r="K948" s="35" t="n">
        <v>0</v>
      </c>
      <c r="L948" s="40">
        <f>ROUND(PMT(H948/12,I948,-G948),0)</f>
        <v/>
      </c>
      <c r="M948" s="41">
        <f>MAX(0,(YEAR(AsOfDate)-YEAR(F948))*12+MONTH(AsOfDate)-MONTH(F948))</f>
        <v/>
      </c>
      <c r="N948" s="41">
        <f>MAX(0,MIN(I948,M948)-INT(K948/30))</f>
        <v/>
      </c>
      <c r="O948" s="40">
        <f>IF(N948&gt;=I948,0,ROUND(PV(H948/12,I948-N948,-L948),0))</f>
        <v/>
      </c>
      <c r="P948" s="40">
        <f>MIN(I948,M948)*L948-N948*L948</f>
        <v/>
      </c>
      <c r="Q948" s="41">
        <f>INDEX(DPD_Bucket,MATCH(K948,DPD_From,1))</f>
        <v/>
      </c>
      <c r="R948" s="41">
        <f>INDEX(DPD_Class,MATCH(K948,DPD_From,1))</f>
        <v/>
      </c>
      <c r="S948" s="41">
        <f>INDEX(DPD_NPA,MATCH(K948,DPD_From,1))</f>
        <v/>
      </c>
      <c r="T948" s="42">
        <f>INDEX(DPD_Prov,MATCH(K948,DPD_From,1))</f>
        <v/>
      </c>
      <c r="U948" s="40">
        <f>ROUND(O948*T948,0)</f>
        <v/>
      </c>
      <c r="V948" s="41">
        <f>INDEX(CIBIL_Grade,MATCH(J948,CIBIL_From,1))</f>
        <v/>
      </c>
      <c r="W948" s="41">
        <f>YEAR(F948)&amp;"-Q"&amp;ROUNDUP(MONTH(F948)/3,0)</f>
        <v/>
      </c>
      <c r="X948" s="41">
        <f>IF(AND(OR(Dashboard!$C$4="All",D948=Dashboard!$C$4),OR(Dashboard!$C$5="All",E948=Dashboard!$C$5)),1,0)</f>
        <v/>
      </c>
      <c r="Y948" s="43">
        <f>IF(AND(X948=1,S948="Yes"),O948+ROW()/1000000,0)</f>
        <v/>
      </c>
    </row>
    <row r="949">
      <c r="A949" s="35" t="inlineStr">
        <is>
          <t>LN100948</t>
        </is>
      </c>
      <c r="B949" s="35" t="inlineStr">
        <is>
          <t>Sai Nair</t>
        </is>
      </c>
      <c r="C949" s="35" t="inlineStr">
        <is>
          <t>BLR-01</t>
        </is>
      </c>
      <c r="D949" s="36">
        <f>INDEX(Branches!$C$2:$C$15,MATCH(C949,Branches!$A$2:$A$15,0))</f>
        <v/>
      </c>
      <c r="E949" s="35" t="inlineStr">
        <is>
          <t>Home Loan</t>
        </is>
      </c>
      <c r="F949" s="37" t="n">
        <v>45431</v>
      </c>
      <c r="G949" s="38" t="n">
        <v>13848000</v>
      </c>
      <c r="H949" s="39" t="n">
        <v>0.0891</v>
      </c>
      <c r="I949" s="35" t="n">
        <v>120</v>
      </c>
      <c r="J949" s="35" t="n">
        <v>783</v>
      </c>
      <c r="K949" s="35" t="n">
        <v>0</v>
      </c>
      <c r="L949" s="40">
        <f>ROUND(PMT(H949/12,I949,-G949),0)</f>
        <v/>
      </c>
      <c r="M949" s="41">
        <f>MAX(0,(YEAR(AsOfDate)-YEAR(F949))*12+MONTH(AsOfDate)-MONTH(F949))</f>
        <v/>
      </c>
      <c r="N949" s="41">
        <f>MAX(0,MIN(I949,M949)-INT(K949/30))</f>
        <v/>
      </c>
      <c r="O949" s="40">
        <f>IF(N949&gt;=I949,0,ROUND(PV(H949/12,I949-N949,-L949),0))</f>
        <v/>
      </c>
      <c r="P949" s="40">
        <f>MIN(I949,M949)*L949-N949*L949</f>
        <v/>
      </c>
      <c r="Q949" s="41">
        <f>INDEX(DPD_Bucket,MATCH(K949,DPD_From,1))</f>
        <v/>
      </c>
      <c r="R949" s="41">
        <f>INDEX(DPD_Class,MATCH(K949,DPD_From,1))</f>
        <v/>
      </c>
      <c r="S949" s="41">
        <f>INDEX(DPD_NPA,MATCH(K949,DPD_From,1))</f>
        <v/>
      </c>
      <c r="T949" s="42">
        <f>INDEX(DPD_Prov,MATCH(K949,DPD_From,1))</f>
        <v/>
      </c>
      <c r="U949" s="40">
        <f>ROUND(O949*T949,0)</f>
        <v/>
      </c>
      <c r="V949" s="41">
        <f>INDEX(CIBIL_Grade,MATCH(J949,CIBIL_From,1))</f>
        <v/>
      </c>
      <c r="W949" s="41">
        <f>YEAR(F949)&amp;"-Q"&amp;ROUNDUP(MONTH(F949)/3,0)</f>
        <v/>
      </c>
      <c r="X949" s="41">
        <f>IF(AND(OR(Dashboard!$C$4="All",D949=Dashboard!$C$4),OR(Dashboard!$C$5="All",E949=Dashboard!$C$5)),1,0)</f>
        <v/>
      </c>
      <c r="Y949" s="43">
        <f>IF(AND(X949=1,S949="Yes"),O949+ROW()/1000000,0)</f>
        <v/>
      </c>
    </row>
    <row r="950">
      <c r="A950" s="35" t="inlineStr">
        <is>
          <t>LN100949</t>
        </is>
      </c>
      <c r="B950" s="35" t="inlineStr">
        <is>
          <t>Harsh Khan</t>
        </is>
      </c>
      <c r="C950" s="35" t="inlineStr">
        <is>
          <t>KOC-01</t>
        </is>
      </c>
      <c r="D950" s="36">
        <f>INDEX(Branches!$C$2:$C$15,MATCH(C950,Branches!$A$2:$A$15,0))</f>
        <v/>
      </c>
      <c r="E950" s="35" t="inlineStr">
        <is>
          <t>Business Loan</t>
        </is>
      </c>
      <c r="F950" s="37" t="n">
        <v>45570</v>
      </c>
      <c r="G950" s="38" t="n">
        <v>1448000</v>
      </c>
      <c r="H950" s="39" t="n">
        <v>0.1457</v>
      </c>
      <c r="I950" s="35" t="n">
        <v>24</v>
      </c>
      <c r="J950" s="35" t="n">
        <v>633</v>
      </c>
      <c r="K950" s="35" t="n">
        <v>0</v>
      </c>
      <c r="L950" s="40">
        <f>ROUND(PMT(H950/12,I950,-G950),0)</f>
        <v/>
      </c>
      <c r="M950" s="41">
        <f>MAX(0,(YEAR(AsOfDate)-YEAR(F950))*12+MONTH(AsOfDate)-MONTH(F950))</f>
        <v/>
      </c>
      <c r="N950" s="41">
        <f>MAX(0,MIN(I950,M950)-INT(K950/30))</f>
        <v/>
      </c>
      <c r="O950" s="40">
        <f>IF(N950&gt;=I950,0,ROUND(PV(H950/12,I950-N950,-L950),0))</f>
        <v/>
      </c>
      <c r="P950" s="40">
        <f>MIN(I950,M950)*L950-N950*L950</f>
        <v/>
      </c>
      <c r="Q950" s="41">
        <f>INDEX(DPD_Bucket,MATCH(K950,DPD_From,1))</f>
        <v/>
      </c>
      <c r="R950" s="41">
        <f>INDEX(DPD_Class,MATCH(K950,DPD_From,1))</f>
        <v/>
      </c>
      <c r="S950" s="41">
        <f>INDEX(DPD_NPA,MATCH(K950,DPD_From,1))</f>
        <v/>
      </c>
      <c r="T950" s="42">
        <f>INDEX(DPD_Prov,MATCH(K950,DPD_From,1))</f>
        <v/>
      </c>
      <c r="U950" s="40">
        <f>ROUND(O950*T950,0)</f>
        <v/>
      </c>
      <c r="V950" s="41">
        <f>INDEX(CIBIL_Grade,MATCH(J950,CIBIL_From,1))</f>
        <v/>
      </c>
      <c r="W950" s="41">
        <f>YEAR(F950)&amp;"-Q"&amp;ROUNDUP(MONTH(F950)/3,0)</f>
        <v/>
      </c>
      <c r="X950" s="41">
        <f>IF(AND(OR(Dashboard!$C$4="All",D950=Dashboard!$C$4),OR(Dashboard!$C$5="All",E950=Dashboard!$C$5)),1,0)</f>
        <v/>
      </c>
      <c r="Y950" s="43">
        <f>IF(AND(X950=1,S950="Yes"),O950+ROW()/1000000,0)</f>
        <v/>
      </c>
    </row>
    <row r="951">
      <c r="A951" s="35" t="inlineStr">
        <is>
          <t>LN100950</t>
        </is>
      </c>
      <c r="B951" s="35" t="inlineStr">
        <is>
          <t>Aarav Khan</t>
        </is>
      </c>
      <c r="C951" s="35" t="inlineStr">
        <is>
          <t>PUN-01</t>
        </is>
      </c>
      <c r="D951" s="36">
        <f>INDEX(Branches!$C$2:$C$15,MATCH(C951,Branches!$A$2:$A$15,0))</f>
        <v/>
      </c>
      <c r="E951" s="35" t="inlineStr">
        <is>
          <t>Business Loan</t>
        </is>
      </c>
      <c r="F951" s="37" t="n">
        <v>45880</v>
      </c>
      <c r="G951" s="38" t="n">
        <v>743000</v>
      </c>
      <c r="H951" s="39" t="n">
        <v>0.1374</v>
      </c>
      <c r="I951" s="35" t="n">
        <v>12</v>
      </c>
      <c r="J951" s="35" t="n">
        <v>760</v>
      </c>
      <c r="K951" s="35" t="n">
        <v>0</v>
      </c>
      <c r="L951" s="40">
        <f>ROUND(PMT(H951/12,I951,-G951),0)</f>
        <v/>
      </c>
      <c r="M951" s="41">
        <f>MAX(0,(YEAR(AsOfDate)-YEAR(F951))*12+MONTH(AsOfDate)-MONTH(F951))</f>
        <v/>
      </c>
      <c r="N951" s="41">
        <f>MAX(0,MIN(I951,M951)-INT(K951/30))</f>
        <v/>
      </c>
      <c r="O951" s="40">
        <f>IF(N951&gt;=I951,0,ROUND(PV(H951/12,I951-N951,-L951),0))</f>
        <v/>
      </c>
      <c r="P951" s="40">
        <f>MIN(I951,M951)*L951-N951*L951</f>
        <v/>
      </c>
      <c r="Q951" s="41">
        <f>INDEX(DPD_Bucket,MATCH(K951,DPD_From,1))</f>
        <v/>
      </c>
      <c r="R951" s="41">
        <f>INDEX(DPD_Class,MATCH(K951,DPD_From,1))</f>
        <v/>
      </c>
      <c r="S951" s="41">
        <f>INDEX(DPD_NPA,MATCH(K951,DPD_From,1))</f>
        <v/>
      </c>
      <c r="T951" s="42">
        <f>INDEX(DPD_Prov,MATCH(K951,DPD_From,1))</f>
        <v/>
      </c>
      <c r="U951" s="40">
        <f>ROUND(O951*T951,0)</f>
        <v/>
      </c>
      <c r="V951" s="41">
        <f>INDEX(CIBIL_Grade,MATCH(J951,CIBIL_From,1))</f>
        <v/>
      </c>
      <c r="W951" s="41">
        <f>YEAR(F951)&amp;"-Q"&amp;ROUNDUP(MONTH(F951)/3,0)</f>
        <v/>
      </c>
      <c r="X951" s="41">
        <f>IF(AND(OR(Dashboard!$C$4="All",D951=Dashboard!$C$4),OR(Dashboard!$C$5="All",E951=Dashboard!$C$5)),1,0)</f>
        <v/>
      </c>
      <c r="Y951" s="43">
        <f>IF(AND(X951=1,S951="Yes"),O951+ROW()/1000000,0)</f>
        <v/>
      </c>
    </row>
    <row r="952">
      <c r="A952" s="35" t="inlineStr">
        <is>
          <t>LN100951</t>
        </is>
      </c>
      <c r="B952" s="35" t="inlineStr">
        <is>
          <t>Sai Chatterjee</t>
        </is>
      </c>
      <c r="C952" s="35" t="inlineStr">
        <is>
          <t>BBS-01</t>
        </is>
      </c>
      <c r="D952" s="36">
        <f>INDEX(Branches!$C$2:$C$15,MATCH(C952,Branches!$A$2:$A$15,0))</f>
        <v/>
      </c>
      <c r="E952" s="35" t="inlineStr">
        <is>
          <t>Personal Loan</t>
        </is>
      </c>
      <c r="F952" s="37" t="n">
        <v>45850</v>
      </c>
      <c r="G952" s="38" t="n">
        <v>1428000</v>
      </c>
      <c r="H952" s="39" t="n">
        <v>0.1403</v>
      </c>
      <c r="I952" s="35" t="n">
        <v>48</v>
      </c>
      <c r="J952" s="35" t="n">
        <v>786</v>
      </c>
      <c r="K952" s="35" t="n">
        <v>315</v>
      </c>
      <c r="L952" s="40">
        <f>ROUND(PMT(H952/12,I952,-G952),0)</f>
        <v/>
      </c>
      <c r="M952" s="41">
        <f>MAX(0,(YEAR(AsOfDate)-YEAR(F952))*12+MONTH(AsOfDate)-MONTH(F952))</f>
        <v/>
      </c>
      <c r="N952" s="41">
        <f>MAX(0,MIN(I952,M952)-INT(K952/30))</f>
        <v/>
      </c>
      <c r="O952" s="40">
        <f>IF(N952&gt;=I952,0,ROUND(PV(H952/12,I952-N952,-L952),0))</f>
        <v/>
      </c>
      <c r="P952" s="40">
        <f>MIN(I952,M952)*L952-N952*L952</f>
        <v/>
      </c>
      <c r="Q952" s="41">
        <f>INDEX(DPD_Bucket,MATCH(K952,DPD_From,1))</f>
        <v/>
      </c>
      <c r="R952" s="41">
        <f>INDEX(DPD_Class,MATCH(K952,DPD_From,1))</f>
        <v/>
      </c>
      <c r="S952" s="41">
        <f>INDEX(DPD_NPA,MATCH(K952,DPD_From,1))</f>
        <v/>
      </c>
      <c r="T952" s="42">
        <f>INDEX(DPD_Prov,MATCH(K952,DPD_From,1))</f>
        <v/>
      </c>
      <c r="U952" s="40">
        <f>ROUND(O952*T952,0)</f>
        <v/>
      </c>
      <c r="V952" s="41">
        <f>INDEX(CIBIL_Grade,MATCH(J952,CIBIL_From,1))</f>
        <v/>
      </c>
      <c r="W952" s="41">
        <f>YEAR(F952)&amp;"-Q"&amp;ROUNDUP(MONTH(F952)/3,0)</f>
        <v/>
      </c>
      <c r="X952" s="41">
        <f>IF(AND(OR(Dashboard!$C$4="All",D952=Dashboard!$C$4),OR(Dashboard!$C$5="All",E952=Dashboard!$C$5)),1,0)</f>
        <v/>
      </c>
      <c r="Y952" s="43">
        <f>IF(AND(X952=1,S952="Yes"),O952+ROW()/1000000,0)</f>
        <v/>
      </c>
    </row>
    <row r="953">
      <c r="A953" s="35" t="inlineStr">
        <is>
          <t>LN100952</t>
        </is>
      </c>
      <c r="B953" s="35" t="inlineStr">
        <is>
          <t>Sai Verma</t>
        </is>
      </c>
      <c r="C953" s="35" t="inlineStr">
        <is>
          <t>KOL-01</t>
        </is>
      </c>
      <c r="D953" s="36">
        <f>INDEX(Branches!$C$2:$C$15,MATCH(C953,Branches!$A$2:$A$15,0))</f>
        <v/>
      </c>
      <c r="E953" s="35" t="inlineStr">
        <is>
          <t>Business Loan</t>
        </is>
      </c>
      <c r="F953" s="37" t="n">
        <v>46146</v>
      </c>
      <c r="G953" s="38" t="n">
        <v>645000</v>
      </c>
      <c r="H953" s="39" t="n">
        <v>0.1826</v>
      </c>
      <c r="I953" s="35" t="n">
        <v>60</v>
      </c>
      <c r="J953" s="35" t="n">
        <v>744</v>
      </c>
      <c r="K953" s="35" t="n">
        <v>0</v>
      </c>
      <c r="L953" s="40">
        <f>ROUND(PMT(H953/12,I953,-G953),0)</f>
        <v/>
      </c>
      <c r="M953" s="41">
        <f>MAX(0,(YEAR(AsOfDate)-YEAR(F953))*12+MONTH(AsOfDate)-MONTH(F953))</f>
        <v/>
      </c>
      <c r="N953" s="41">
        <f>MAX(0,MIN(I953,M953)-INT(K953/30))</f>
        <v/>
      </c>
      <c r="O953" s="40">
        <f>IF(N953&gt;=I953,0,ROUND(PV(H953/12,I953-N953,-L953),0))</f>
        <v/>
      </c>
      <c r="P953" s="40">
        <f>MIN(I953,M953)*L953-N953*L953</f>
        <v/>
      </c>
      <c r="Q953" s="41">
        <f>INDEX(DPD_Bucket,MATCH(K953,DPD_From,1))</f>
        <v/>
      </c>
      <c r="R953" s="41">
        <f>INDEX(DPD_Class,MATCH(K953,DPD_From,1))</f>
        <v/>
      </c>
      <c r="S953" s="41">
        <f>INDEX(DPD_NPA,MATCH(K953,DPD_From,1))</f>
        <v/>
      </c>
      <c r="T953" s="42">
        <f>INDEX(DPD_Prov,MATCH(K953,DPD_From,1))</f>
        <v/>
      </c>
      <c r="U953" s="40">
        <f>ROUND(O953*T953,0)</f>
        <v/>
      </c>
      <c r="V953" s="41">
        <f>INDEX(CIBIL_Grade,MATCH(J953,CIBIL_From,1))</f>
        <v/>
      </c>
      <c r="W953" s="41">
        <f>YEAR(F953)&amp;"-Q"&amp;ROUNDUP(MONTH(F953)/3,0)</f>
        <v/>
      </c>
      <c r="X953" s="41">
        <f>IF(AND(OR(Dashboard!$C$4="All",D953=Dashboard!$C$4),OR(Dashboard!$C$5="All",E953=Dashboard!$C$5)),1,0)</f>
        <v/>
      </c>
      <c r="Y953" s="43">
        <f>IF(AND(X953=1,S953="Yes"),O953+ROW()/1000000,0)</f>
        <v/>
      </c>
    </row>
    <row r="954">
      <c r="A954" s="35" t="inlineStr">
        <is>
          <t>LN100953</t>
        </is>
      </c>
      <c r="B954" s="35" t="inlineStr">
        <is>
          <t>Rohan Gupta</t>
        </is>
      </c>
      <c r="C954" s="35" t="inlineStr">
        <is>
          <t>JAI-01</t>
        </is>
      </c>
      <c r="D954" s="36">
        <f>INDEX(Branches!$C$2:$C$15,MATCH(C954,Branches!$A$2:$A$15,0))</f>
        <v/>
      </c>
      <c r="E954" s="35" t="inlineStr">
        <is>
          <t>Personal Loan</t>
        </is>
      </c>
      <c r="F954" s="37" t="n">
        <v>45362</v>
      </c>
      <c r="G954" s="38" t="n">
        <v>803000</v>
      </c>
      <c r="H954" s="39" t="n">
        <v>0.1582</v>
      </c>
      <c r="I954" s="35" t="n">
        <v>12</v>
      </c>
      <c r="J954" s="35" t="n">
        <v>776</v>
      </c>
      <c r="K954" s="35" t="n">
        <v>0</v>
      </c>
      <c r="L954" s="40">
        <f>ROUND(PMT(H954/12,I954,-G954),0)</f>
        <v/>
      </c>
      <c r="M954" s="41">
        <f>MAX(0,(YEAR(AsOfDate)-YEAR(F954))*12+MONTH(AsOfDate)-MONTH(F954))</f>
        <v/>
      </c>
      <c r="N954" s="41">
        <f>MAX(0,MIN(I954,M954)-INT(K954/30))</f>
        <v/>
      </c>
      <c r="O954" s="40">
        <f>IF(N954&gt;=I954,0,ROUND(PV(H954/12,I954-N954,-L954),0))</f>
        <v/>
      </c>
      <c r="P954" s="40">
        <f>MIN(I954,M954)*L954-N954*L954</f>
        <v/>
      </c>
      <c r="Q954" s="41">
        <f>INDEX(DPD_Bucket,MATCH(K954,DPD_From,1))</f>
        <v/>
      </c>
      <c r="R954" s="41">
        <f>INDEX(DPD_Class,MATCH(K954,DPD_From,1))</f>
        <v/>
      </c>
      <c r="S954" s="41">
        <f>INDEX(DPD_NPA,MATCH(K954,DPD_From,1))</f>
        <v/>
      </c>
      <c r="T954" s="42">
        <f>INDEX(DPD_Prov,MATCH(K954,DPD_From,1))</f>
        <v/>
      </c>
      <c r="U954" s="40">
        <f>ROUND(O954*T954,0)</f>
        <v/>
      </c>
      <c r="V954" s="41">
        <f>INDEX(CIBIL_Grade,MATCH(J954,CIBIL_From,1))</f>
        <v/>
      </c>
      <c r="W954" s="41">
        <f>YEAR(F954)&amp;"-Q"&amp;ROUNDUP(MONTH(F954)/3,0)</f>
        <v/>
      </c>
      <c r="X954" s="41">
        <f>IF(AND(OR(Dashboard!$C$4="All",D954=Dashboard!$C$4),OR(Dashboard!$C$5="All",E954=Dashboard!$C$5)),1,0)</f>
        <v/>
      </c>
      <c r="Y954" s="43">
        <f>IF(AND(X954=1,S954="Yes"),O954+ROW()/1000000,0)</f>
        <v/>
      </c>
    </row>
    <row r="955">
      <c r="A955" s="35" t="inlineStr">
        <is>
          <t>LN100954</t>
        </is>
      </c>
      <c r="B955" s="35" t="inlineStr">
        <is>
          <t>Rahul Banerjee</t>
        </is>
      </c>
      <c r="C955" s="35" t="inlineStr">
        <is>
          <t>HYD-01</t>
        </is>
      </c>
      <c r="D955" s="36">
        <f>INDEX(Branches!$C$2:$C$15,MATCH(C955,Branches!$A$2:$A$15,0))</f>
        <v/>
      </c>
      <c r="E955" s="35" t="inlineStr">
        <is>
          <t>Personal Loan</t>
        </is>
      </c>
      <c r="F955" s="37" t="n">
        <v>45617</v>
      </c>
      <c r="G955" s="38" t="n">
        <v>1140000</v>
      </c>
      <c r="H955" s="39" t="n">
        <v>0.135</v>
      </c>
      <c r="I955" s="35" t="n">
        <v>24</v>
      </c>
      <c r="J955" s="35" t="n">
        <v>662</v>
      </c>
      <c r="K955" s="35" t="n">
        <v>0</v>
      </c>
      <c r="L955" s="40">
        <f>ROUND(PMT(H955/12,I955,-G955),0)</f>
        <v/>
      </c>
      <c r="M955" s="41">
        <f>MAX(0,(YEAR(AsOfDate)-YEAR(F955))*12+MONTH(AsOfDate)-MONTH(F955))</f>
        <v/>
      </c>
      <c r="N955" s="41">
        <f>MAX(0,MIN(I955,M955)-INT(K955/30))</f>
        <v/>
      </c>
      <c r="O955" s="40">
        <f>IF(N955&gt;=I955,0,ROUND(PV(H955/12,I955-N955,-L955),0))</f>
        <v/>
      </c>
      <c r="P955" s="40">
        <f>MIN(I955,M955)*L955-N955*L955</f>
        <v/>
      </c>
      <c r="Q955" s="41">
        <f>INDEX(DPD_Bucket,MATCH(K955,DPD_From,1))</f>
        <v/>
      </c>
      <c r="R955" s="41">
        <f>INDEX(DPD_Class,MATCH(K955,DPD_From,1))</f>
        <v/>
      </c>
      <c r="S955" s="41">
        <f>INDEX(DPD_NPA,MATCH(K955,DPD_From,1))</f>
        <v/>
      </c>
      <c r="T955" s="42">
        <f>INDEX(DPD_Prov,MATCH(K955,DPD_From,1))</f>
        <v/>
      </c>
      <c r="U955" s="40">
        <f>ROUND(O955*T955,0)</f>
        <v/>
      </c>
      <c r="V955" s="41">
        <f>INDEX(CIBIL_Grade,MATCH(J955,CIBIL_From,1))</f>
        <v/>
      </c>
      <c r="W955" s="41">
        <f>YEAR(F955)&amp;"-Q"&amp;ROUNDUP(MONTH(F955)/3,0)</f>
        <v/>
      </c>
      <c r="X955" s="41">
        <f>IF(AND(OR(Dashboard!$C$4="All",D955=Dashboard!$C$4),OR(Dashboard!$C$5="All",E955=Dashboard!$C$5)),1,0)</f>
        <v/>
      </c>
      <c r="Y955" s="43">
        <f>IF(AND(X955=1,S955="Yes"),O955+ROW()/1000000,0)</f>
        <v/>
      </c>
    </row>
    <row r="956">
      <c r="A956" s="35" t="inlineStr">
        <is>
          <t>LN100955</t>
        </is>
      </c>
      <c r="B956" s="35" t="inlineStr">
        <is>
          <t>Aditya Joshi</t>
        </is>
      </c>
      <c r="C956" s="35" t="inlineStr">
        <is>
          <t>DEL-01</t>
        </is>
      </c>
      <c r="D956" s="36">
        <f>INDEX(Branches!$C$2:$C$15,MATCH(C956,Branches!$A$2:$A$15,0))</f>
        <v/>
      </c>
      <c r="E956" s="35" t="inlineStr">
        <is>
          <t>Home Loan</t>
        </is>
      </c>
      <c r="F956" s="37" t="n">
        <v>45797</v>
      </c>
      <c r="G956" s="38" t="n">
        <v>6071000</v>
      </c>
      <c r="H956" s="39" t="n">
        <v>0.093</v>
      </c>
      <c r="I956" s="35" t="n">
        <v>180</v>
      </c>
      <c r="J956" s="35" t="n">
        <v>801</v>
      </c>
      <c r="K956" s="35" t="n">
        <v>0</v>
      </c>
      <c r="L956" s="40">
        <f>ROUND(PMT(H956/12,I956,-G956),0)</f>
        <v/>
      </c>
      <c r="M956" s="41">
        <f>MAX(0,(YEAR(AsOfDate)-YEAR(F956))*12+MONTH(AsOfDate)-MONTH(F956))</f>
        <v/>
      </c>
      <c r="N956" s="41">
        <f>MAX(0,MIN(I956,M956)-INT(K956/30))</f>
        <v/>
      </c>
      <c r="O956" s="40">
        <f>IF(N956&gt;=I956,0,ROUND(PV(H956/12,I956-N956,-L956),0))</f>
        <v/>
      </c>
      <c r="P956" s="40">
        <f>MIN(I956,M956)*L956-N956*L956</f>
        <v/>
      </c>
      <c r="Q956" s="41">
        <f>INDEX(DPD_Bucket,MATCH(K956,DPD_From,1))</f>
        <v/>
      </c>
      <c r="R956" s="41">
        <f>INDEX(DPD_Class,MATCH(K956,DPD_From,1))</f>
        <v/>
      </c>
      <c r="S956" s="41">
        <f>INDEX(DPD_NPA,MATCH(K956,DPD_From,1))</f>
        <v/>
      </c>
      <c r="T956" s="42">
        <f>INDEX(DPD_Prov,MATCH(K956,DPD_From,1))</f>
        <v/>
      </c>
      <c r="U956" s="40">
        <f>ROUND(O956*T956,0)</f>
        <v/>
      </c>
      <c r="V956" s="41">
        <f>INDEX(CIBIL_Grade,MATCH(J956,CIBIL_From,1))</f>
        <v/>
      </c>
      <c r="W956" s="41">
        <f>YEAR(F956)&amp;"-Q"&amp;ROUNDUP(MONTH(F956)/3,0)</f>
        <v/>
      </c>
      <c r="X956" s="41">
        <f>IF(AND(OR(Dashboard!$C$4="All",D956=Dashboard!$C$4),OR(Dashboard!$C$5="All",E956=Dashboard!$C$5)),1,0)</f>
        <v/>
      </c>
      <c r="Y956" s="43">
        <f>IF(AND(X956=1,S956="Yes"),O956+ROW()/1000000,0)</f>
        <v/>
      </c>
    </row>
    <row r="957">
      <c r="A957" s="35" t="inlineStr">
        <is>
          <t>LN100956</t>
        </is>
      </c>
      <c r="B957" s="35" t="inlineStr">
        <is>
          <t>Lakshmi Khan</t>
        </is>
      </c>
      <c r="C957" s="35" t="inlineStr">
        <is>
          <t>KOC-01</t>
        </is>
      </c>
      <c r="D957" s="36">
        <f>INDEX(Branches!$C$2:$C$15,MATCH(C957,Branches!$A$2:$A$15,0))</f>
        <v/>
      </c>
      <c r="E957" s="35" t="inlineStr">
        <is>
          <t>Business Loan</t>
        </is>
      </c>
      <c r="F957" s="37" t="n">
        <v>46062</v>
      </c>
      <c r="G957" s="38" t="n">
        <v>1715000</v>
      </c>
      <c r="H957" s="39" t="n">
        <v>0.1373</v>
      </c>
      <c r="I957" s="35" t="n">
        <v>24</v>
      </c>
      <c r="J957" s="35" t="n">
        <v>600</v>
      </c>
      <c r="K957" s="35" t="n">
        <v>0</v>
      </c>
      <c r="L957" s="40">
        <f>ROUND(PMT(H957/12,I957,-G957),0)</f>
        <v/>
      </c>
      <c r="M957" s="41">
        <f>MAX(0,(YEAR(AsOfDate)-YEAR(F957))*12+MONTH(AsOfDate)-MONTH(F957))</f>
        <v/>
      </c>
      <c r="N957" s="41">
        <f>MAX(0,MIN(I957,M957)-INT(K957/30))</f>
        <v/>
      </c>
      <c r="O957" s="40">
        <f>IF(N957&gt;=I957,0,ROUND(PV(H957/12,I957-N957,-L957),0))</f>
        <v/>
      </c>
      <c r="P957" s="40">
        <f>MIN(I957,M957)*L957-N957*L957</f>
        <v/>
      </c>
      <c r="Q957" s="41">
        <f>INDEX(DPD_Bucket,MATCH(K957,DPD_From,1))</f>
        <v/>
      </c>
      <c r="R957" s="41">
        <f>INDEX(DPD_Class,MATCH(K957,DPD_From,1))</f>
        <v/>
      </c>
      <c r="S957" s="41">
        <f>INDEX(DPD_NPA,MATCH(K957,DPD_From,1))</f>
        <v/>
      </c>
      <c r="T957" s="42">
        <f>INDEX(DPD_Prov,MATCH(K957,DPD_From,1))</f>
        <v/>
      </c>
      <c r="U957" s="40">
        <f>ROUND(O957*T957,0)</f>
        <v/>
      </c>
      <c r="V957" s="41">
        <f>INDEX(CIBIL_Grade,MATCH(J957,CIBIL_From,1))</f>
        <v/>
      </c>
      <c r="W957" s="41">
        <f>YEAR(F957)&amp;"-Q"&amp;ROUNDUP(MONTH(F957)/3,0)</f>
        <v/>
      </c>
      <c r="X957" s="41">
        <f>IF(AND(OR(Dashboard!$C$4="All",D957=Dashboard!$C$4),OR(Dashboard!$C$5="All",E957=Dashboard!$C$5)),1,0)</f>
        <v/>
      </c>
      <c r="Y957" s="43">
        <f>IF(AND(X957=1,S957="Yes"),O957+ROW()/1000000,0)</f>
        <v/>
      </c>
    </row>
    <row r="958">
      <c r="A958" s="35" t="inlineStr">
        <is>
          <t>LN100957</t>
        </is>
      </c>
      <c r="B958" s="35" t="inlineStr">
        <is>
          <t>Ishaan Sahoo</t>
        </is>
      </c>
      <c r="C958" s="35" t="inlineStr">
        <is>
          <t>BLR-01</t>
        </is>
      </c>
      <c r="D958" s="36">
        <f>INDEX(Branches!$C$2:$C$15,MATCH(C958,Branches!$A$2:$A$15,0))</f>
        <v/>
      </c>
      <c r="E958" s="35" t="inlineStr">
        <is>
          <t>Auto Loan</t>
        </is>
      </c>
      <c r="F958" s="37" t="n">
        <v>46116</v>
      </c>
      <c r="G958" s="38" t="n">
        <v>1610000</v>
      </c>
      <c r="H958" s="39" t="n">
        <v>0.09859999999999999</v>
      </c>
      <c r="I958" s="35" t="n">
        <v>60</v>
      </c>
      <c r="J958" s="35" t="n">
        <v>737</v>
      </c>
      <c r="K958" s="35" t="n">
        <v>0</v>
      </c>
      <c r="L958" s="40">
        <f>ROUND(PMT(H958/12,I958,-G958),0)</f>
        <v/>
      </c>
      <c r="M958" s="41">
        <f>MAX(0,(YEAR(AsOfDate)-YEAR(F958))*12+MONTH(AsOfDate)-MONTH(F958))</f>
        <v/>
      </c>
      <c r="N958" s="41">
        <f>MAX(0,MIN(I958,M958)-INT(K958/30))</f>
        <v/>
      </c>
      <c r="O958" s="40">
        <f>IF(N958&gt;=I958,0,ROUND(PV(H958/12,I958-N958,-L958),0))</f>
        <v/>
      </c>
      <c r="P958" s="40">
        <f>MIN(I958,M958)*L958-N958*L958</f>
        <v/>
      </c>
      <c r="Q958" s="41">
        <f>INDEX(DPD_Bucket,MATCH(K958,DPD_From,1))</f>
        <v/>
      </c>
      <c r="R958" s="41">
        <f>INDEX(DPD_Class,MATCH(K958,DPD_From,1))</f>
        <v/>
      </c>
      <c r="S958" s="41">
        <f>INDEX(DPD_NPA,MATCH(K958,DPD_From,1))</f>
        <v/>
      </c>
      <c r="T958" s="42">
        <f>INDEX(DPD_Prov,MATCH(K958,DPD_From,1))</f>
        <v/>
      </c>
      <c r="U958" s="40">
        <f>ROUND(O958*T958,0)</f>
        <v/>
      </c>
      <c r="V958" s="41">
        <f>INDEX(CIBIL_Grade,MATCH(J958,CIBIL_From,1))</f>
        <v/>
      </c>
      <c r="W958" s="41">
        <f>YEAR(F958)&amp;"-Q"&amp;ROUNDUP(MONTH(F958)/3,0)</f>
        <v/>
      </c>
      <c r="X958" s="41">
        <f>IF(AND(OR(Dashboard!$C$4="All",D958=Dashboard!$C$4),OR(Dashboard!$C$5="All",E958=Dashboard!$C$5)),1,0)</f>
        <v/>
      </c>
      <c r="Y958" s="43">
        <f>IF(AND(X958=1,S958="Yes"),O958+ROW()/1000000,0)</f>
        <v/>
      </c>
    </row>
    <row r="959">
      <c r="A959" s="35" t="inlineStr">
        <is>
          <t>LN100958</t>
        </is>
      </c>
      <c r="B959" s="35" t="inlineStr">
        <is>
          <t>Karthik Mishra</t>
        </is>
      </c>
      <c r="C959" s="35" t="inlineStr">
        <is>
          <t>BLR-01</t>
        </is>
      </c>
      <c r="D959" s="36">
        <f>INDEX(Branches!$C$2:$C$15,MATCH(C959,Branches!$A$2:$A$15,0))</f>
        <v/>
      </c>
      <c r="E959" s="35" t="inlineStr">
        <is>
          <t>Personal Loan</t>
        </is>
      </c>
      <c r="F959" s="37" t="n">
        <v>45681</v>
      </c>
      <c r="G959" s="38" t="n">
        <v>889000</v>
      </c>
      <c r="H959" s="39" t="n">
        <v>0.1643</v>
      </c>
      <c r="I959" s="35" t="n">
        <v>12</v>
      </c>
      <c r="J959" s="35" t="n">
        <v>767</v>
      </c>
      <c r="K959" s="35" t="n">
        <v>0</v>
      </c>
      <c r="L959" s="40">
        <f>ROUND(PMT(H959/12,I959,-G959),0)</f>
        <v/>
      </c>
      <c r="M959" s="41">
        <f>MAX(0,(YEAR(AsOfDate)-YEAR(F959))*12+MONTH(AsOfDate)-MONTH(F959))</f>
        <v/>
      </c>
      <c r="N959" s="41">
        <f>MAX(0,MIN(I959,M959)-INT(K959/30))</f>
        <v/>
      </c>
      <c r="O959" s="40">
        <f>IF(N959&gt;=I959,0,ROUND(PV(H959/12,I959-N959,-L959),0))</f>
        <v/>
      </c>
      <c r="P959" s="40">
        <f>MIN(I959,M959)*L959-N959*L959</f>
        <v/>
      </c>
      <c r="Q959" s="41">
        <f>INDEX(DPD_Bucket,MATCH(K959,DPD_From,1))</f>
        <v/>
      </c>
      <c r="R959" s="41">
        <f>INDEX(DPD_Class,MATCH(K959,DPD_From,1))</f>
        <v/>
      </c>
      <c r="S959" s="41">
        <f>INDEX(DPD_NPA,MATCH(K959,DPD_From,1))</f>
        <v/>
      </c>
      <c r="T959" s="42">
        <f>INDEX(DPD_Prov,MATCH(K959,DPD_From,1))</f>
        <v/>
      </c>
      <c r="U959" s="40">
        <f>ROUND(O959*T959,0)</f>
        <v/>
      </c>
      <c r="V959" s="41">
        <f>INDEX(CIBIL_Grade,MATCH(J959,CIBIL_From,1))</f>
        <v/>
      </c>
      <c r="W959" s="41">
        <f>YEAR(F959)&amp;"-Q"&amp;ROUNDUP(MONTH(F959)/3,0)</f>
        <v/>
      </c>
      <c r="X959" s="41">
        <f>IF(AND(OR(Dashboard!$C$4="All",D959=Dashboard!$C$4),OR(Dashboard!$C$5="All",E959=Dashboard!$C$5)),1,0)</f>
        <v/>
      </c>
      <c r="Y959" s="43">
        <f>IF(AND(X959=1,S959="Yes"),O959+ROW()/1000000,0)</f>
        <v/>
      </c>
    </row>
    <row r="960">
      <c r="A960" s="35" t="inlineStr">
        <is>
          <t>LN100959</t>
        </is>
      </c>
      <c r="B960" s="35" t="inlineStr">
        <is>
          <t>Diya Banerjee</t>
        </is>
      </c>
      <c r="C960" s="35" t="inlineStr">
        <is>
          <t>LKO-01</t>
        </is>
      </c>
      <c r="D960" s="36">
        <f>INDEX(Branches!$C$2:$C$15,MATCH(C960,Branches!$A$2:$A$15,0))</f>
        <v/>
      </c>
      <c r="E960" s="35" t="inlineStr">
        <is>
          <t>Home Loan</t>
        </is>
      </c>
      <c r="F960" s="37" t="n">
        <v>45983</v>
      </c>
      <c r="G960" s="38" t="n">
        <v>4533000</v>
      </c>
      <c r="H960" s="39" t="n">
        <v>0.0945</v>
      </c>
      <c r="I960" s="35" t="n">
        <v>180</v>
      </c>
      <c r="J960" s="35" t="n">
        <v>741</v>
      </c>
      <c r="K960" s="35" t="n">
        <v>0</v>
      </c>
      <c r="L960" s="40">
        <f>ROUND(PMT(H960/12,I960,-G960),0)</f>
        <v/>
      </c>
      <c r="M960" s="41">
        <f>MAX(0,(YEAR(AsOfDate)-YEAR(F960))*12+MONTH(AsOfDate)-MONTH(F960))</f>
        <v/>
      </c>
      <c r="N960" s="41">
        <f>MAX(0,MIN(I960,M960)-INT(K960/30))</f>
        <v/>
      </c>
      <c r="O960" s="40">
        <f>IF(N960&gt;=I960,0,ROUND(PV(H960/12,I960-N960,-L960),0))</f>
        <v/>
      </c>
      <c r="P960" s="40">
        <f>MIN(I960,M960)*L960-N960*L960</f>
        <v/>
      </c>
      <c r="Q960" s="41">
        <f>INDEX(DPD_Bucket,MATCH(K960,DPD_From,1))</f>
        <v/>
      </c>
      <c r="R960" s="41">
        <f>INDEX(DPD_Class,MATCH(K960,DPD_From,1))</f>
        <v/>
      </c>
      <c r="S960" s="41">
        <f>INDEX(DPD_NPA,MATCH(K960,DPD_From,1))</f>
        <v/>
      </c>
      <c r="T960" s="42">
        <f>INDEX(DPD_Prov,MATCH(K960,DPD_From,1))</f>
        <v/>
      </c>
      <c r="U960" s="40">
        <f>ROUND(O960*T960,0)</f>
        <v/>
      </c>
      <c r="V960" s="41">
        <f>INDEX(CIBIL_Grade,MATCH(J960,CIBIL_From,1))</f>
        <v/>
      </c>
      <c r="W960" s="41">
        <f>YEAR(F960)&amp;"-Q"&amp;ROUNDUP(MONTH(F960)/3,0)</f>
        <v/>
      </c>
      <c r="X960" s="41">
        <f>IF(AND(OR(Dashboard!$C$4="All",D960=Dashboard!$C$4),OR(Dashboard!$C$5="All",E960=Dashboard!$C$5)),1,0)</f>
        <v/>
      </c>
      <c r="Y960" s="43">
        <f>IF(AND(X960=1,S960="Yes"),O960+ROW()/1000000,0)</f>
        <v/>
      </c>
    </row>
    <row r="961">
      <c r="A961" s="35" t="inlineStr">
        <is>
          <t>LN100960</t>
        </is>
      </c>
      <c r="B961" s="35" t="inlineStr">
        <is>
          <t>Swati Chatterjee</t>
        </is>
      </c>
      <c r="C961" s="35" t="inlineStr">
        <is>
          <t>CHN-01</t>
        </is>
      </c>
      <c r="D961" s="36">
        <f>INDEX(Branches!$C$2:$C$15,MATCH(C961,Branches!$A$2:$A$15,0))</f>
        <v/>
      </c>
      <c r="E961" s="35" t="inlineStr">
        <is>
          <t>Business Loan</t>
        </is>
      </c>
      <c r="F961" s="37" t="n">
        <v>45974</v>
      </c>
      <c r="G961" s="38" t="n">
        <v>2760000</v>
      </c>
      <c r="H961" s="39" t="n">
        <v>0.1843</v>
      </c>
      <c r="I961" s="35" t="n">
        <v>24</v>
      </c>
      <c r="J961" s="35" t="n">
        <v>732</v>
      </c>
      <c r="K961" s="35" t="n">
        <v>0</v>
      </c>
      <c r="L961" s="40">
        <f>ROUND(PMT(H961/12,I961,-G961),0)</f>
        <v/>
      </c>
      <c r="M961" s="41">
        <f>MAX(0,(YEAR(AsOfDate)-YEAR(F961))*12+MONTH(AsOfDate)-MONTH(F961))</f>
        <v/>
      </c>
      <c r="N961" s="41">
        <f>MAX(0,MIN(I961,M961)-INT(K961/30))</f>
        <v/>
      </c>
      <c r="O961" s="40">
        <f>IF(N961&gt;=I961,0,ROUND(PV(H961/12,I961-N961,-L961),0))</f>
        <v/>
      </c>
      <c r="P961" s="40">
        <f>MIN(I961,M961)*L961-N961*L961</f>
        <v/>
      </c>
      <c r="Q961" s="41">
        <f>INDEX(DPD_Bucket,MATCH(K961,DPD_From,1))</f>
        <v/>
      </c>
      <c r="R961" s="41">
        <f>INDEX(DPD_Class,MATCH(K961,DPD_From,1))</f>
        <v/>
      </c>
      <c r="S961" s="41">
        <f>INDEX(DPD_NPA,MATCH(K961,DPD_From,1))</f>
        <v/>
      </c>
      <c r="T961" s="42">
        <f>INDEX(DPD_Prov,MATCH(K961,DPD_From,1))</f>
        <v/>
      </c>
      <c r="U961" s="40">
        <f>ROUND(O961*T961,0)</f>
        <v/>
      </c>
      <c r="V961" s="41">
        <f>INDEX(CIBIL_Grade,MATCH(J961,CIBIL_From,1))</f>
        <v/>
      </c>
      <c r="W961" s="41">
        <f>YEAR(F961)&amp;"-Q"&amp;ROUNDUP(MONTH(F961)/3,0)</f>
        <v/>
      </c>
      <c r="X961" s="41">
        <f>IF(AND(OR(Dashboard!$C$4="All",D961=Dashboard!$C$4),OR(Dashboard!$C$5="All",E961=Dashboard!$C$5)),1,0)</f>
        <v/>
      </c>
      <c r="Y961" s="43">
        <f>IF(AND(X961=1,S961="Yes"),O961+ROW()/1000000,0)</f>
        <v/>
      </c>
    </row>
    <row r="962">
      <c r="A962" s="35" t="inlineStr">
        <is>
          <t>LN100961</t>
        </is>
      </c>
      <c r="B962" s="35" t="inlineStr">
        <is>
          <t>Sai Joshi</t>
        </is>
      </c>
      <c r="C962" s="35" t="inlineStr">
        <is>
          <t>CHN-01</t>
        </is>
      </c>
      <c r="D962" s="36">
        <f>INDEX(Branches!$C$2:$C$15,MATCH(C962,Branches!$A$2:$A$15,0))</f>
        <v/>
      </c>
      <c r="E962" s="35" t="inlineStr">
        <is>
          <t>Home Loan</t>
        </is>
      </c>
      <c r="F962" s="37" t="n">
        <v>45197</v>
      </c>
      <c r="G962" s="38" t="n">
        <v>13508000</v>
      </c>
      <c r="H962" s="39" t="n">
        <v>0.0853</v>
      </c>
      <c r="I962" s="35" t="n">
        <v>180</v>
      </c>
      <c r="J962" s="35" t="n">
        <v>642</v>
      </c>
      <c r="K962" s="35" t="n">
        <v>0</v>
      </c>
      <c r="L962" s="40">
        <f>ROUND(PMT(H962/12,I962,-G962),0)</f>
        <v/>
      </c>
      <c r="M962" s="41">
        <f>MAX(0,(YEAR(AsOfDate)-YEAR(F962))*12+MONTH(AsOfDate)-MONTH(F962))</f>
        <v/>
      </c>
      <c r="N962" s="41">
        <f>MAX(0,MIN(I962,M962)-INT(K962/30))</f>
        <v/>
      </c>
      <c r="O962" s="40">
        <f>IF(N962&gt;=I962,0,ROUND(PV(H962/12,I962-N962,-L962),0))</f>
        <v/>
      </c>
      <c r="P962" s="40">
        <f>MIN(I962,M962)*L962-N962*L962</f>
        <v/>
      </c>
      <c r="Q962" s="41">
        <f>INDEX(DPD_Bucket,MATCH(K962,DPD_From,1))</f>
        <v/>
      </c>
      <c r="R962" s="41">
        <f>INDEX(DPD_Class,MATCH(K962,DPD_From,1))</f>
        <v/>
      </c>
      <c r="S962" s="41">
        <f>INDEX(DPD_NPA,MATCH(K962,DPD_From,1))</f>
        <v/>
      </c>
      <c r="T962" s="42">
        <f>INDEX(DPD_Prov,MATCH(K962,DPD_From,1))</f>
        <v/>
      </c>
      <c r="U962" s="40">
        <f>ROUND(O962*T962,0)</f>
        <v/>
      </c>
      <c r="V962" s="41">
        <f>INDEX(CIBIL_Grade,MATCH(J962,CIBIL_From,1))</f>
        <v/>
      </c>
      <c r="W962" s="41">
        <f>YEAR(F962)&amp;"-Q"&amp;ROUNDUP(MONTH(F962)/3,0)</f>
        <v/>
      </c>
      <c r="X962" s="41">
        <f>IF(AND(OR(Dashboard!$C$4="All",D962=Dashboard!$C$4),OR(Dashboard!$C$5="All",E962=Dashboard!$C$5)),1,0)</f>
        <v/>
      </c>
      <c r="Y962" s="43">
        <f>IF(AND(X962=1,S962="Yes"),O962+ROW()/1000000,0)</f>
        <v/>
      </c>
    </row>
    <row r="963">
      <c r="A963" s="35" t="inlineStr">
        <is>
          <t>LN100962</t>
        </is>
      </c>
      <c r="B963" s="35" t="inlineStr">
        <is>
          <t>Reyansh Chatterjee</t>
        </is>
      </c>
      <c r="C963" s="35" t="inlineStr">
        <is>
          <t>LKO-01</t>
        </is>
      </c>
      <c r="D963" s="36">
        <f>INDEX(Branches!$C$2:$C$15,MATCH(C963,Branches!$A$2:$A$15,0))</f>
        <v/>
      </c>
      <c r="E963" s="35" t="inlineStr">
        <is>
          <t>Business Loan</t>
        </is>
      </c>
      <c r="F963" s="37" t="n">
        <v>45885</v>
      </c>
      <c r="G963" s="38" t="n">
        <v>4965000</v>
      </c>
      <c r="H963" s="39" t="n">
        <v>0.1726</v>
      </c>
      <c r="I963" s="35" t="n">
        <v>24</v>
      </c>
      <c r="J963" s="35" t="n">
        <v>679</v>
      </c>
      <c r="K963" s="35" t="n">
        <v>0</v>
      </c>
      <c r="L963" s="40">
        <f>ROUND(PMT(H963/12,I963,-G963),0)</f>
        <v/>
      </c>
      <c r="M963" s="41">
        <f>MAX(0,(YEAR(AsOfDate)-YEAR(F963))*12+MONTH(AsOfDate)-MONTH(F963))</f>
        <v/>
      </c>
      <c r="N963" s="41">
        <f>MAX(0,MIN(I963,M963)-INT(K963/30))</f>
        <v/>
      </c>
      <c r="O963" s="40">
        <f>IF(N963&gt;=I963,0,ROUND(PV(H963/12,I963-N963,-L963),0))</f>
        <v/>
      </c>
      <c r="P963" s="40">
        <f>MIN(I963,M963)*L963-N963*L963</f>
        <v/>
      </c>
      <c r="Q963" s="41">
        <f>INDEX(DPD_Bucket,MATCH(K963,DPD_From,1))</f>
        <v/>
      </c>
      <c r="R963" s="41">
        <f>INDEX(DPD_Class,MATCH(K963,DPD_From,1))</f>
        <v/>
      </c>
      <c r="S963" s="41">
        <f>INDEX(DPD_NPA,MATCH(K963,DPD_From,1))</f>
        <v/>
      </c>
      <c r="T963" s="42">
        <f>INDEX(DPD_Prov,MATCH(K963,DPD_From,1))</f>
        <v/>
      </c>
      <c r="U963" s="40">
        <f>ROUND(O963*T963,0)</f>
        <v/>
      </c>
      <c r="V963" s="41">
        <f>INDEX(CIBIL_Grade,MATCH(J963,CIBIL_From,1))</f>
        <v/>
      </c>
      <c r="W963" s="41">
        <f>YEAR(F963)&amp;"-Q"&amp;ROUNDUP(MONTH(F963)/3,0)</f>
        <v/>
      </c>
      <c r="X963" s="41">
        <f>IF(AND(OR(Dashboard!$C$4="All",D963=Dashboard!$C$4),OR(Dashboard!$C$5="All",E963=Dashboard!$C$5)),1,0)</f>
        <v/>
      </c>
      <c r="Y963" s="43">
        <f>IF(AND(X963=1,S963="Yes"),O963+ROW()/1000000,0)</f>
        <v/>
      </c>
    </row>
    <row r="964">
      <c r="A964" s="35" t="inlineStr">
        <is>
          <t>LN100963</t>
        </is>
      </c>
      <c r="B964" s="35" t="inlineStr">
        <is>
          <t>Gaurav Khan</t>
        </is>
      </c>
      <c r="C964" s="35" t="inlineStr">
        <is>
          <t>BLR-01</t>
        </is>
      </c>
      <c r="D964" s="36">
        <f>INDEX(Branches!$C$2:$C$15,MATCH(C964,Branches!$A$2:$A$15,0))</f>
        <v/>
      </c>
      <c r="E964" s="35" t="inlineStr">
        <is>
          <t>Personal Loan</t>
        </is>
      </c>
      <c r="F964" s="37" t="n">
        <v>45257</v>
      </c>
      <c r="G964" s="38" t="n">
        <v>1347000</v>
      </c>
      <c r="H964" s="39" t="n">
        <v>0.1631</v>
      </c>
      <c r="I964" s="35" t="n">
        <v>36</v>
      </c>
      <c r="J964" s="35" t="n">
        <v>746</v>
      </c>
      <c r="K964" s="35" t="n">
        <v>0</v>
      </c>
      <c r="L964" s="40">
        <f>ROUND(PMT(H964/12,I964,-G964),0)</f>
        <v/>
      </c>
      <c r="M964" s="41">
        <f>MAX(0,(YEAR(AsOfDate)-YEAR(F964))*12+MONTH(AsOfDate)-MONTH(F964))</f>
        <v/>
      </c>
      <c r="N964" s="41">
        <f>MAX(0,MIN(I964,M964)-INT(K964/30))</f>
        <v/>
      </c>
      <c r="O964" s="40">
        <f>IF(N964&gt;=I964,0,ROUND(PV(H964/12,I964-N964,-L964),0))</f>
        <v/>
      </c>
      <c r="P964" s="40">
        <f>MIN(I964,M964)*L964-N964*L964</f>
        <v/>
      </c>
      <c r="Q964" s="41">
        <f>INDEX(DPD_Bucket,MATCH(K964,DPD_From,1))</f>
        <v/>
      </c>
      <c r="R964" s="41">
        <f>INDEX(DPD_Class,MATCH(K964,DPD_From,1))</f>
        <v/>
      </c>
      <c r="S964" s="41">
        <f>INDEX(DPD_NPA,MATCH(K964,DPD_From,1))</f>
        <v/>
      </c>
      <c r="T964" s="42">
        <f>INDEX(DPD_Prov,MATCH(K964,DPD_From,1))</f>
        <v/>
      </c>
      <c r="U964" s="40">
        <f>ROUND(O964*T964,0)</f>
        <v/>
      </c>
      <c r="V964" s="41">
        <f>INDEX(CIBIL_Grade,MATCH(J964,CIBIL_From,1))</f>
        <v/>
      </c>
      <c r="W964" s="41">
        <f>YEAR(F964)&amp;"-Q"&amp;ROUNDUP(MONTH(F964)/3,0)</f>
        <v/>
      </c>
      <c r="X964" s="41">
        <f>IF(AND(OR(Dashboard!$C$4="All",D964=Dashboard!$C$4),OR(Dashboard!$C$5="All",E964=Dashboard!$C$5)),1,0)</f>
        <v/>
      </c>
      <c r="Y964" s="43">
        <f>IF(AND(X964=1,S964="Yes"),O964+ROW()/1000000,0)</f>
        <v/>
      </c>
    </row>
    <row r="965">
      <c r="A965" s="35" t="inlineStr">
        <is>
          <t>LN100964</t>
        </is>
      </c>
      <c r="B965" s="35" t="inlineStr">
        <is>
          <t>Karthik Pillai</t>
        </is>
      </c>
      <c r="C965" s="35" t="inlineStr">
        <is>
          <t>CHN-01</t>
        </is>
      </c>
      <c r="D965" s="36">
        <f>INDEX(Branches!$C$2:$C$15,MATCH(C965,Branches!$A$2:$A$15,0))</f>
        <v/>
      </c>
      <c r="E965" s="35" t="inlineStr">
        <is>
          <t>Auto Loan</t>
        </is>
      </c>
      <c r="F965" s="37" t="n">
        <v>46020</v>
      </c>
      <c r="G965" s="38" t="n">
        <v>1688000</v>
      </c>
      <c r="H965" s="39" t="n">
        <v>0.0934</v>
      </c>
      <c r="I965" s="35" t="n">
        <v>48</v>
      </c>
      <c r="J965" s="35" t="n">
        <v>686</v>
      </c>
      <c r="K965" s="35" t="n">
        <v>0</v>
      </c>
      <c r="L965" s="40">
        <f>ROUND(PMT(H965/12,I965,-G965),0)</f>
        <v/>
      </c>
      <c r="M965" s="41">
        <f>MAX(0,(YEAR(AsOfDate)-YEAR(F965))*12+MONTH(AsOfDate)-MONTH(F965))</f>
        <v/>
      </c>
      <c r="N965" s="41">
        <f>MAX(0,MIN(I965,M965)-INT(K965/30))</f>
        <v/>
      </c>
      <c r="O965" s="40">
        <f>IF(N965&gt;=I965,0,ROUND(PV(H965/12,I965-N965,-L965),0))</f>
        <v/>
      </c>
      <c r="P965" s="40">
        <f>MIN(I965,M965)*L965-N965*L965</f>
        <v/>
      </c>
      <c r="Q965" s="41">
        <f>INDEX(DPD_Bucket,MATCH(K965,DPD_From,1))</f>
        <v/>
      </c>
      <c r="R965" s="41">
        <f>INDEX(DPD_Class,MATCH(K965,DPD_From,1))</f>
        <v/>
      </c>
      <c r="S965" s="41">
        <f>INDEX(DPD_NPA,MATCH(K965,DPD_From,1))</f>
        <v/>
      </c>
      <c r="T965" s="42">
        <f>INDEX(DPD_Prov,MATCH(K965,DPD_From,1))</f>
        <v/>
      </c>
      <c r="U965" s="40">
        <f>ROUND(O965*T965,0)</f>
        <v/>
      </c>
      <c r="V965" s="41">
        <f>INDEX(CIBIL_Grade,MATCH(J965,CIBIL_From,1))</f>
        <v/>
      </c>
      <c r="W965" s="41">
        <f>YEAR(F965)&amp;"-Q"&amp;ROUNDUP(MONTH(F965)/3,0)</f>
        <v/>
      </c>
      <c r="X965" s="41">
        <f>IF(AND(OR(Dashboard!$C$4="All",D965=Dashboard!$C$4),OR(Dashboard!$C$5="All",E965=Dashboard!$C$5)),1,0)</f>
        <v/>
      </c>
      <c r="Y965" s="43">
        <f>IF(AND(X965=1,S965="Yes"),O965+ROW()/1000000,0)</f>
        <v/>
      </c>
    </row>
    <row r="966">
      <c r="A966" s="35" t="inlineStr">
        <is>
          <t>LN100965</t>
        </is>
      </c>
      <c r="B966" s="35" t="inlineStr">
        <is>
          <t>Reyansh Iyer</t>
        </is>
      </c>
      <c r="C966" s="35" t="inlineStr">
        <is>
          <t>MUM-01</t>
        </is>
      </c>
      <c r="D966" s="36">
        <f>INDEX(Branches!$C$2:$C$15,MATCH(C966,Branches!$A$2:$A$15,0))</f>
        <v/>
      </c>
      <c r="E966" s="35" t="inlineStr">
        <is>
          <t>Business Loan</t>
        </is>
      </c>
      <c r="F966" s="37" t="n">
        <v>45152</v>
      </c>
      <c r="G966" s="38" t="n">
        <v>3094000</v>
      </c>
      <c r="H966" s="39" t="n">
        <v>0.1547</v>
      </c>
      <c r="I966" s="35" t="n">
        <v>12</v>
      </c>
      <c r="J966" s="35" t="n">
        <v>774</v>
      </c>
      <c r="K966" s="35" t="n">
        <v>0</v>
      </c>
      <c r="L966" s="40">
        <f>ROUND(PMT(H966/12,I966,-G966),0)</f>
        <v/>
      </c>
      <c r="M966" s="41">
        <f>MAX(0,(YEAR(AsOfDate)-YEAR(F966))*12+MONTH(AsOfDate)-MONTH(F966))</f>
        <v/>
      </c>
      <c r="N966" s="41">
        <f>MAX(0,MIN(I966,M966)-INT(K966/30))</f>
        <v/>
      </c>
      <c r="O966" s="40">
        <f>IF(N966&gt;=I966,0,ROUND(PV(H966/12,I966-N966,-L966),0))</f>
        <v/>
      </c>
      <c r="P966" s="40">
        <f>MIN(I966,M966)*L966-N966*L966</f>
        <v/>
      </c>
      <c r="Q966" s="41">
        <f>INDEX(DPD_Bucket,MATCH(K966,DPD_From,1))</f>
        <v/>
      </c>
      <c r="R966" s="41">
        <f>INDEX(DPD_Class,MATCH(K966,DPD_From,1))</f>
        <v/>
      </c>
      <c r="S966" s="41">
        <f>INDEX(DPD_NPA,MATCH(K966,DPD_From,1))</f>
        <v/>
      </c>
      <c r="T966" s="42">
        <f>INDEX(DPD_Prov,MATCH(K966,DPD_From,1))</f>
        <v/>
      </c>
      <c r="U966" s="40">
        <f>ROUND(O966*T966,0)</f>
        <v/>
      </c>
      <c r="V966" s="41">
        <f>INDEX(CIBIL_Grade,MATCH(J966,CIBIL_From,1))</f>
        <v/>
      </c>
      <c r="W966" s="41">
        <f>YEAR(F966)&amp;"-Q"&amp;ROUNDUP(MONTH(F966)/3,0)</f>
        <v/>
      </c>
      <c r="X966" s="41">
        <f>IF(AND(OR(Dashboard!$C$4="All",D966=Dashboard!$C$4),OR(Dashboard!$C$5="All",E966=Dashboard!$C$5)),1,0)</f>
        <v/>
      </c>
      <c r="Y966" s="43">
        <f>IF(AND(X966=1,S966="Yes"),O966+ROW()/1000000,0)</f>
        <v/>
      </c>
    </row>
    <row r="967">
      <c r="A967" s="35" t="inlineStr">
        <is>
          <t>LN100966</t>
        </is>
      </c>
      <c r="B967" s="35" t="inlineStr">
        <is>
          <t>Pooja Gupta</t>
        </is>
      </c>
      <c r="C967" s="35" t="inlineStr">
        <is>
          <t>PAT-01</t>
        </is>
      </c>
      <c r="D967" s="36">
        <f>INDEX(Branches!$C$2:$C$15,MATCH(C967,Branches!$A$2:$A$15,0))</f>
        <v/>
      </c>
      <c r="E967" s="35" t="inlineStr">
        <is>
          <t>Home Loan</t>
        </is>
      </c>
      <c r="F967" s="37" t="n">
        <v>45230</v>
      </c>
      <c r="G967" s="38" t="n">
        <v>13397000</v>
      </c>
      <c r="H967" s="39" t="n">
        <v>0.0931</v>
      </c>
      <c r="I967" s="35" t="n">
        <v>240</v>
      </c>
      <c r="J967" s="35" t="n">
        <v>761</v>
      </c>
      <c r="K967" s="35" t="n">
        <v>0</v>
      </c>
      <c r="L967" s="40">
        <f>ROUND(PMT(H967/12,I967,-G967),0)</f>
        <v/>
      </c>
      <c r="M967" s="41">
        <f>MAX(0,(YEAR(AsOfDate)-YEAR(F967))*12+MONTH(AsOfDate)-MONTH(F967))</f>
        <v/>
      </c>
      <c r="N967" s="41">
        <f>MAX(0,MIN(I967,M967)-INT(K967/30))</f>
        <v/>
      </c>
      <c r="O967" s="40">
        <f>IF(N967&gt;=I967,0,ROUND(PV(H967/12,I967-N967,-L967),0))</f>
        <v/>
      </c>
      <c r="P967" s="40">
        <f>MIN(I967,M967)*L967-N967*L967</f>
        <v/>
      </c>
      <c r="Q967" s="41">
        <f>INDEX(DPD_Bucket,MATCH(K967,DPD_From,1))</f>
        <v/>
      </c>
      <c r="R967" s="41">
        <f>INDEX(DPD_Class,MATCH(K967,DPD_From,1))</f>
        <v/>
      </c>
      <c r="S967" s="41">
        <f>INDEX(DPD_NPA,MATCH(K967,DPD_From,1))</f>
        <v/>
      </c>
      <c r="T967" s="42">
        <f>INDEX(DPD_Prov,MATCH(K967,DPD_From,1))</f>
        <v/>
      </c>
      <c r="U967" s="40">
        <f>ROUND(O967*T967,0)</f>
        <v/>
      </c>
      <c r="V967" s="41">
        <f>INDEX(CIBIL_Grade,MATCH(J967,CIBIL_From,1))</f>
        <v/>
      </c>
      <c r="W967" s="41">
        <f>YEAR(F967)&amp;"-Q"&amp;ROUNDUP(MONTH(F967)/3,0)</f>
        <v/>
      </c>
      <c r="X967" s="41">
        <f>IF(AND(OR(Dashboard!$C$4="All",D967=Dashboard!$C$4),OR(Dashboard!$C$5="All",E967=Dashboard!$C$5)),1,0)</f>
        <v/>
      </c>
      <c r="Y967" s="43">
        <f>IF(AND(X967=1,S967="Yes"),O967+ROW()/1000000,0)</f>
        <v/>
      </c>
    </row>
    <row r="968">
      <c r="A968" s="35" t="inlineStr">
        <is>
          <t>LN100967</t>
        </is>
      </c>
      <c r="B968" s="35" t="inlineStr">
        <is>
          <t>Gaurav Sahoo</t>
        </is>
      </c>
      <c r="C968" s="35" t="inlineStr">
        <is>
          <t>KOL-01</t>
        </is>
      </c>
      <c r="D968" s="36">
        <f>INDEX(Branches!$C$2:$C$15,MATCH(C968,Branches!$A$2:$A$15,0))</f>
        <v/>
      </c>
      <c r="E968" s="35" t="inlineStr">
        <is>
          <t>Home Loan</t>
        </is>
      </c>
      <c r="F968" s="37" t="n">
        <v>45174</v>
      </c>
      <c r="G968" s="38" t="n">
        <v>3677000</v>
      </c>
      <c r="H968" s="39" t="n">
        <v>0.0891</v>
      </c>
      <c r="I968" s="35" t="n">
        <v>120</v>
      </c>
      <c r="J968" s="35" t="n">
        <v>840</v>
      </c>
      <c r="K968" s="35" t="n">
        <v>0</v>
      </c>
      <c r="L968" s="40">
        <f>ROUND(PMT(H968/12,I968,-G968),0)</f>
        <v/>
      </c>
      <c r="M968" s="41">
        <f>MAX(0,(YEAR(AsOfDate)-YEAR(F968))*12+MONTH(AsOfDate)-MONTH(F968))</f>
        <v/>
      </c>
      <c r="N968" s="41">
        <f>MAX(0,MIN(I968,M968)-INT(K968/30))</f>
        <v/>
      </c>
      <c r="O968" s="40">
        <f>IF(N968&gt;=I968,0,ROUND(PV(H968/12,I968-N968,-L968),0))</f>
        <v/>
      </c>
      <c r="P968" s="40">
        <f>MIN(I968,M968)*L968-N968*L968</f>
        <v/>
      </c>
      <c r="Q968" s="41">
        <f>INDEX(DPD_Bucket,MATCH(K968,DPD_From,1))</f>
        <v/>
      </c>
      <c r="R968" s="41">
        <f>INDEX(DPD_Class,MATCH(K968,DPD_From,1))</f>
        <v/>
      </c>
      <c r="S968" s="41">
        <f>INDEX(DPD_NPA,MATCH(K968,DPD_From,1))</f>
        <v/>
      </c>
      <c r="T968" s="42">
        <f>INDEX(DPD_Prov,MATCH(K968,DPD_From,1))</f>
        <v/>
      </c>
      <c r="U968" s="40">
        <f>ROUND(O968*T968,0)</f>
        <v/>
      </c>
      <c r="V968" s="41">
        <f>INDEX(CIBIL_Grade,MATCH(J968,CIBIL_From,1))</f>
        <v/>
      </c>
      <c r="W968" s="41">
        <f>YEAR(F968)&amp;"-Q"&amp;ROUNDUP(MONTH(F968)/3,0)</f>
        <v/>
      </c>
      <c r="X968" s="41">
        <f>IF(AND(OR(Dashboard!$C$4="All",D968=Dashboard!$C$4),OR(Dashboard!$C$5="All",E968=Dashboard!$C$5)),1,0)</f>
        <v/>
      </c>
      <c r="Y968" s="43">
        <f>IF(AND(X968=1,S968="Yes"),O968+ROW()/1000000,0)</f>
        <v/>
      </c>
    </row>
    <row r="969">
      <c r="A969" s="35" t="inlineStr">
        <is>
          <t>LN100968</t>
        </is>
      </c>
      <c r="B969" s="35" t="inlineStr">
        <is>
          <t>Zoya Mohanty</t>
        </is>
      </c>
      <c r="C969" s="35" t="inlineStr">
        <is>
          <t>BBS-01</t>
        </is>
      </c>
      <c r="D969" s="36">
        <f>INDEX(Branches!$C$2:$C$15,MATCH(C969,Branches!$A$2:$A$15,0))</f>
        <v/>
      </c>
      <c r="E969" s="35" t="inlineStr">
        <is>
          <t>Business Loan</t>
        </is>
      </c>
      <c r="F969" s="37" t="n">
        <v>45408</v>
      </c>
      <c r="G969" s="38" t="n">
        <v>4196000</v>
      </c>
      <c r="H969" s="39" t="n">
        <v>0.1306</v>
      </c>
      <c r="I969" s="35" t="n">
        <v>36</v>
      </c>
      <c r="J969" s="35" t="n">
        <v>761</v>
      </c>
      <c r="K969" s="35" t="n">
        <v>14</v>
      </c>
      <c r="L969" s="40">
        <f>ROUND(PMT(H969/12,I969,-G969),0)</f>
        <v/>
      </c>
      <c r="M969" s="41">
        <f>MAX(0,(YEAR(AsOfDate)-YEAR(F969))*12+MONTH(AsOfDate)-MONTH(F969))</f>
        <v/>
      </c>
      <c r="N969" s="41">
        <f>MAX(0,MIN(I969,M969)-INT(K969/30))</f>
        <v/>
      </c>
      <c r="O969" s="40">
        <f>IF(N969&gt;=I969,0,ROUND(PV(H969/12,I969-N969,-L969),0))</f>
        <v/>
      </c>
      <c r="P969" s="40">
        <f>MIN(I969,M969)*L969-N969*L969</f>
        <v/>
      </c>
      <c r="Q969" s="41">
        <f>INDEX(DPD_Bucket,MATCH(K969,DPD_From,1))</f>
        <v/>
      </c>
      <c r="R969" s="41">
        <f>INDEX(DPD_Class,MATCH(K969,DPD_From,1))</f>
        <v/>
      </c>
      <c r="S969" s="41">
        <f>INDEX(DPD_NPA,MATCH(K969,DPD_From,1))</f>
        <v/>
      </c>
      <c r="T969" s="42">
        <f>INDEX(DPD_Prov,MATCH(K969,DPD_From,1))</f>
        <v/>
      </c>
      <c r="U969" s="40">
        <f>ROUND(O969*T969,0)</f>
        <v/>
      </c>
      <c r="V969" s="41">
        <f>INDEX(CIBIL_Grade,MATCH(J969,CIBIL_From,1))</f>
        <v/>
      </c>
      <c r="W969" s="41">
        <f>YEAR(F969)&amp;"-Q"&amp;ROUNDUP(MONTH(F969)/3,0)</f>
        <v/>
      </c>
      <c r="X969" s="41">
        <f>IF(AND(OR(Dashboard!$C$4="All",D969=Dashboard!$C$4),OR(Dashboard!$C$5="All",E969=Dashboard!$C$5)),1,0)</f>
        <v/>
      </c>
      <c r="Y969" s="43">
        <f>IF(AND(X969=1,S969="Yes"),O969+ROW()/1000000,0)</f>
        <v/>
      </c>
    </row>
    <row r="970">
      <c r="A970" s="35" t="inlineStr">
        <is>
          <t>LN100969</t>
        </is>
      </c>
      <c r="B970" s="35" t="inlineStr">
        <is>
          <t>Rohan Joshi</t>
        </is>
      </c>
      <c r="C970" s="35" t="inlineStr">
        <is>
          <t>CHN-01</t>
        </is>
      </c>
      <c r="D970" s="36">
        <f>INDEX(Branches!$C$2:$C$15,MATCH(C970,Branches!$A$2:$A$15,0))</f>
        <v/>
      </c>
      <c r="E970" s="35" t="inlineStr">
        <is>
          <t>Business Loan</t>
        </is>
      </c>
      <c r="F970" s="37" t="n">
        <v>45404</v>
      </c>
      <c r="G970" s="38" t="n">
        <v>886000</v>
      </c>
      <c r="H970" s="39" t="n">
        <v>0.1812</v>
      </c>
      <c r="I970" s="35" t="n">
        <v>36</v>
      </c>
      <c r="J970" s="35" t="n">
        <v>765</v>
      </c>
      <c r="K970" s="35" t="n">
        <v>604</v>
      </c>
      <c r="L970" s="40">
        <f>ROUND(PMT(H970/12,I970,-G970),0)</f>
        <v/>
      </c>
      <c r="M970" s="41">
        <f>MAX(0,(YEAR(AsOfDate)-YEAR(F970))*12+MONTH(AsOfDate)-MONTH(F970))</f>
        <v/>
      </c>
      <c r="N970" s="41">
        <f>MAX(0,MIN(I970,M970)-INT(K970/30))</f>
        <v/>
      </c>
      <c r="O970" s="40">
        <f>IF(N970&gt;=I970,0,ROUND(PV(H970/12,I970-N970,-L970),0))</f>
        <v/>
      </c>
      <c r="P970" s="40">
        <f>MIN(I970,M970)*L970-N970*L970</f>
        <v/>
      </c>
      <c r="Q970" s="41">
        <f>INDEX(DPD_Bucket,MATCH(K970,DPD_From,1))</f>
        <v/>
      </c>
      <c r="R970" s="41">
        <f>INDEX(DPD_Class,MATCH(K970,DPD_From,1))</f>
        <v/>
      </c>
      <c r="S970" s="41">
        <f>INDEX(DPD_NPA,MATCH(K970,DPD_From,1))</f>
        <v/>
      </c>
      <c r="T970" s="42">
        <f>INDEX(DPD_Prov,MATCH(K970,DPD_From,1))</f>
        <v/>
      </c>
      <c r="U970" s="40">
        <f>ROUND(O970*T970,0)</f>
        <v/>
      </c>
      <c r="V970" s="41">
        <f>INDEX(CIBIL_Grade,MATCH(J970,CIBIL_From,1))</f>
        <v/>
      </c>
      <c r="W970" s="41">
        <f>YEAR(F970)&amp;"-Q"&amp;ROUNDUP(MONTH(F970)/3,0)</f>
        <v/>
      </c>
      <c r="X970" s="41">
        <f>IF(AND(OR(Dashboard!$C$4="All",D970=Dashboard!$C$4),OR(Dashboard!$C$5="All",E970=Dashboard!$C$5)),1,0)</f>
        <v/>
      </c>
      <c r="Y970" s="43">
        <f>IF(AND(X970=1,S970="Yes"),O970+ROW()/1000000,0)</f>
        <v/>
      </c>
    </row>
    <row r="971">
      <c r="A971" s="35" t="inlineStr">
        <is>
          <t>LN100970</t>
        </is>
      </c>
      <c r="B971" s="35" t="inlineStr">
        <is>
          <t>Priya Iyer</t>
        </is>
      </c>
      <c r="C971" s="35" t="inlineStr">
        <is>
          <t>PUN-01</t>
        </is>
      </c>
      <c r="D971" s="36">
        <f>INDEX(Branches!$C$2:$C$15,MATCH(C971,Branches!$A$2:$A$15,0))</f>
        <v/>
      </c>
      <c r="E971" s="35" t="inlineStr">
        <is>
          <t>Gold Loan</t>
        </is>
      </c>
      <c r="F971" s="37" t="n">
        <v>45286</v>
      </c>
      <c r="G971" s="38" t="n">
        <v>204000</v>
      </c>
      <c r="H971" s="39" t="n">
        <v>0.1081</v>
      </c>
      <c r="I971" s="35" t="n">
        <v>12</v>
      </c>
      <c r="J971" s="35" t="n">
        <v>781</v>
      </c>
      <c r="K971" s="35" t="n">
        <v>0</v>
      </c>
      <c r="L971" s="40">
        <f>ROUND(PMT(H971/12,I971,-G971),0)</f>
        <v/>
      </c>
      <c r="M971" s="41">
        <f>MAX(0,(YEAR(AsOfDate)-YEAR(F971))*12+MONTH(AsOfDate)-MONTH(F971))</f>
        <v/>
      </c>
      <c r="N971" s="41">
        <f>MAX(0,MIN(I971,M971)-INT(K971/30))</f>
        <v/>
      </c>
      <c r="O971" s="40">
        <f>IF(N971&gt;=I971,0,ROUND(PV(H971/12,I971-N971,-L971),0))</f>
        <v/>
      </c>
      <c r="P971" s="40">
        <f>MIN(I971,M971)*L971-N971*L971</f>
        <v/>
      </c>
      <c r="Q971" s="41">
        <f>INDEX(DPD_Bucket,MATCH(K971,DPD_From,1))</f>
        <v/>
      </c>
      <c r="R971" s="41">
        <f>INDEX(DPD_Class,MATCH(K971,DPD_From,1))</f>
        <v/>
      </c>
      <c r="S971" s="41">
        <f>INDEX(DPD_NPA,MATCH(K971,DPD_From,1))</f>
        <v/>
      </c>
      <c r="T971" s="42">
        <f>INDEX(DPD_Prov,MATCH(K971,DPD_From,1))</f>
        <v/>
      </c>
      <c r="U971" s="40">
        <f>ROUND(O971*T971,0)</f>
        <v/>
      </c>
      <c r="V971" s="41">
        <f>INDEX(CIBIL_Grade,MATCH(J971,CIBIL_From,1))</f>
        <v/>
      </c>
      <c r="W971" s="41">
        <f>YEAR(F971)&amp;"-Q"&amp;ROUNDUP(MONTH(F971)/3,0)</f>
        <v/>
      </c>
      <c r="X971" s="41">
        <f>IF(AND(OR(Dashboard!$C$4="All",D971=Dashboard!$C$4),OR(Dashboard!$C$5="All",E971=Dashboard!$C$5)),1,0)</f>
        <v/>
      </c>
      <c r="Y971" s="43">
        <f>IF(AND(X971=1,S971="Yes"),O971+ROW()/1000000,0)</f>
        <v/>
      </c>
    </row>
    <row r="972">
      <c r="A972" s="35" t="inlineStr">
        <is>
          <t>LN100971</t>
        </is>
      </c>
      <c r="B972" s="35" t="inlineStr">
        <is>
          <t>Pooja Reddy</t>
        </is>
      </c>
      <c r="C972" s="35" t="inlineStr">
        <is>
          <t>KOL-01</t>
        </is>
      </c>
      <c r="D972" s="36">
        <f>INDEX(Branches!$C$2:$C$15,MATCH(C972,Branches!$A$2:$A$15,0))</f>
        <v/>
      </c>
      <c r="E972" s="35" t="inlineStr">
        <is>
          <t>Home Loan</t>
        </is>
      </c>
      <c r="F972" s="37" t="n">
        <v>45198</v>
      </c>
      <c r="G972" s="38" t="n">
        <v>4775000</v>
      </c>
      <c r="H972" s="39" t="n">
        <v>0.092</v>
      </c>
      <c r="I972" s="35" t="n">
        <v>240</v>
      </c>
      <c r="J972" s="35" t="n">
        <v>780</v>
      </c>
      <c r="K972" s="35" t="n">
        <v>0</v>
      </c>
      <c r="L972" s="40">
        <f>ROUND(PMT(H972/12,I972,-G972),0)</f>
        <v/>
      </c>
      <c r="M972" s="41">
        <f>MAX(0,(YEAR(AsOfDate)-YEAR(F972))*12+MONTH(AsOfDate)-MONTH(F972))</f>
        <v/>
      </c>
      <c r="N972" s="41">
        <f>MAX(0,MIN(I972,M972)-INT(K972/30))</f>
        <v/>
      </c>
      <c r="O972" s="40">
        <f>IF(N972&gt;=I972,0,ROUND(PV(H972/12,I972-N972,-L972),0))</f>
        <v/>
      </c>
      <c r="P972" s="40">
        <f>MIN(I972,M972)*L972-N972*L972</f>
        <v/>
      </c>
      <c r="Q972" s="41">
        <f>INDEX(DPD_Bucket,MATCH(K972,DPD_From,1))</f>
        <v/>
      </c>
      <c r="R972" s="41">
        <f>INDEX(DPD_Class,MATCH(K972,DPD_From,1))</f>
        <v/>
      </c>
      <c r="S972" s="41">
        <f>INDEX(DPD_NPA,MATCH(K972,DPD_From,1))</f>
        <v/>
      </c>
      <c r="T972" s="42">
        <f>INDEX(DPD_Prov,MATCH(K972,DPD_From,1))</f>
        <v/>
      </c>
      <c r="U972" s="40">
        <f>ROUND(O972*T972,0)</f>
        <v/>
      </c>
      <c r="V972" s="41">
        <f>INDEX(CIBIL_Grade,MATCH(J972,CIBIL_From,1))</f>
        <v/>
      </c>
      <c r="W972" s="41">
        <f>YEAR(F972)&amp;"-Q"&amp;ROUNDUP(MONTH(F972)/3,0)</f>
        <v/>
      </c>
      <c r="X972" s="41">
        <f>IF(AND(OR(Dashboard!$C$4="All",D972=Dashboard!$C$4),OR(Dashboard!$C$5="All",E972=Dashboard!$C$5)),1,0)</f>
        <v/>
      </c>
      <c r="Y972" s="43">
        <f>IF(AND(X972=1,S972="Yes"),O972+ROW()/1000000,0)</f>
        <v/>
      </c>
    </row>
    <row r="973">
      <c r="A973" s="35" t="inlineStr">
        <is>
          <t>LN100972</t>
        </is>
      </c>
      <c r="B973" s="35" t="inlineStr">
        <is>
          <t>Sneha Khan</t>
        </is>
      </c>
      <c r="C973" s="35" t="inlineStr">
        <is>
          <t>DEL-01</t>
        </is>
      </c>
      <c r="D973" s="36">
        <f>INDEX(Branches!$C$2:$C$15,MATCH(C973,Branches!$A$2:$A$15,0))</f>
        <v/>
      </c>
      <c r="E973" s="35" t="inlineStr">
        <is>
          <t>Gold Loan</t>
        </is>
      </c>
      <c r="F973" s="37" t="n">
        <v>46046</v>
      </c>
      <c r="G973" s="38" t="n">
        <v>146000</v>
      </c>
      <c r="H973" s="39" t="n">
        <v>0.0963</v>
      </c>
      <c r="I973" s="35" t="n">
        <v>12</v>
      </c>
      <c r="J973" s="35" t="n">
        <v>774</v>
      </c>
      <c r="K973" s="35" t="n">
        <v>0</v>
      </c>
      <c r="L973" s="40">
        <f>ROUND(PMT(H973/12,I973,-G973),0)</f>
        <v/>
      </c>
      <c r="M973" s="41">
        <f>MAX(0,(YEAR(AsOfDate)-YEAR(F973))*12+MONTH(AsOfDate)-MONTH(F973))</f>
        <v/>
      </c>
      <c r="N973" s="41">
        <f>MAX(0,MIN(I973,M973)-INT(K973/30))</f>
        <v/>
      </c>
      <c r="O973" s="40">
        <f>IF(N973&gt;=I973,0,ROUND(PV(H973/12,I973-N973,-L973),0))</f>
        <v/>
      </c>
      <c r="P973" s="40">
        <f>MIN(I973,M973)*L973-N973*L973</f>
        <v/>
      </c>
      <c r="Q973" s="41">
        <f>INDEX(DPD_Bucket,MATCH(K973,DPD_From,1))</f>
        <v/>
      </c>
      <c r="R973" s="41">
        <f>INDEX(DPD_Class,MATCH(K973,DPD_From,1))</f>
        <v/>
      </c>
      <c r="S973" s="41">
        <f>INDEX(DPD_NPA,MATCH(K973,DPD_From,1))</f>
        <v/>
      </c>
      <c r="T973" s="42">
        <f>INDEX(DPD_Prov,MATCH(K973,DPD_From,1))</f>
        <v/>
      </c>
      <c r="U973" s="40">
        <f>ROUND(O973*T973,0)</f>
        <v/>
      </c>
      <c r="V973" s="41">
        <f>INDEX(CIBIL_Grade,MATCH(J973,CIBIL_From,1))</f>
        <v/>
      </c>
      <c r="W973" s="41">
        <f>YEAR(F973)&amp;"-Q"&amp;ROUNDUP(MONTH(F973)/3,0)</f>
        <v/>
      </c>
      <c r="X973" s="41">
        <f>IF(AND(OR(Dashboard!$C$4="All",D973=Dashboard!$C$4),OR(Dashboard!$C$5="All",E973=Dashboard!$C$5)),1,0)</f>
        <v/>
      </c>
      <c r="Y973" s="43">
        <f>IF(AND(X973=1,S973="Yes"),O973+ROW()/1000000,0)</f>
        <v/>
      </c>
    </row>
    <row r="974">
      <c r="A974" s="35" t="inlineStr">
        <is>
          <t>LN100973</t>
        </is>
      </c>
      <c r="B974" s="35" t="inlineStr">
        <is>
          <t>Aditya Gupta</t>
        </is>
      </c>
      <c r="C974" s="35" t="inlineStr">
        <is>
          <t>AMD-01</t>
        </is>
      </c>
      <c r="D974" s="36">
        <f>INDEX(Branches!$C$2:$C$15,MATCH(C974,Branches!$A$2:$A$15,0))</f>
        <v/>
      </c>
      <c r="E974" s="35" t="inlineStr">
        <is>
          <t>Home Loan</t>
        </is>
      </c>
      <c r="F974" s="37" t="n">
        <v>45307</v>
      </c>
      <c r="G974" s="38" t="n">
        <v>3062000</v>
      </c>
      <c r="H974" s="39" t="n">
        <v>0.09619999999999999</v>
      </c>
      <c r="I974" s="35" t="n">
        <v>240</v>
      </c>
      <c r="J974" s="35" t="n">
        <v>725</v>
      </c>
      <c r="K974" s="35" t="n">
        <v>0</v>
      </c>
      <c r="L974" s="40">
        <f>ROUND(PMT(H974/12,I974,-G974),0)</f>
        <v/>
      </c>
      <c r="M974" s="41">
        <f>MAX(0,(YEAR(AsOfDate)-YEAR(F974))*12+MONTH(AsOfDate)-MONTH(F974))</f>
        <v/>
      </c>
      <c r="N974" s="41">
        <f>MAX(0,MIN(I974,M974)-INT(K974/30))</f>
        <v/>
      </c>
      <c r="O974" s="40">
        <f>IF(N974&gt;=I974,0,ROUND(PV(H974/12,I974-N974,-L974),0))</f>
        <v/>
      </c>
      <c r="P974" s="40">
        <f>MIN(I974,M974)*L974-N974*L974</f>
        <v/>
      </c>
      <c r="Q974" s="41">
        <f>INDEX(DPD_Bucket,MATCH(K974,DPD_From,1))</f>
        <v/>
      </c>
      <c r="R974" s="41">
        <f>INDEX(DPD_Class,MATCH(K974,DPD_From,1))</f>
        <v/>
      </c>
      <c r="S974" s="41">
        <f>INDEX(DPD_NPA,MATCH(K974,DPD_From,1))</f>
        <v/>
      </c>
      <c r="T974" s="42">
        <f>INDEX(DPD_Prov,MATCH(K974,DPD_From,1))</f>
        <v/>
      </c>
      <c r="U974" s="40">
        <f>ROUND(O974*T974,0)</f>
        <v/>
      </c>
      <c r="V974" s="41">
        <f>INDEX(CIBIL_Grade,MATCH(J974,CIBIL_From,1))</f>
        <v/>
      </c>
      <c r="W974" s="41">
        <f>YEAR(F974)&amp;"-Q"&amp;ROUNDUP(MONTH(F974)/3,0)</f>
        <v/>
      </c>
      <c r="X974" s="41">
        <f>IF(AND(OR(Dashboard!$C$4="All",D974=Dashboard!$C$4),OR(Dashboard!$C$5="All",E974=Dashboard!$C$5)),1,0)</f>
        <v/>
      </c>
      <c r="Y974" s="43">
        <f>IF(AND(X974=1,S974="Yes"),O974+ROW()/1000000,0)</f>
        <v/>
      </c>
    </row>
    <row r="975">
      <c r="A975" s="35" t="inlineStr">
        <is>
          <t>LN100974</t>
        </is>
      </c>
      <c r="B975" s="35" t="inlineStr">
        <is>
          <t>Ananya Patel</t>
        </is>
      </c>
      <c r="C975" s="35" t="inlineStr">
        <is>
          <t>GUW-01</t>
        </is>
      </c>
      <c r="D975" s="36">
        <f>INDEX(Branches!$C$2:$C$15,MATCH(C975,Branches!$A$2:$A$15,0))</f>
        <v/>
      </c>
      <c r="E975" s="35" t="inlineStr">
        <is>
          <t>Personal Loan</t>
        </is>
      </c>
      <c r="F975" s="37" t="n">
        <v>45735</v>
      </c>
      <c r="G975" s="38" t="n">
        <v>175000</v>
      </c>
      <c r="H975" s="39" t="n">
        <v>0.1721</v>
      </c>
      <c r="I975" s="35" t="n">
        <v>48</v>
      </c>
      <c r="J975" s="35" t="n">
        <v>812</v>
      </c>
      <c r="K975" s="35" t="n">
        <v>0</v>
      </c>
      <c r="L975" s="40">
        <f>ROUND(PMT(H975/12,I975,-G975),0)</f>
        <v/>
      </c>
      <c r="M975" s="41">
        <f>MAX(0,(YEAR(AsOfDate)-YEAR(F975))*12+MONTH(AsOfDate)-MONTH(F975))</f>
        <v/>
      </c>
      <c r="N975" s="41">
        <f>MAX(0,MIN(I975,M975)-INT(K975/30))</f>
        <v/>
      </c>
      <c r="O975" s="40">
        <f>IF(N975&gt;=I975,0,ROUND(PV(H975/12,I975-N975,-L975),0))</f>
        <v/>
      </c>
      <c r="P975" s="40">
        <f>MIN(I975,M975)*L975-N975*L975</f>
        <v/>
      </c>
      <c r="Q975" s="41">
        <f>INDEX(DPD_Bucket,MATCH(K975,DPD_From,1))</f>
        <v/>
      </c>
      <c r="R975" s="41">
        <f>INDEX(DPD_Class,MATCH(K975,DPD_From,1))</f>
        <v/>
      </c>
      <c r="S975" s="41">
        <f>INDEX(DPD_NPA,MATCH(K975,DPD_From,1))</f>
        <v/>
      </c>
      <c r="T975" s="42">
        <f>INDEX(DPD_Prov,MATCH(K975,DPD_From,1))</f>
        <v/>
      </c>
      <c r="U975" s="40">
        <f>ROUND(O975*T975,0)</f>
        <v/>
      </c>
      <c r="V975" s="41">
        <f>INDEX(CIBIL_Grade,MATCH(J975,CIBIL_From,1))</f>
        <v/>
      </c>
      <c r="W975" s="41">
        <f>YEAR(F975)&amp;"-Q"&amp;ROUNDUP(MONTH(F975)/3,0)</f>
        <v/>
      </c>
      <c r="X975" s="41">
        <f>IF(AND(OR(Dashboard!$C$4="All",D975=Dashboard!$C$4),OR(Dashboard!$C$5="All",E975=Dashboard!$C$5)),1,0)</f>
        <v/>
      </c>
      <c r="Y975" s="43">
        <f>IF(AND(X975=1,S975="Yes"),O975+ROW()/1000000,0)</f>
        <v/>
      </c>
    </row>
    <row r="976">
      <c r="A976" s="35" t="inlineStr">
        <is>
          <t>LN100975</t>
        </is>
      </c>
      <c r="B976" s="35" t="inlineStr">
        <is>
          <t>Rohan Patel</t>
        </is>
      </c>
      <c r="C976" s="35" t="inlineStr">
        <is>
          <t>BBS-01</t>
        </is>
      </c>
      <c r="D976" s="36">
        <f>INDEX(Branches!$C$2:$C$15,MATCH(C976,Branches!$A$2:$A$15,0))</f>
        <v/>
      </c>
      <c r="E976" s="35" t="inlineStr">
        <is>
          <t>Personal Loan</t>
        </is>
      </c>
      <c r="F976" s="37" t="n">
        <v>45837</v>
      </c>
      <c r="G976" s="38" t="n">
        <v>711000</v>
      </c>
      <c r="H976" s="39" t="n">
        <v>0.1734</v>
      </c>
      <c r="I976" s="35" t="n">
        <v>36</v>
      </c>
      <c r="J976" s="35" t="n">
        <v>776</v>
      </c>
      <c r="K976" s="35" t="n">
        <v>0</v>
      </c>
      <c r="L976" s="40">
        <f>ROUND(PMT(H976/12,I976,-G976),0)</f>
        <v/>
      </c>
      <c r="M976" s="41">
        <f>MAX(0,(YEAR(AsOfDate)-YEAR(F976))*12+MONTH(AsOfDate)-MONTH(F976))</f>
        <v/>
      </c>
      <c r="N976" s="41">
        <f>MAX(0,MIN(I976,M976)-INT(K976/30))</f>
        <v/>
      </c>
      <c r="O976" s="40">
        <f>IF(N976&gt;=I976,0,ROUND(PV(H976/12,I976-N976,-L976),0))</f>
        <v/>
      </c>
      <c r="P976" s="40">
        <f>MIN(I976,M976)*L976-N976*L976</f>
        <v/>
      </c>
      <c r="Q976" s="41">
        <f>INDEX(DPD_Bucket,MATCH(K976,DPD_From,1))</f>
        <v/>
      </c>
      <c r="R976" s="41">
        <f>INDEX(DPD_Class,MATCH(K976,DPD_From,1))</f>
        <v/>
      </c>
      <c r="S976" s="41">
        <f>INDEX(DPD_NPA,MATCH(K976,DPD_From,1))</f>
        <v/>
      </c>
      <c r="T976" s="42">
        <f>INDEX(DPD_Prov,MATCH(K976,DPD_From,1))</f>
        <v/>
      </c>
      <c r="U976" s="40">
        <f>ROUND(O976*T976,0)</f>
        <v/>
      </c>
      <c r="V976" s="41">
        <f>INDEX(CIBIL_Grade,MATCH(J976,CIBIL_From,1))</f>
        <v/>
      </c>
      <c r="W976" s="41">
        <f>YEAR(F976)&amp;"-Q"&amp;ROUNDUP(MONTH(F976)/3,0)</f>
        <v/>
      </c>
      <c r="X976" s="41">
        <f>IF(AND(OR(Dashboard!$C$4="All",D976=Dashboard!$C$4),OR(Dashboard!$C$5="All",E976=Dashboard!$C$5)),1,0)</f>
        <v/>
      </c>
      <c r="Y976" s="43">
        <f>IF(AND(X976=1,S976="Yes"),O976+ROW()/1000000,0)</f>
        <v/>
      </c>
    </row>
    <row r="977">
      <c r="A977" s="35" t="inlineStr">
        <is>
          <t>LN100976</t>
        </is>
      </c>
      <c r="B977" s="35" t="inlineStr">
        <is>
          <t>Sai Joshi</t>
        </is>
      </c>
      <c r="C977" s="35" t="inlineStr">
        <is>
          <t>HYD-01</t>
        </is>
      </c>
      <c r="D977" s="36">
        <f>INDEX(Branches!$C$2:$C$15,MATCH(C977,Branches!$A$2:$A$15,0))</f>
        <v/>
      </c>
      <c r="E977" s="35" t="inlineStr">
        <is>
          <t>Personal Loan</t>
        </is>
      </c>
      <c r="F977" s="37" t="n">
        <v>45767</v>
      </c>
      <c r="G977" s="38" t="n">
        <v>799000</v>
      </c>
      <c r="H977" s="39" t="n">
        <v>0.1287</v>
      </c>
      <c r="I977" s="35" t="n">
        <v>12</v>
      </c>
      <c r="J977" s="35" t="n">
        <v>859</v>
      </c>
      <c r="K977" s="35" t="n">
        <v>0</v>
      </c>
      <c r="L977" s="40">
        <f>ROUND(PMT(H977/12,I977,-G977),0)</f>
        <v/>
      </c>
      <c r="M977" s="41">
        <f>MAX(0,(YEAR(AsOfDate)-YEAR(F977))*12+MONTH(AsOfDate)-MONTH(F977))</f>
        <v/>
      </c>
      <c r="N977" s="41">
        <f>MAX(0,MIN(I977,M977)-INT(K977/30))</f>
        <v/>
      </c>
      <c r="O977" s="40">
        <f>IF(N977&gt;=I977,0,ROUND(PV(H977/12,I977-N977,-L977),0))</f>
        <v/>
      </c>
      <c r="P977" s="40">
        <f>MIN(I977,M977)*L977-N977*L977</f>
        <v/>
      </c>
      <c r="Q977" s="41">
        <f>INDEX(DPD_Bucket,MATCH(K977,DPD_From,1))</f>
        <v/>
      </c>
      <c r="R977" s="41">
        <f>INDEX(DPD_Class,MATCH(K977,DPD_From,1))</f>
        <v/>
      </c>
      <c r="S977" s="41">
        <f>INDEX(DPD_NPA,MATCH(K977,DPD_From,1))</f>
        <v/>
      </c>
      <c r="T977" s="42">
        <f>INDEX(DPD_Prov,MATCH(K977,DPD_From,1))</f>
        <v/>
      </c>
      <c r="U977" s="40">
        <f>ROUND(O977*T977,0)</f>
        <v/>
      </c>
      <c r="V977" s="41">
        <f>INDEX(CIBIL_Grade,MATCH(J977,CIBIL_From,1))</f>
        <v/>
      </c>
      <c r="W977" s="41">
        <f>YEAR(F977)&amp;"-Q"&amp;ROUNDUP(MONTH(F977)/3,0)</f>
        <v/>
      </c>
      <c r="X977" s="41">
        <f>IF(AND(OR(Dashboard!$C$4="All",D977=Dashboard!$C$4),OR(Dashboard!$C$5="All",E977=Dashboard!$C$5)),1,0)</f>
        <v/>
      </c>
      <c r="Y977" s="43">
        <f>IF(AND(X977=1,S977="Yes"),O977+ROW()/1000000,0)</f>
        <v/>
      </c>
    </row>
    <row r="978">
      <c r="A978" s="35" t="inlineStr">
        <is>
          <t>LN100977</t>
        </is>
      </c>
      <c r="B978" s="35" t="inlineStr">
        <is>
          <t>Tanvi Reddy</t>
        </is>
      </c>
      <c r="C978" s="35" t="inlineStr">
        <is>
          <t>KOL-01</t>
        </is>
      </c>
      <c r="D978" s="36">
        <f>INDEX(Branches!$C$2:$C$15,MATCH(C978,Branches!$A$2:$A$15,0))</f>
        <v/>
      </c>
      <c r="E978" s="35" t="inlineStr">
        <is>
          <t>Business Loan</t>
        </is>
      </c>
      <c r="F978" s="37" t="n">
        <v>45635</v>
      </c>
      <c r="G978" s="38" t="n">
        <v>2522000</v>
      </c>
      <c r="H978" s="39" t="n">
        <v>0.1979</v>
      </c>
      <c r="I978" s="35" t="n">
        <v>60</v>
      </c>
      <c r="J978" s="35" t="n">
        <v>730</v>
      </c>
      <c r="K978" s="35" t="n">
        <v>0</v>
      </c>
      <c r="L978" s="40">
        <f>ROUND(PMT(H978/12,I978,-G978),0)</f>
        <v/>
      </c>
      <c r="M978" s="41">
        <f>MAX(0,(YEAR(AsOfDate)-YEAR(F978))*12+MONTH(AsOfDate)-MONTH(F978))</f>
        <v/>
      </c>
      <c r="N978" s="41">
        <f>MAX(0,MIN(I978,M978)-INT(K978/30))</f>
        <v/>
      </c>
      <c r="O978" s="40">
        <f>IF(N978&gt;=I978,0,ROUND(PV(H978/12,I978-N978,-L978),0))</f>
        <v/>
      </c>
      <c r="P978" s="40">
        <f>MIN(I978,M978)*L978-N978*L978</f>
        <v/>
      </c>
      <c r="Q978" s="41">
        <f>INDEX(DPD_Bucket,MATCH(K978,DPD_From,1))</f>
        <v/>
      </c>
      <c r="R978" s="41">
        <f>INDEX(DPD_Class,MATCH(K978,DPD_From,1))</f>
        <v/>
      </c>
      <c r="S978" s="41">
        <f>INDEX(DPD_NPA,MATCH(K978,DPD_From,1))</f>
        <v/>
      </c>
      <c r="T978" s="42">
        <f>INDEX(DPD_Prov,MATCH(K978,DPD_From,1))</f>
        <v/>
      </c>
      <c r="U978" s="40">
        <f>ROUND(O978*T978,0)</f>
        <v/>
      </c>
      <c r="V978" s="41">
        <f>INDEX(CIBIL_Grade,MATCH(J978,CIBIL_From,1))</f>
        <v/>
      </c>
      <c r="W978" s="41">
        <f>YEAR(F978)&amp;"-Q"&amp;ROUNDUP(MONTH(F978)/3,0)</f>
        <v/>
      </c>
      <c r="X978" s="41">
        <f>IF(AND(OR(Dashboard!$C$4="All",D978=Dashboard!$C$4),OR(Dashboard!$C$5="All",E978=Dashboard!$C$5)),1,0)</f>
        <v/>
      </c>
      <c r="Y978" s="43">
        <f>IF(AND(X978=1,S978="Yes"),O978+ROW()/1000000,0)</f>
        <v/>
      </c>
    </row>
    <row r="979">
      <c r="A979" s="35" t="inlineStr">
        <is>
          <t>LN100978</t>
        </is>
      </c>
      <c r="B979" s="35" t="inlineStr">
        <is>
          <t>Rohan Patel</t>
        </is>
      </c>
      <c r="C979" s="35" t="inlineStr">
        <is>
          <t>JAI-01</t>
        </is>
      </c>
      <c r="D979" s="36">
        <f>INDEX(Branches!$C$2:$C$15,MATCH(C979,Branches!$A$2:$A$15,0))</f>
        <v/>
      </c>
      <c r="E979" s="35" t="inlineStr">
        <is>
          <t>Home Loan</t>
        </is>
      </c>
      <c r="F979" s="37" t="n">
        <v>45789</v>
      </c>
      <c r="G979" s="38" t="n">
        <v>6908000</v>
      </c>
      <c r="H979" s="39" t="n">
        <v>0.08890000000000001</v>
      </c>
      <c r="I979" s="35" t="n">
        <v>120</v>
      </c>
      <c r="J979" s="35" t="n">
        <v>734</v>
      </c>
      <c r="K979" s="35" t="n">
        <v>0</v>
      </c>
      <c r="L979" s="40">
        <f>ROUND(PMT(H979/12,I979,-G979),0)</f>
        <v/>
      </c>
      <c r="M979" s="41">
        <f>MAX(0,(YEAR(AsOfDate)-YEAR(F979))*12+MONTH(AsOfDate)-MONTH(F979))</f>
        <v/>
      </c>
      <c r="N979" s="41">
        <f>MAX(0,MIN(I979,M979)-INT(K979/30))</f>
        <v/>
      </c>
      <c r="O979" s="40">
        <f>IF(N979&gt;=I979,0,ROUND(PV(H979/12,I979-N979,-L979),0))</f>
        <v/>
      </c>
      <c r="P979" s="40">
        <f>MIN(I979,M979)*L979-N979*L979</f>
        <v/>
      </c>
      <c r="Q979" s="41">
        <f>INDEX(DPD_Bucket,MATCH(K979,DPD_From,1))</f>
        <v/>
      </c>
      <c r="R979" s="41">
        <f>INDEX(DPD_Class,MATCH(K979,DPD_From,1))</f>
        <v/>
      </c>
      <c r="S979" s="41">
        <f>INDEX(DPD_NPA,MATCH(K979,DPD_From,1))</f>
        <v/>
      </c>
      <c r="T979" s="42">
        <f>INDEX(DPD_Prov,MATCH(K979,DPD_From,1))</f>
        <v/>
      </c>
      <c r="U979" s="40">
        <f>ROUND(O979*T979,0)</f>
        <v/>
      </c>
      <c r="V979" s="41">
        <f>INDEX(CIBIL_Grade,MATCH(J979,CIBIL_From,1))</f>
        <v/>
      </c>
      <c r="W979" s="41">
        <f>YEAR(F979)&amp;"-Q"&amp;ROUNDUP(MONTH(F979)/3,0)</f>
        <v/>
      </c>
      <c r="X979" s="41">
        <f>IF(AND(OR(Dashboard!$C$4="All",D979=Dashboard!$C$4),OR(Dashboard!$C$5="All",E979=Dashboard!$C$5)),1,0)</f>
        <v/>
      </c>
      <c r="Y979" s="43">
        <f>IF(AND(X979=1,S979="Yes"),O979+ROW()/1000000,0)</f>
        <v/>
      </c>
    </row>
    <row r="980">
      <c r="A980" s="35" t="inlineStr">
        <is>
          <t>LN100979</t>
        </is>
      </c>
      <c r="B980" s="35" t="inlineStr">
        <is>
          <t>Rahul Nair</t>
        </is>
      </c>
      <c r="C980" s="35" t="inlineStr">
        <is>
          <t>BBS-01</t>
        </is>
      </c>
      <c r="D980" s="36">
        <f>INDEX(Branches!$C$2:$C$15,MATCH(C980,Branches!$A$2:$A$15,0))</f>
        <v/>
      </c>
      <c r="E980" s="35" t="inlineStr">
        <is>
          <t>Gold Loan</t>
        </is>
      </c>
      <c r="F980" s="37" t="n">
        <v>45415</v>
      </c>
      <c r="G980" s="38" t="n">
        <v>275000</v>
      </c>
      <c r="H980" s="39" t="n">
        <v>0.12</v>
      </c>
      <c r="I980" s="35" t="n">
        <v>6</v>
      </c>
      <c r="J980" s="35" t="n">
        <v>738</v>
      </c>
      <c r="K980" s="35" t="n">
        <v>0</v>
      </c>
      <c r="L980" s="40">
        <f>ROUND(PMT(H980/12,I980,-G980),0)</f>
        <v/>
      </c>
      <c r="M980" s="41">
        <f>MAX(0,(YEAR(AsOfDate)-YEAR(F980))*12+MONTH(AsOfDate)-MONTH(F980))</f>
        <v/>
      </c>
      <c r="N980" s="41">
        <f>MAX(0,MIN(I980,M980)-INT(K980/30))</f>
        <v/>
      </c>
      <c r="O980" s="40">
        <f>IF(N980&gt;=I980,0,ROUND(PV(H980/12,I980-N980,-L980),0))</f>
        <v/>
      </c>
      <c r="P980" s="40">
        <f>MIN(I980,M980)*L980-N980*L980</f>
        <v/>
      </c>
      <c r="Q980" s="41">
        <f>INDEX(DPD_Bucket,MATCH(K980,DPD_From,1))</f>
        <v/>
      </c>
      <c r="R980" s="41">
        <f>INDEX(DPD_Class,MATCH(K980,DPD_From,1))</f>
        <v/>
      </c>
      <c r="S980" s="41">
        <f>INDEX(DPD_NPA,MATCH(K980,DPD_From,1))</f>
        <v/>
      </c>
      <c r="T980" s="42">
        <f>INDEX(DPD_Prov,MATCH(K980,DPD_From,1))</f>
        <v/>
      </c>
      <c r="U980" s="40">
        <f>ROUND(O980*T980,0)</f>
        <v/>
      </c>
      <c r="V980" s="41">
        <f>INDEX(CIBIL_Grade,MATCH(J980,CIBIL_From,1))</f>
        <v/>
      </c>
      <c r="W980" s="41">
        <f>YEAR(F980)&amp;"-Q"&amp;ROUNDUP(MONTH(F980)/3,0)</f>
        <v/>
      </c>
      <c r="X980" s="41">
        <f>IF(AND(OR(Dashboard!$C$4="All",D980=Dashboard!$C$4),OR(Dashboard!$C$5="All",E980=Dashboard!$C$5)),1,0)</f>
        <v/>
      </c>
      <c r="Y980" s="43">
        <f>IF(AND(X980=1,S980="Yes"),O980+ROW()/1000000,0)</f>
        <v/>
      </c>
    </row>
    <row r="981">
      <c r="A981" s="35" t="inlineStr">
        <is>
          <t>LN100980</t>
        </is>
      </c>
      <c r="B981" s="35" t="inlineStr">
        <is>
          <t>Meera Chatterjee</t>
        </is>
      </c>
      <c r="C981" s="35" t="inlineStr">
        <is>
          <t>PAT-01</t>
        </is>
      </c>
      <c r="D981" s="36">
        <f>INDEX(Branches!$C$2:$C$15,MATCH(C981,Branches!$A$2:$A$15,0))</f>
        <v/>
      </c>
      <c r="E981" s="35" t="inlineStr">
        <is>
          <t>Auto Loan</t>
        </is>
      </c>
      <c r="F981" s="37" t="n">
        <v>45452</v>
      </c>
      <c r="G981" s="38" t="n">
        <v>937000</v>
      </c>
      <c r="H981" s="39" t="n">
        <v>0.1177</v>
      </c>
      <c r="I981" s="35" t="n">
        <v>60</v>
      </c>
      <c r="J981" s="35" t="n">
        <v>725</v>
      </c>
      <c r="K981" s="35" t="n">
        <v>0</v>
      </c>
      <c r="L981" s="40">
        <f>ROUND(PMT(H981/12,I981,-G981),0)</f>
        <v/>
      </c>
      <c r="M981" s="41">
        <f>MAX(0,(YEAR(AsOfDate)-YEAR(F981))*12+MONTH(AsOfDate)-MONTH(F981))</f>
        <v/>
      </c>
      <c r="N981" s="41">
        <f>MAX(0,MIN(I981,M981)-INT(K981/30))</f>
        <v/>
      </c>
      <c r="O981" s="40">
        <f>IF(N981&gt;=I981,0,ROUND(PV(H981/12,I981-N981,-L981),0))</f>
        <v/>
      </c>
      <c r="P981" s="40">
        <f>MIN(I981,M981)*L981-N981*L981</f>
        <v/>
      </c>
      <c r="Q981" s="41">
        <f>INDEX(DPD_Bucket,MATCH(K981,DPD_From,1))</f>
        <v/>
      </c>
      <c r="R981" s="41">
        <f>INDEX(DPD_Class,MATCH(K981,DPD_From,1))</f>
        <v/>
      </c>
      <c r="S981" s="41">
        <f>INDEX(DPD_NPA,MATCH(K981,DPD_From,1))</f>
        <v/>
      </c>
      <c r="T981" s="42">
        <f>INDEX(DPD_Prov,MATCH(K981,DPD_From,1))</f>
        <v/>
      </c>
      <c r="U981" s="40">
        <f>ROUND(O981*T981,0)</f>
        <v/>
      </c>
      <c r="V981" s="41">
        <f>INDEX(CIBIL_Grade,MATCH(J981,CIBIL_From,1))</f>
        <v/>
      </c>
      <c r="W981" s="41">
        <f>YEAR(F981)&amp;"-Q"&amp;ROUNDUP(MONTH(F981)/3,0)</f>
        <v/>
      </c>
      <c r="X981" s="41">
        <f>IF(AND(OR(Dashboard!$C$4="All",D981=Dashboard!$C$4),OR(Dashboard!$C$5="All",E981=Dashboard!$C$5)),1,0)</f>
        <v/>
      </c>
      <c r="Y981" s="43">
        <f>IF(AND(X981=1,S981="Yes"),O981+ROW()/1000000,0)</f>
        <v/>
      </c>
    </row>
    <row r="982">
      <c r="A982" s="35" t="inlineStr">
        <is>
          <t>LN100981</t>
        </is>
      </c>
      <c r="B982" s="35" t="inlineStr">
        <is>
          <t>Diya Khan</t>
        </is>
      </c>
      <c r="C982" s="35" t="inlineStr">
        <is>
          <t>KOL-01</t>
        </is>
      </c>
      <c r="D982" s="36">
        <f>INDEX(Branches!$C$2:$C$15,MATCH(C982,Branches!$A$2:$A$15,0))</f>
        <v/>
      </c>
      <c r="E982" s="35" t="inlineStr">
        <is>
          <t>Personal Loan</t>
        </is>
      </c>
      <c r="F982" s="37" t="n">
        <v>45811</v>
      </c>
      <c r="G982" s="38" t="n">
        <v>497000</v>
      </c>
      <c r="H982" s="39" t="n">
        <v>0.1515</v>
      </c>
      <c r="I982" s="35" t="n">
        <v>36</v>
      </c>
      <c r="J982" s="35" t="n">
        <v>704</v>
      </c>
      <c r="K982" s="35" t="n">
        <v>0</v>
      </c>
      <c r="L982" s="40">
        <f>ROUND(PMT(H982/12,I982,-G982),0)</f>
        <v/>
      </c>
      <c r="M982" s="41">
        <f>MAX(0,(YEAR(AsOfDate)-YEAR(F982))*12+MONTH(AsOfDate)-MONTH(F982))</f>
        <v/>
      </c>
      <c r="N982" s="41">
        <f>MAX(0,MIN(I982,M982)-INT(K982/30))</f>
        <v/>
      </c>
      <c r="O982" s="40">
        <f>IF(N982&gt;=I982,0,ROUND(PV(H982/12,I982-N982,-L982),0))</f>
        <v/>
      </c>
      <c r="P982" s="40">
        <f>MIN(I982,M982)*L982-N982*L982</f>
        <v/>
      </c>
      <c r="Q982" s="41">
        <f>INDEX(DPD_Bucket,MATCH(K982,DPD_From,1))</f>
        <v/>
      </c>
      <c r="R982" s="41">
        <f>INDEX(DPD_Class,MATCH(K982,DPD_From,1))</f>
        <v/>
      </c>
      <c r="S982" s="41">
        <f>INDEX(DPD_NPA,MATCH(K982,DPD_From,1))</f>
        <v/>
      </c>
      <c r="T982" s="42">
        <f>INDEX(DPD_Prov,MATCH(K982,DPD_From,1))</f>
        <v/>
      </c>
      <c r="U982" s="40">
        <f>ROUND(O982*T982,0)</f>
        <v/>
      </c>
      <c r="V982" s="41">
        <f>INDEX(CIBIL_Grade,MATCH(J982,CIBIL_From,1))</f>
        <v/>
      </c>
      <c r="W982" s="41">
        <f>YEAR(F982)&amp;"-Q"&amp;ROUNDUP(MONTH(F982)/3,0)</f>
        <v/>
      </c>
      <c r="X982" s="41">
        <f>IF(AND(OR(Dashboard!$C$4="All",D982=Dashboard!$C$4),OR(Dashboard!$C$5="All",E982=Dashboard!$C$5)),1,0)</f>
        <v/>
      </c>
      <c r="Y982" s="43">
        <f>IF(AND(X982=1,S982="Yes"),O982+ROW()/1000000,0)</f>
        <v/>
      </c>
    </row>
    <row r="983">
      <c r="A983" s="35" t="inlineStr">
        <is>
          <t>LN100982</t>
        </is>
      </c>
      <c r="B983" s="35" t="inlineStr">
        <is>
          <t>Arjun Iyer</t>
        </is>
      </c>
      <c r="C983" s="35" t="inlineStr">
        <is>
          <t>KOL-01</t>
        </is>
      </c>
      <c r="D983" s="36">
        <f>INDEX(Branches!$C$2:$C$15,MATCH(C983,Branches!$A$2:$A$15,0))</f>
        <v/>
      </c>
      <c r="E983" s="35" t="inlineStr">
        <is>
          <t>Gold Loan</t>
        </is>
      </c>
      <c r="F983" s="37" t="n">
        <v>45994</v>
      </c>
      <c r="G983" s="38" t="n">
        <v>57000</v>
      </c>
      <c r="H983" s="39" t="n">
        <v>0.118</v>
      </c>
      <c r="I983" s="35" t="n">
        <v>6</v>
      </c>
      <c r="J983" s="35" t="n">
        <v>724</v>
      </c>
      <c r="K983" s="35" t="n">
        <v>0</v>
      </c>
      <c r="L983" s="40">
        <f>ROUND(PMT(H983/12,I983,-G983),0)</f>
        <v/>
      </c>
      <c r="M983" s="41">
        <f>MAX(0,(YEAR(AsOfDate)-YEAR(F983))*12+MONTH(AsOfDate)-MONTH(F983))</f>
        <v/>
      </c>
      <c r="N983" s="41">
        <f>MAX(0,MIN(I983,M983)-INT(K983/30))</f>
        <v/>
      </c>
      <c r="O983" s="40">
        <f>IF(N983&gt;=I983,0,ROUND(PV(H983/12,I983-N983,-L983),0))</f>
        <v/>
      </c>
      <c r="P983" s="40">
        <f>MIN(I983,M983)*L983-N983*L983</f>
        <v/>
      </c>
      <c r="Q983" s="41">
        <f>INDEX(DPD_Bucket,MATCH(K983,DPD_From,1))</f>
        <v/>
      </c>
      <c r="R983" s="41">
        <f>INDEX(DPD_Class,MATCH(K983,DPD_From,1))</f>
        <v/>
      </c>
      <c r="S983" s="41">
        <f>INDEX(DPD_NPA,MATCH(K983,DPD_From,1))</f>
        <v/>
      </c>
      <c r="T983" s="42">
        <f>INDEX(DPD_Prov,MATCH(K983,DPD_From,1))</f>
        <v/>
      </c>
      <c r="U983" s="40">
        <f>ROUND(O983*T983,0)</f>
        <v/>
      </c>
      <c r="V983" s="41">
        <f>INDEX(CIBIL_Grade,MATCH(J983,CIBIL_From,1))</f>
        <v/>
      </c>
      <c r="W983" s="41">
        <f>YEAR(F983)&amp;"-Q"&amp;ROUNDUP(MONTH(F983)/3,0)</f>
        <v/>
      </c>
      <c r="X983" s="41">
        <f>IF(AND(OR(Dashboard!$C$4="All",D983=Dashboard!$C$4),OR(Dashboard!$C$5="All",E983=Dashboard!$C$5)),1,0)</f>
        <v/>
      </c>
      <c r="Y983" s="43">
        <f>IF(AND(X983=1,S983="Yes"),O983+ROW()/1000000,0)</f>
        <v/>
      </c>
    </row>
    <row r="984">
      <c r="A984" s="35" t="inlineStr">
        <is>
          <t>LN100983</t>
        </is>
      </c>
      <c r="B984" s="35" t="inlineStr">
        <is>
          <t>Deepa Singh</t>
        </is>
      </c>
      <c r="C984" s="35" t="inlineStr">
        <is>
          <t>GUW-01</t>
        </is>
      </c>
      <c r="D984" s="36">
        <f>INDEX(Branches!$C$2:$C$15,MATCH(C984,Branches!$A$2:$A$15,0))</f>
        <v/>
      </c>
      <c r="E984" s="35" t="inlineStr">
        <is>
          <t>Home Loan</t>
        </is>
      </c>
      <c r="F984" s="37" t="n">
        <v>45969</v>
      </c>
      <c r="G984" s="38" t="n">
        <v>7468000</v>
      </c>
      <c r="H984" s="39" t="n">
        <v>0.0871</v>
      </c>
      <c r="I984" s="35" t="n">
        <v>240</v>
      </c>
      <c r="J984" s="35" t="n">
        <v>691</v>
      </c>
      <c r="K984" s="35" t="n">
        <v>0</v>
      </c>
      <c r="L984" s="40">
        <f>ROUND(PMT(H984/12,I984,-G984),0)</f>
        <v/>
      </c>
      <c r="M984" s="41">
        <f>MAX(0,(YEAR(AsOfDate)-YEAR(F984))*12+MONTH(AsOfDate)-MONTH(F984))</f>
        <v/>
      </c>
      <c r="N984" s="41">
        <f>MAX(0,MIN(I984,M984)-INT(K984/30))</f>
        <v/>
      </c>
      <c r="O984" s="40">
        <f>IF(N984&gt;=I984,0,ROUND(PV(H984/12,I984-N984,-L984),0))</f>
        <v/>
      </c>
      <c r="P984" s="40">
        <f>MIN(I984,M984)*L984-N984*L984</f>
        <v/>
      </c>
      <c r="Q984" s="41">
        <f>INDEX(DPD_Bucket,MATCH(K984,DPD_From,1))</f>
        <v/>
      </c>
      <c r="R984" s="41">
        <f>INDEX(DPD_Class,MATCH(K984,DPD_From,1))</f>
        <v/>
      </c>
      <c r="S984" s="41">
        <f>INDEX(DPD_NPA,MATCH(K984,DPD_From,1))</f>
        <v/>
      </c>
      <c r="T984" s="42">
        <f>INDEX(DPD_Prov,MATCH(K984,DPD_From,1))</f>
        <v/>
      </c>
      <c r="U984" s="40">
        <f>ROUND(O984*T984,0)</f>
        <v/>
      </c>
      <c r="V984" s="41">
        <f>INDEX(CIBIL_Grade,MATCH(J984,CIBIL_From,1))</f>
        <v/>
      </c>
      <c r="W984" s="41">
        <f>YEAR(F984)&amp;"-Q"&amp;ROUNDUP(MONTH(F984)/3,0)</f>
        <v/>
      </c>
      <c r="X984" s="41">
        <f>IF(AND(OR(Dashboard!$C$4="All",D984=Dashboard!$C$4),OR(Dashboard!$C$5="All",E984=Dashboard!$C$5)),1,0)</f>
        <v/>
      </c>
      <c r="Y984" s="43">
        <f>IF(AND(X984=1,S984="Yes"),O984+ROW()/1000000,0)</f>
        <v/>
      </c>
    </row>
    <row r="985">
      <c r="A985" s="35" t="inlineStr">
        <is>
          <t>LN100984</t>
        </is>
      </c>
      <c r="B985" s="35" t="inlineStr">
        <is>
          <t>Sneha Mohanty</t>
        </is>
      </c>
      <c r="C985" s="35" t="inlineStr">
        <is>
          <t>LKO-01</t>
        </is>
      </c>
      <c r="D985" s="36">
        <f>INDEX(Branches!$C$2:$C$15,MATCH(C985,Branches!$A$2:$A$15,0))</f>
        <v/>
      </c>
      <c r="E985" s="35" t="inlineStr">
        <is>
          <t>Personal Loan</t>
        </is>
      </c>
      <c r="F985" s="37" t="n">
        <v>45939</v>
      </c>
      <c r="G985" s="38" t="n">
        <v>497000</v>
      </c>
      <c r="H985" s="39" t="n">
        <v>0.171</v>
      </c>
      <c r="I985" s="35" t="n">
        <v>48</v>
      </c>
      <c r="J985" s="35" t="n">
        <v>686</v>
      </c>
      <c r="K985" s="35" t="n">
        <v>16</v>
      </c>
      <c r="L985" s="40">
        <f>ROUND(PMT(H985/12,I985,-G985),0)</f>
        <v/>
      </c>
      <c r="M985" s="41">
        <f>MAX(0,(YEAR(AsOfDate)-YEAR(F985))*12+MONTH(AsOfDate)-MONTH(F985))</f>
        <v/>
      </c>
      <c r="N985" s="41">
        <f>MAX(0,MIN(I985,M985)-INT(K985/30))</f>
        <v/>
      </c>
      <c r="O985" s="40">
        <f>IF(N985&gt;=I985,0,ROUND(PV(H985/12,I985-N985,-L985),0))</f>
        <v/>
      </c>
      <c r="P985" s="40">
        <f>MIN(I985,M985)*L985-N985*L985</f>
        <v/>
      </c>
      <c r="Q985" s="41">
        <f>INDEX(DPD_Bucket,MATCH(K985,DPD_From,1))</f>
        <v/>
      </c>
      <c r="R985" s="41">
        <f>INDEX(DPD_Class,MATCH(K985,DPD_From,1))</f>
        <v/>
      </c>
      <c r="S985" s="41">
        <f>INDEX(DPD_NPA,MATCH(K985,DPD_From,1))</f>
        <v/>
      </c>
      <c r="T985" s="42">
        <f>INDEX(DPD_Prov,MATCH(K985,DPD_From,1))</f>
        <v/>
      </c>
      <c r="U985" s="40">
        <f>ROUND(O985*T985,0)</f>
        <v/>
      </c>
      <c r="V985" s="41">
        <f>INDEX(CIBIL_Grade,MATCH(J985,CIBIL_From,1))</f>
        <v/>
      </c>
      <c r="W985" s="41">
        <f>YEAR(F985)&amp;"-Q"&amp;ROUNDUP(MONTH(F985)/3,0)</f>
        <v/>
      </c>
      <c r="X985" s="41">
        <f>IF(AND(OR(Dashboard!$C$4="All",D985=Dashboard!$C$4),OR(Dashboard!$C$5="All",E985=Dashboard!$C$5)),1,0)</f>
        <v/>
      </c>
      <c r="Y985" s="43">
        <f>IF(AND(X985=1,S985="Yes"),O985+ROW()/1000000,0)</f>
        <v/>
      </c>
    </row>
    <row r="986">
      <c r="A986" s="35" t="inlineStr">
        <is>
          <t>LN100985</t>
        </is>
      </c>
      <c r="B986" s="35" t="inlineStr">
        <is>
          <t>Reyansh Mishra</t>
        </is>
      </c>
      <c r="C986" s="35" t="inlineStr">
        <is>
          <t>AMD-01</t>
        </is>
      </c>
      <c r="D986" s="36">
        <f>INDEX(Branches!$C$2:$C$15,MATCH(C986,Branches!$A$2:$A$15,0))</f>
        <v/>
      </c>
      <c r="E986" s="35" t="inlineStr">
        <is>
          <t>Auto Loan</t>
        </is>
      </c>
      <c r="F986" s="37" t="n">
        <v>45679</v>
      </c>
      <c r="G986" s="38" t="n">
        <v>787000</v>
      </c>
      <c r="H986" s="39" t="n">
        <v>0.1192</v>
      </c>
      <c r="I986" s="35" t="n">
        <v>84</v>
      </c>
      <c r="J986" s="35" t="n">
        <v>855</v>
      </c>
      <c r="K986" s="35" t="n">
        <v>86</v>
      </c>
      <c r="L986" s="40">
        <f>ROUND(PMT(H986/12,I986,-G986),0)</f>
        <v/>
      </c>
      <c r="M986" s="41">
        <f>MAX(0,(YEAR(AsOfDate)-YEAR(F986))*12+MONTH(AsOfDate)-MONTH(F986))</f>
        <v/>
      </c>
      <c r="N986" s="41">
        <f>MAX(0,MIN(I986,M986)-INT(K986/30))</f>
        <v/>
      </c>
      <c r="O986" s="40">
        <f>IF(N986&gt;=I986,0,ROUND(PV(H986/12,I986-N986,-L986),0))</f>
        <v/>
      </c>
      <c r="P986" s="40">
        <f>MIN(I986,M986)*L986-N986*L986</f>
        <v/>
      </c>
      <c r="Q986" s="41">
        <f>INDEX(DPD_Bucket,MATCH(K986,DPD_From,1))</f>
        <v/>
      </c>
      <c r="R986" s="41">
        <f>INDEX(DPD_Class,MATCH(K986,DPD_From,1))</f>
        <v/>
      </c>
      <c r="S986" s="41">
        <f>INDEX(DPD_NPA,MATCH(K986,DPD_From,1))</f>
        <v/>
      </c>
      <c r="T986" s="42">
        <f>INDEX(DPD_Prov,MATCH(K986,DPD_From,1))</f>
        <v/>
      </c>
      <c r="U986" s="40">
        <f>ROUND(O986*T986,0)</f>
        <v/>
      </c>
      <c r="V986" s="41">
        <f>INDEX(CIBIL_Grade,MATCH(J986,CIBIL_From,1))</f>
        <v/>
      </c>
      <c r="W986" s="41">
        <f>YEAR(F986)&amp;"-Q"&amp;ROUNDUP(MONTH(F986)/3,0)</f>
        <v/>
      </c>
      <c r="X986" s="41">
        <f>IF(AND(OR(Dashboard!$C$4="All",D986=Dashboard!$C$4),OR(Dashboard!$C$5="All",E986=Dashboard!$C$5)),1,0)</f>
        <v/>
      </c>
      <c r="Y986" s="43">
        <f>IF(AND(X986=1,S986="Yes"),O986+ROW()/1000000,0)</f>
        <v/>
      </c>
    </row>
    <row r="987">
      <c r="A987" s="35" t="inlineStr">
        <is>
          <t>LN100986</t>
        </is>
      </c>
      <c r="B987" s="35" t="inlineStr">
        <is>
          <t>Nikhil Mishra</t>
        </is>
      </c>
      <c r="C987" s="35" t="inlineStr">
        <is>
          <t>AMD-01</t>
        </is>
      </c>
      <c r="D987" s="36">
        <f>INDEX(Branches!$C$2:$C$15,MATCH(C987,Branches!$A$2:$A$15,0))</f>
        <v/>
      </c>
      <c r="E987" s="35" t="inlineStr">
        <is>
          <t>Home Loan</t>
        </is>
      </c>
      <c r="F987" s="37" t="n">
        <v>45368</v>
      </c>
      <c r="G987" s="38" t="n">
        <v>3675000</v>
      </c>
      <c r="H987" s="39" t="n">
        <v>0.0929</v>
      </c>
      <c r="I987" s="35" t="n">
        <v>240</v>
      </c>
      <c r="J987" s="35" t="n">
        <v>738</v>
      </c>
      <c r="K987" s="35" t="n">
        <v>0</v>
      </c>
      <c r="L987" s="40">
        <f>ROUND(PMT(H987/12,I987,-G987),0)</f>
        <v/>
      </c>
      <c r="M987" s="41">
        <f>MAX(0,(YEAR(AsOfDate)-YEAR(F987))*12+MONTH(AsOfDate)-MONTH(F987))</f>
        <v/>
      </c>
      <c r="N987" s="41">
        <f>MAX(0,MIN(I987,M987)-INT(K987/30))</f>
        <v/>
      </c>
      <c r="O987" s="40">
        <f>IF(N987&gt;=I987,0,ROUND(PV(H987/12,I987-N987,-L987),0))</f>
        <v/>
      </c>
      <c r="P987" s="40">
        <f>MIN(I987,M987)*L987-N987*L987</f>
        <v/>
      </c>
      <c r="Q987" s="41">
        <f>INDEX(DPD_Bucket,MATCH(K987,DPD_From,1))</f>
        <v/>
      </c>
      <c r="R987" s="41">
        <f>INDEX(DPD_Class,MATCH(K987,DPD_From,1))</f>
        <v/>
      </c>
      <c r="S987" s="41">
        <f>INDEX(DPD_NPA,MATCH(K987,DPD_From,1))</f>
        <v/>
      </c>
      <c r="T987" s="42">
        <f>INDEX(DPD_Prov,MATCH(K987,DPD_From,1))</f>
        <v/>
      </c>
      <c r="U987" s="40">
        <f>ROUND(O987*T987,0)</f>
        <v/>
      </c>
      <c r="V987" s="41">
        <f>INDEX(CIBIL_Grade,MATCH(J987,CIBIL_From,1))</f>
        <v/>
      </c>
      <c r="W987" s="41">
        <f>YEAR(F987)&amp;"-Q"&amp;ROUNDUP(MONTH(F987)/3,0)</f>
        <v/>
      </c>
      <c r="X987" s="41">
        <f>IF(AND(OR(Dashboard!$C$4="All",D987=Dashboard!$C$4),OR(Dashboard!$C$5="All",E987=Dashboard!$C$5)),1,0)</f>
        <v/>
      </c>
      <c r="Y987" s="43">
        <f>IF(AND(X987=1,S987="Yes"),O987+ROW()/1000000,0)</f>
        <v/>
      </c>
    </row>
    <row r="988">
      <c r="A988" s="35" t="inlineStr">
        <is>
          <t>LN100987</t>
        </is>
      </c>
      <c r="B988" s="35" t="inlineStr">
        <is>
          <t>Arjun Reddy</t>
        </is>
      </c>
      <c r="C988" s="35" t="inlineStr">
        <is>
          <t>LKO-01</t>
        </is>
      </c>
      <c r="D988" s="36">
        <f>INDEX(Branches!$C$2:$C$15,MATCH(C988,Branches!$A$2:$A$15,0))</f>
        <v/>
      </c>
      <c r="E988" s="35" t="inlineStr">
        <is>
          <t>Gold Loan</t>
        </is>
      </c>
      <c r="F988" s="37" t="n">
        <v>45348</v>
      </c>
      <c r="G988" s="38" t="n">
        <v>103000</v>
      </c>
      <c r="H988" s="39" t="n">
        <v>0.1073</v>
      </c>
      <c r="I988" s="35" t="n">
        <v>6</v>
      </c>
      <c r="J988" s="35" t="n">
        <v>789</v>
      </c>
      <c r="K988" s="35" t="n">
        <v>0</v>
      </c>
      <c r="L988" s="40">
        <f>ROUND(PMT(H988/12,I988,-G988),0)</f>
        <v/>
      </c>
      <c r="M988" s="41">
        <f>MAX(0,(YEAR(AsOfDate)-YEAR(F988))*12+MONTH(AsOfDate)-MONTH(F988))</f>
        <v/>
      </c>
      <c r="N988" s="41">
        <f>MAX(0,MIN(I988,M988)-INT(K988/30))</f>
        <v/>
      </c>
      <c r="O988" s="40">
        <f>IF(N988&gt;=I988,0,ROUND(PV(H988/12,I988-N988,-L988),0))</f>
        <v/>
      </c>
      <c r="P988" s="40">
        <f>MIN(I988,M988)*L988-N988*L988</f>
        <v/>
      </c>
      <c r="Q988" s="41">
        <f>INDEX(DPD_Bucket,MATCH(K988,DPD_From,1))</f>
        <v/>
      </c>
      <c r="R988" s="41">
        <f>INDEX(DPD_Class,MATCH(K988,DPD_From,1))</f>
        <v/>
      </c>
      <c r="S988" s="41">
        <f>INDEX(DPD_NPA,MATCH(K988,DPD_From,1))</f>
        <v/>
      </c>
      <c r="T988" s="42">
        <f>INDEX(DPD_Prov,MATCH(K988,DPD_From,1))</f>
        <v/>
      </c>
      <c r="U988" s="40">
        <f>ROUND(O988*T988,0)</f>
        <v/>
      </c>
      <c r="V988" s="41">
        <f>INDEX(CIBIL_Grade,MATCH(J988,CIBIL_From,1))</f>
        <v/>
      </c>
      <c r="W988" s="41">
        <f>YEAR(F988)&amp;"-Q"&amp;ROUNDUP(MONTH(F988)/3,0)</f>
        <v/>
      </c>
      <c r="X988" s="41">
        <f>IF(AND(OR(Dashboard!$C$4="All",D988=Dashboard!$C$4),OR(Dashboard!$C$5="All",E988=Dashboard!$C$5)),1,0)</f>
        <v/>
      </c>
      <c r="Y988" s="43">
        <f>IF(AND(X988=1,S988="Yes"),O988+ROW()/1000000,0)</f>
        <v/>
      </c>
    </row>
    <row r="989">
      <c r="A989" s="35" t="inlineStr">
        <is>
          <t>LN100988</t>
        </is>
      </c>
      <c r="B989" s="35" t="inlineStr">
        <is>
          <t>Ishaan Iyer</t>
        </is>
      </c>
      <c r="C989" s="35" t="inlineStr">
        <is>
          <t>CHN-01</t>
        </is>
      </c>
      <c r="D989" s="36">
        <f>INDEX(Branches!$C$2:$C$15,MATCH(C989,Branches!$A$2:$A$15,0))</f>
        <v/>
      </c>
      <c r="E989" s="35" t="inlineStr">
        <is>
          <t>Auto Loan</t>
        </is>
      </c>
      <c r="F989" s="37" t="n">
        <v>45848</v>
      </c>
      <c r="G989" s="38" t="n">
        <v>441000</v>
      </c>
      <c r="H989" s="39" t="n">
        <v>0.08939999999999999</v>
      </c>
      <c r="I989" s="35" t="n">
        <v>60</v>
      </c>
      <c r="J989" s="35" t="n">
        <v>697</v>
      </c>
      <c r="K989" s="35" t="n">
        <v>0</v>
      </c>
      <c r="L989" s="40">
        <f>ROUND(PMT(H989/12,I989,-G989),0)</f>
        <v/>
      </c>
      <c r="M989" s="41">
        <f>MAX(0,(YEAR(AsOfDate)-YEAR(F989))*12+MONTH(AsOfDate)-MONTH(F989))</f>
        <v/>
      </c>
      <c r="N989" s="41">
        <f>MAX(0,MIN(I989,M989)-INT(K989/30))</f>
        <v/>
      </c>
      <c r="O989" s="40">
        <f>IF(N989&gt;=I989,0,ROUND(PV(H989/12,I989-N989,-L989),0))</f>
        <v/>
      </c>
      <c r="P989" s="40">
        <f>MIN(I989,M989)*L989-N989*L989</f>
        <v/>
      </c>
      <c r="Q989" s="41">
        <f>INDEX(DPD_Bucket,MATCH(K989,DPD_From,1))</f>
        <v/>
      </c>
      <c r="R989" s="41">
        <f>INDEX(DPD_Class,MATCH(K989,DPD_From,1))</f>
        <v/>
      </c>
      <c r="S989" s="41">
        <f>INDEX(DPD_NPA,MATCH(K989,DPD_From,1))</f>
        <v/>
      </c>
      <c r="T989" s="42">
        <f>INDEX(DPD_Prov,MATCH(K989,DPD_From,1))</f>
        <v/>
      </c>
      <c r="U989" s="40">
        <f>ROUND(O989*T989,0)</f>
        <v/>
      </c>
      <c r="V989" s="41">
        <f>INDEX(CIBIL_Grade,MATCH(J989,CIBIL_From,1))</f>
        <v/>
      </c>
      <c r="W989" s="41">
        <f>YEAR(F989)&amp;"-Q"&amp;ROUNDUP(MONTH(F989)/3,0)</f>
        <v/>
      </c>
      <c r="X989" s="41">
        <f>IF(AND(OR(Dashboard!$C$4="All",D989=Dashboard!$C$4),OR(Dashboard!$C$5="All",E989=Dashboard!$C$5)),1,0)</f>
        <v/>
      </c>
      <c r="Y989" s="43">
        <f>IF(AND(X989=1,S989="Yes"),O989+ROW()/1000000,0)</f>
        <v/>
      </c>
    </row>
    <row r="990">
      <c r="A990" s="35" t="inlineStr">
        <is>
          <t>LN100989</t>
        </is>
      </c>
      <c r="B990" s="35" t="inlineStr">
        <is>
          <t>Karthik Banerjee</t>
        </is>
      </c>
      <c r="C990" s="35" t="inlineStr">
        <is>
          <t>BLR-01</t>
        </is>
      </c>
      <c r="D990" s="36">
        <f>INDEX(Branches!$C$2:$C$15,MATCH(C990,Branches!$A$2:$A$15,0))</f>
        <v/>
      </c>
      <c r="E990" s="35" t="inlineStr">
        <is>
          <t>Business Loan</t>
        </is>
      </c>
      <c r="F990" s="37" t="n">
        <v>46117</v>
      </c>
      <c r="G990" s="38" t="n">
        <v>3841000</v>
      </c>
      <c r="H990" s="39" t="n">
        <v>0.1391</v>
      </c>
      <c r="I990" s="35" t="n">
        <v>24</v>
      </c>
      <c r="J990" s="35" t="n">
        <v>684</v>
      </c>
      <c r="K990" s="35" t="n">
        <v>0</v>
      </c>
      <c r="L990" s="40">
        <f>ROUND(PMT(H990/12,I990,-G990),0)</f>
        <v/>
      </c>
      <c r="M990" s="41">
        <f>MAX(0,(YEAR(AsOfDate)-YEAR(F990))*12+MONTH(AsOfDate)-MONTH(F990))</f>
        <v/>
      </c>
      <c r="N990" s="41">
        <f>MAX(0,MIN(I990,M990)-INT(K990/30))</f>
        <v/>
      </c>
      <c r="O990" s="40">
        <f>IF(N990&gt;=I990,0,ROUND(PV(H990/12,I990-N990,-L990),0))</f>
        <v/>
      </c>
      <c r="P990" s="40">
        <f>MIN(I990,M990)*L990-N990*L990</f>
        <v/>
      </c>
      <c r="Q990" s="41">
        <f>INDEX(DPD_Bucket,MATCH(K990,DPD_From,1))</f>
        <v/>
      </c>
      <c r="R990" s="41">
        <f>INDEX(DPD_Class,MATCH(K990,DPD_From,1))</f>
        <v/>
      </c>
      <c r="S990" s="41">
        <f>INDEX(DPD_NPA,MATCH(K990,DPD_From,1))</f>
        <v/>
      </c>
      <c r="T990" s="42">
        <f>INDEX(DPD_Prov,MATCH(K990,DPD_From,1))</f>
        <v/>
      </c>
      <c r="U990" s="40">
        <f>ROUND(O990*T990,0)</f>
        <v/>
      </c>
      <c r="V990" s="41">
        <f>INDEX(CIBIL_Grade,MATCH(J990,CIBIL_From,1))</f>
        <v/>
      </c>
      <c r="W990" s="41">
        <f>YEAR(F990)&amp;"-Q"&amp;ROUNDUP(MONTH(F990)/3,0)</f>
        <v/>
      </c>
      <c r="X990" s="41">
        <f>IF(AND(OR(Dashboard!$C$4="All",D990=Dashboard!$C$4),OR(Dashboard!$C$5="All",E990=Dashboard!$C$5)),1,0)</f>
        <v/>
      </c>
      <c r="Y990" s="43">
        <f>IF(AND(X990=1,S990="Yes"),O990+ROW()/1000000,0)</f>
        <v/>
      </c>
    </row>
    <row r="991">
      <c r="A991" s="35" t="inlineStr">
        <is>
          <t>LN100990</t>
        </is>
      </c>
      <c r="B991" s="35" t="inlineStr">
        <is>
          <t>Swati Mohanty</t>
        </is>
      </c>
      <c r="C991" s="35" t="inlineStr">
        <is>
          <t>MUM-01</t>
        </is>
      </c>
      <c r="D991" s="36">
        <f>INDEX(Branches!$C$2:$C$15,MATCH(C991,Branches!$A$2:$A$15,0))</f>
        <v/>
      </c>
      <c r="E991" s="35" t="inlineStr">
        <is>
          <t>Personal Loan</t>
        </is>
      </c>
      <c r="F991" s="37" t="n">
        <v>45791</v>
      </c>
      <c r="G991" s="38" t="n">
        <v>371000</v>
      </c>
      <c r="H991" s="39" t="n">
        <v>0.168</v>
      </c>
      <c r="I991" s="35" t="n">
        <v>36</v>
      </c>
      <c r="J991" s="35" t="n">
        <v>688</v>
      </c>
      <c r="K991" s="35" t="n">
        <v>0</v>
      </c>
      <c r="L991" s="40">
        <f>ROUND(PMT(H991/12,I991,-G991),0)</f>
        <v/>
      </c>
      <c r="M991" s="41">
        <f>MAX(0,(YEAR(AsOfDate)-YEAR(F991))*12+MONTH(AsOfDate)-MONTH(F991))</f>
        <v/>
      </c>
      <c r="N991" s="41">
        <f>MAX(0,MIN(I991,M991)-INT(K991/30))</f>
        <v/>
      </c>
      <c r="O991" s="40">
        <f>IF(N991&gt;=I991,0,ROUND(PV(H991/12,I991-N991,-L991),0))</f>
        <v/>
      </c>
      <c r="P991" s="40">
        <f>MIN(I991,M991)*L991-N991*L991</f>
        <v/>
      </c>
      <c r="Q991" s="41">
        <f>INDEX(DPD_Bucket,MATCH(K991,DPD_From,1))</f>
        <v/>
      </c>
      <c r="R991" s="41">
        <f>INDEX(DPD_Class,MATCH(K991,DPD_From,1))</f>
        <v/>
      </c>
      <c r="S991" s="41">
        <f>INDEX(DPD_NPA,MATCH(K991,DPD_From,1))</f>
        <v/>
      </c>
      <c r="T991" s="42">
        <f>INDEX(DPD_Prov,MATCH(K991,DPD_From,1))</f>
        <v/>
      </c>
      <c r="U991" s="40">
        <f>ROUND(O991*T991,0)</f>
        <v/>
      </c>
      <c r="V991" s="41">
        <f>INDEX(CIBIL_Grade,MATCH(J991,CIBIL_From,1))</f>
        <v/>
      </c>
      <c r="W991" s="41">
        <f>YEAR(F991)&amp;"-Q"&amp;ROUNDUP(MONTH(F991)/3,0)</f>
        <v/>
      </c>
      <c r="X991" s="41">
        <f>IF(AND(OR(Dashboard!$C$4="All",D991=Dashboard!$C$4),OR(Dashboard!$C$5="All",E991=Dashboard!$C$5)),1,0)</f>
        <v/>
      </c>
      <c r="Y991" s="43">
        <f>IF(AND(X991=1,S991="Yes"),O991+ROW()/1000000,0)</f>
        <v/>
      </c>
    </row>
    <row r="992">
      <c r="A992" s="35" t="inlineStr">
        <is>
          <t>LN100991</t>
        </is>
      </c>
      <c r="B992" s="35" t="inlineStr">
        <is>
          <t>Lakshmi Sharma</t>
        </is>
      </c>
      <c r="C992" s="35" t="inlineStr">
        <is>
          <t>KOL-01</t>
        </is>
      </c>
      <c r="D992" s="36">
        <f>INDEX(Branches!$C$2:$C$15,MATCH(C992,Branches!$A$2:$A$15,0))</f>
        <v/>
      </c>
      <c r="E992" s="35" t="inlineStr">
        <is>
          <t>Business Loan</t>
        </is>
      </c>
      <c r="F992" s="37" t="n">
        <v>45640</v>
      </c>
      <c r="G992" s="38" t="n">
        <v>4932000</v>
      </c>
      <c r="H992" s="39" t="n">
        <v>0.1907</v>
      </c>
      <c r="I992" s="35" t="n">
        <v>60</v>
      </c>
      <c r="J992" s="35" t="n">
        <v>711</v>
      </c>
      <c r="K992" s="35" t="n">
        <v>0</v>
      </c>
      <c r="L992" s="40">
        <f>ROUND(PMT(H992/12,I992,-G992),0)</f>
        <v/>
      </c>
      <c r="M992" s="41">
        <f>MAX(0,(YEAR(AsOfDate)-YEAR(F992))*12+MONTH(AsOfDate)-MONTH(F992))</f>
        <v/>
      </c>
      <c r="N992" s="41">
        <f>MAX(0,MIN(I992,M992)-INT(K992/30))</f>
        <v/>
      </c>
      <c r="O992" s="40">
        <f>IF(N992&gt;=I992,0,ROUND(PV(H992/12,I992-N992,-L992),0))</f>
        <v/>
      </c>
      <c r="P992" s="40">
        <f>MIN(I992,M992)*L992-N992*L992</f>
        <v/>
      </c>
      <c r="Q992" s="41">
        <f>INDEX(DPD_Bucket,MATCH(K992,DPD_From,1))</f>
        <v/>
      </c>
      <c r="R992" s="41">
        <f>INDEX(DPD_Class,MATCH(K992,DPD_From,1))</f>
        <v/>
      </c>
      <c r="S992" s="41">
        <f>INDEX(DPD_NPA,MATCH(K992,DPD_From,1))</f>
        <v/>
      </c>
      <c r="T992" s="42">
        <f>INDEX(DPD_Prov,MATCH(K992,DPD_From,1))</f>
        <v/>
      </c>
      <c r="U992" s="40">
        <f>ROUND(O992*T992,0)</f>
        <v/>
      </c>
      <c r="V992" s="41">
        <f>INDEX(CIBIL_Grade,MATCH(J992,CIBIL_From,1))</f>
        <v/>
      </c>
      <c r="W992" s="41">
        <f>YEAR(F992)&amp;"-Q"&amp;ROUNDUP(MONTH(F992)/3,0)</f>
        <v/>
      </c>
      <c r="X992" s="41">
        <f>IF(AND(OR(Dashboard!$C$4="All",D992=Dashboard!$C$4),OR(Dashboard!$C$5="All",E992=Dashboard!$C$5)),1,0)</f>
        <v/>
      </c>
      <c r="Y992" s="43">
        <f>IF(AND(X992=1,S992="Yes"),O992+ROW()/1000000,0)</f>
        <v/>
      </c>
    </row>
    <row r="993">
      <c r="A993" s="35" t="inlineStr">
        <is>
          <t>LN100992</t>
        </is>
      </c>
      <c r="B993" s="35" t="inlineStr">
        <is>
          <t>Diya Gupta</t>
        </is>
      </c>
      <c r="C993" s="35" t="inlineStr">
        <is>
          <t>HYD-01</t>
        </is>
      </c>
      <c r="D993" s="36">
        <f>INDEX(Branches!$C$2:$C$15,MATCH(C993,Branches!$A$2:$A$15,0))</f>
        <v/>
      </c>
      <c r="E993" s="35" t="inlineStr">
        <is>
          <t>Home Loan</t>
        </is>
      </c>
      <c r="F993" s="37" t="n">
        <v>45922</v>
      </c>
      <c r="G993" s="38" t="n">
        <v>3206000</v>
      </c>
      <c r="H993" s="39" t="n">
        <v>0.09089999999999999</v>
      </c>
      <c r="I993" s="35" t="n">
        <v>240</v>
      </c>
      <c r="J993" s="35" t="n">
        <v>697</v>
      </c>
      <c r="K993" s="35" t="n">
        <v>0</v>
      </c>
      <c r="L993" s="40">
        <f>ROUND(PMT(H993/12,I993,-G993),0)</f>
        <v/>
      </c>
      <c r="M993" s="41">
        <f>MAX(0,(YEAR(AsOfDate)-YEAR(F993))*12+MONTH(AsOfDate)-MONTH(F993))</f>
        <v/>
      </c>
      <c r="N993" s="41">
        <f>MAX(0,MIN(I993,M993)-INT(K993/30))</f>
        <v/>
      </c>
      <c r="O993" s="40">
        <f>IF(N993&gt;=I993,0,ROUND(PV(H993/12,I993-N993,-L993),0))</f>
        <v/>
      </c>
      <c r="P993" s="40">
        <f>MIN(I993,M993)*L993-N993*L993</f>
        <v/>
      </c>
      <c r="Q993" s="41">
        <f>INDEX(DPD_Bucket,MATCH(K993,DPD_From,1))</f>
        <v/>
      </c>
      <c r="R993" s="41">
        <f>INDEX(DPD_Class,MATCH(K993,DPD_From,1))</f>
        <v/>
      </c>
      <c r="S993" s="41">
        <f>INDEX(DPD_NPA,MATCH(K993,DPD_From,1))</f>
        <v/>
      </c>
      <c r="T993" s="42">
        <f>INDEX(DPD_Prov,MATCH(K993,DPD_From,1))</f>
        <v/>
      </c>
      <c r="U993" s="40">
        <f>ROUND(O993*T993,0)</f>
        <v/>
      </c>
      <c r="V993" s="41">
        <f>INDEX(CIBIL_Grade,MATCH(J993,CIBIL_From,1))</f>
        <v/>
      </c>
      <c r="W993" s="41">
        <f>YEAR(F993)&amp;"-Q"&amp;ROUNDUP(MONTH(F993)/3,0)</f>
        <v/>
      </c>
      <c r="X993" s="41">
        <f>IF(AND(OR(Dashboard!$C$4="All",D993=Dashboard!$C$4),OR(Dashboard!$C$5="All",E993=Dashboard!$C$5)),1,0)</f>
        <v/>
      </c>
      <c r="Y993" s="43">
        <f>IF(AND(X993=1,S993="Yes"),O993+ROW()/1000000,0)</f>
        <v/>
      </c>
    </row>
    <row r="994">
      <c r="A994" s="35" t="inlineStr">
        <is>
          <t>LN100993</t>
        </is>
      </c>
      <c r="B994" s="35" t="inlineStr">
        <is>
          <t>Pooja Iyer</t>
        </is>
      </c>
      <c r="C994" s="35" t="inlineStr">
        <is>
          <t>KOC-01</t>
        </is>
      </c>
      <c r="D994" s="36">
        <f>INDEX(Branches!$C$2:$C$15,MATCH(C994,Branches!$A$2:$A$15,0))</f>
        <v/>
      </c>
      <c r="E994" s="35" t="inlineStr">
        <is>
          <t>Auto Loan</t>
        </is>
      </c>
      <c r="F994" s="37" t="n">
        <v>45373</v>
      </c>
      <c r="G994" s="38" t="n">
        <v>1500000</v>
      </c>
      <c r="H994" s="39" t="n">
        <v>0.1006</v>
      </c>
      <c r="I994" s="35" t="n">
        <v>48</v>
      </c>
      <c r="J994" s="35" t="n">
        <v>814</v>
      </c>
      <c r="K994" s="35" t="n">
        <v>0</v>
      </c>
      <c r="L994" s="40">
        <f>ROUND(PMT(H994/12,I994,-G994),0)</f>
        <v/>
      </c>
      <c r="M994" s="41">
        <f>MAX(0,(YEAR(AsOfDate)-YEAR(F994))*12+MONTH(AsOfDate)-MONTH(F994))</f>
        <v/>
      </c>
      <c r="N994" s="41">
        <f>MAX(0,MIN(I994,M994)-INT(K994/30))</f>
        <v/>
      </c>
      <c r="O994" s="40">
        <f>IF(N994&gt;=I994,0,ROUND(PV(H994/12,I994-N994,-L994),0))</f>
        <v/>
      </c>
      <c r="P994" s="40">
        <f>MIN(I994,M994)*L994-N994*L994</f>
        <v/>
      </c>
      <c r="Q994" s="41">
        <f>INDEX(DPD_Bucket,MATCH(K994,DPD_From,1))</f>
        <v/>
      </c>
      <c r="R994" s="41">
        <f>INDEX(DPD_Class,MATCH(K994,DPD_From,1))</f>
        <v/>
      </c>
      <c r="S994" s="41">
        <f>INDEX(DPD_NPA,MATCH(K994,DPD_From,1))</f>
        <v/>
      </c>
      <c r="T994" s="42">
        <f>INDEX(DPD_Prov,MATCH(K994,DPD_From,1))</f>
        <v/>
      </c>
      <c r="U994" s="40">
        <f>ROUND(O994*T994,0)</f>
        <v/>
      </c>
      <c r="V994" s="41">
        <f>INDEX(CIBIL_Grade,MATCH(J994,CIBIL_From,1))</f>
        <v/>
      </c>
      <c r="W994" s="41">
        <f>YEAR(F994)&amp;"-Q"&amp;ROUNDUP(MONTH(F994)/3,0)</f>
        <v/>
      </c>
      <c r="X994" s="41">
        <f>IF(AND(OR(Dashboard!$C$4="All",D994=Dashboard!$C$4),OR(Dashboard!$C$5="All",E994=Dashboard!$C$5)),1,0)</f>
        <v/>
      </c>
      <c r="Y994" s="43">
        <f>IF(AND(X994=1,S994="Yes"),O994+ROW()/1000000,0)</f>
        <v/>
      </c>
    </row>
    <row r="995">
      <c r="A995" s="35" t="inlineStr">
        <is>
          <t>LN100994</t>
        </is>
      </c>
      <c r="B995" s="35" t="inlineStr">
        <is>
          <t>Aarav Patel</t>
        </is>
      </c>
      <c r="C995" s="35" t="inlineStr">
        <is>
          <t>KOL-01</t>
        </is>
      </c>
      <c r="D995" s="36">
        <f>INDEX(Branches!$C$2:$C$15,MATCH(C995,Branches!$A$2:$A$15,0))</f>
        <v/>
      </c>
      <c r="E995" s="35" t="inlineStr">
        <is>
          <t>Auto Loan</t>
        </is>
      </c>
      <c r="F995" s="37" t="n">
        <v>45844</v>
      </c>
      <c r="G995" s="38" t="n">
        <v>1308000</v>
      </c>
      <c r="H995" s="39" t="n">
        <v>0.1078</v>
      </c>
      <c r="I995" s="35" t="n">
        <v>84</v>
      </c>
      <c r="J995" s="35" t="n">
        <v>792</v>
      </c>
      <c r="K995" s="35" t="n">
        <v>0</v>
      </c>
      <c r="L995" s="40">
        <f>ROUND(PMT(H995/12,I995,-G995),0)</f>
        <v/>
      </c>
      <c r="M995" s="41">
        <f>MAX(0,(YEAR(AsOfDate)-YEAR(F995))*12+MONTH(AsOfDate)-MONTH(F995))</f>
        <v/>
      </c>
      <c r="N995" s="41">
        <f>MAX(0,MIN(I995,M995)-INT(K995/30))</f>
        <v/>
      </c>
      <c r="O995" s="40">
        <f>IF(N995&gt;=I995,0,ROUND(PV(H995/12,I995-N995,-L995),0))</f>
        <v/>
      </c>
      <c r="P995" s="40">
        <f>MIN(I995,M995)*L995-N995*L995</f>
        <v/>
      </c>
      <c r="Q995" s="41">
        <f>INDEX(DPD_Bucket,MATCH(K995,DPD_From,1))</f>
        <v/>
      </c>
      <c r="R995" s="41">
        <f>INDEX(DPD_Class,MATCH(K995,DPD_From,1))</f>
        <v/>
      </c>
      <c r="S995" s="41">
        <f>INDEX(DPD_NPA,MATCH(K995,DPD_From,1))</f>
        <v/>
      </c>
      <c r="T995" s="42">
        <f>INDEX(DPD_Prov,MATCH(K995,DPD_From,1))</f>
        <v/>
      </c>
      <c r="U995" s="40">
        <f>ROUND(O995*T995,0)</f>
        <v/>
      </c>
      <c r="V995" s="41">
        <f>INDEX(CIBIL_Grade,MATCH(J995,CIBIL_From,1))</f>
        <v/>
      </c>
      <c r="W995" s="41">
        <f>YEAR(F995)&amp;"-Q"&amp;ROUNDUP(MONTH(F995)/3,0)</f>
        <v/>
      </c>
      <c r="X995" s="41">
        <f>IF(AND(OR(Dashboard!$C$4="All",D995=Dashboard!$C$4),OR(Dashboard!$C$5="All",E995=Dashboard!$C$5)),1,0)</f>
        <v/>
      </c>
      <c r="Y995" s="43">
        <f>IF(AND(X995=1,S995="Yes"),O995+ROW()/1000000,0)</f>
        <v/>
      </c>
    </row>
    <row r="996">
      <c r="A996" s="35" t="inlineStr">
        <is>
          <t>LN100995</t>
        </is>
      </c>
      <c r="B996" s="35" t="inlineStr">
        <is>
          <t>Reyansh Chatterjee</t>
        </is>
      </c>
      <c r="C996" s="35" t="inlineStr">
        <is>
          <t>BBS-01</t>
        </is>
      </c>
      <c r="D996" s="36">
        <f>INDEX(Branches!$C$2:$C$15,MATCH(C996,Branches!$A$2:$A$15,0))</f>
        <v/>
      </c>
      <c r="E996" s="35" t="inlineStr">
        <is>
          <t>Home Loan</t>
        </is>
      </c>
      <c r="F996" s="37" t="n">
        <v>45463</v>
      </c>
      <c r="G996" s="38" t="n">
        <v>5309000</v>
      </c>
      <c r="H996" s="39" t="n">
        <v>0.0857</v>
      </c>
      <c r="I996" s="35" t="n">
        <v>180</v>
      </c>
      <c r="J996" s="35" t="n">
        <v>659</v>
      </c>
      <c r="K996" s="35" t="n">
        <v>0</v>
      </c>
      <c r="L996" s="40">
        <f>ROUND(PMT(H996/12,I996,-G996),0)</f>
        <v/>
      </c>
      <c r="M996" s="41">
        <f>MAX(0,(YEAR(AsOfDate)-YEAR(F996))*12+MONTH(AsOfDate)-MONTH(F996))</f>
        <v/>
      </c>
      <c r="N996" s="41">
        <f>MAX(0,MIN(I996,M996)-INT(K996/30))</f>
        <v/>
      </c>
      <c r="O996" s="40">
        <f>IF(N996&gt;=I996,0,ROUND(PV(H996/12,I996-N996,-L996),0))</f>
        <v/>
      </c>
      <c r="P996" s="40">
        <f>MIN(I996,M996)*L996-N996*L996</f>
        <v/>
      </c>
      <c r="Q996" s="41">
        <f>INDEX(DPD_Bucket,MATCH(K996,DPD_From,1))</f>
        <v/>
      </c>
      <c r="R996" s="41">
        <f>INDEX(DPD_Class,MATCH(K996,DPD_From,1))</f>
        <v/>
      </c>
      <c r="S996" s="41">
        <f>INDEX(DPD_NPA,MATCH(K996,DPD_From,1))</f>
        <v/>
      </c>
      <c r="T996" s="42">
        <f>INDEX(DPD_Prov,MATCH(K996,DPD_From,1))</f>
        <v/>
      </c>
      <c r="U996" s="40">
        <f>ROUND(O996*T996,0)</f>
        <v/>
      </c>
      <c r="V996" s="41">
        <f>INDEX(CIBIL_Grade,MATCH(J996,CIBIL_From,1))</f>
        <v/>
      </c>
      <c r="W996" s="41">
        <f>YEAR(F996)&amp;"-Q"&amp;ROUNDUP(MONTH(F996)/3,0)</f>
        <v/>
      </c>
      <c r="X996" s="41">
        <f>IF(AND(OR(Dashboard!$C$4="All",D996=Dashboard!$C$4),OR(Dashboard!$C$5="All",E996=Dashboard!$C$5)),1,0)</f>
        <v/>
      </c>
      <c r="Y996" s="43">
        <f>IF(AND(X996=1,S996="Yes"),O996+ROW()/1000000,0)</f>
        <v/>
      </c>
    </row>
    <row r="997">
      <c r="A997" s="35" t="inlineStr">
        <is>
          <t>LN100996</t>
        </is>
      </c>
      <c r="B997" s="35" t="inlineStr">
        <is>
          <t>Manish Reddy</t>
        </is>
      </c>
      <c r="C997" s="35" t="inlineStr">
        <is>
          <t>KOC-01</t>
        </is>
      </c>
      <c r="D997" s="36">
        <f>INDEX(Branches!$C$2:$C$15,MATCH(C997,Branches!$A$2:$A$15,0))</f>
        <v/>
      </c>
      <c r="E997" s="35" t="inlineStr">
        <is>
          <t>Personal Loan</t>
        </is>
      </c>
      <c r="F997" s="37" t="n">
        <v>46126</v>
      </c>
      <c r="G997" s="38" t="n">
        <v>1314000</v>
      </c>
      <c r="H997" s="39" t="n">
        <v>0.1136</v>
      </c>
      <c r="I997" s="35" t="n">
        <v>60</v>
      </c>
      <c r="J997" s="35" t="n">
        <v>742</v>
      </c>
      <c r="K997" s="35" t="n">
        <v>0</v>
      </c>
      <c r="L997" s="40">
        <f>ROUND(PMT(H997/12,I997,-G997),0)</f>
        <v/>
      </c>
      <c r="M997" s="41">
        <f>MAX(0,(YEAR(AsOfDate)-YEAR(F997))*12+MONTH(AsOfDate)-MONTH(F997))</f>
        <v/>
      </c>
      <c r="N997" s="41">
        <f>MAX(0,MIN(I997,M997)-INT(K997/30))</f>
        <v/>
      </c>
      <c r="O997" s="40">
        <f>IF(N997&gt;=I997,0,ROUND(PV(H997/12,I997-N997,-L997),0))</f>
        <v/>
      </c>
      <c r="P997" s="40">
        <f>MIN(I997,M997)*L997-N997*L997</f>
        <v/>
      </c>
      <c r="Q997" s="41">
        <f>INDEX(DPD_Bucket,MATCH(K997,DPD_From,1))</f>
        <v/>
      </c>
      <c r="R997" s="41">
        <f>INDEX(DPD_Class,MATCH(K997,DPD_From,1))</f>
        <v/>
      </c>
      <c r="S997" s="41">
        <f>INDEX(DPD_NPA,MATCH(K997,DPD_From,1))</f>
        <v/>
      </c>
      <c r="T997" s="42">
        <f>INDEX(DPD_Prov,MATCH(K997,DPD_From,1))</f>
        <v/>
      </c>
      <c r="U997" s="40">
        <f>ROUND(O997*T997,0)</f>
        <v/>
      </c>
      <c r="V997" s="41">
        <f>INDEX(CIBIL_Grade,MATCH(J997,CIBIL_From,1))</f>
        <v/>
      </c>
      <c r="W997" s="41">
        <f>YEAR(F997)&amp;"-Q"&amp;ROUNDUP(MONTH(F997)/3,0)</f>
        <v/>
      </c>
      <c r="X997" s="41">
        <f>IF(AND(OR(Dashboard!$C$4="All",D997=Dashboard!$C$4),OR(Dashboard!$C$5="All",E997=Dashboard!$C$5)),1,0)</f>
        <v/>
      </c>
      <c r="Y997" s="43">
        <f>IF(AND(X997=1,S997="Yes"),O997+ROW()/1000000,0)</f>
        <v/>
      </c>
    </row>
    <row r="998">
      <c r="A998" s="35" t="inlineStr">
        <is>
          <t>LN100997</t>
        </is>
      </c>
      <c r="B998" s="35" t="inlineStr">
        <is>
          <t>Ananya Gupta</t>
        </is>
      </c>
      <c r="C998" s="35" t="inlineStr">
        <is>
          <t>DEL-01</t>
        </is>
      </c>
      <c r="D998" s="36">
        <f>INDEX(Branches!$C$2:$C$15,MATCH(C998,Branches!$A$2:$A$15,0))</f>
        <v/>
      </c>
      <c r="E998" s="35" t="inlineStr">
        <is>
          <t>Home Loan</t>
        </is>
      </c>
      <c r="F998" s="37" t="n">
        <v>45890</v>
      </c>
      <c r="G998" s="38" t="n">
        <v>4590000</v>
      </c>
      <c r="H998" s="39" t="n">
        <v>0.0853</v>
      </c>
      <c r="I998" s="35" t="n">
        <v>180</v>
      </c>
      <c r="J998" s="35" t="n">
        <v>751</v>
      </c>
      <c r="K998" s="35" t="n">
        <v>0</v>
      </c>
      <c r="L998" s="40">
        <f>ROUND(PMT(H998/12,I998,-G998),0)</f>
        <v/>
      </c>
      <c r="M998" s="41">
        <f>MAX(0,(YEAR(AsOfDate)-YEAR(F998))*12+MONTH(AsOfDate)-MONTH(F998))</f>
        <v/>
      </c>
      <c r="N998" s="41">
        <f>MAX(0,MIN(I998,M998)-INT(K998/30))</f>
        <v/>
      </c>
      <c r="O998" s="40">
        <f>IF(N998&gt;=I998,0,ROUND(PV(H998/12,I998-N998,-L998),0))</f>
        <v/>
      </c>
      <c r="P998" s="40">
        <f>MIN(I998,M998)*L998-N998*L998</f>
        <v/>
      </c>
      <c r="Q998" s="41">
        <f>INDEX(DPD_Bucket,MATCH(K998,DPD_From,1))</f>
        <v/>
      </c>
      <c r="R998" s="41">
        <f>INDEX(DPD_Class,MATCH(K998,DPD_From,1))</f>
        <v/>
      </c>
      <c r="S998" s="41">
        <f>INDEX(DPD_NPA,MATCH(K998,DPD_From,1))</f>
        <v/>
      </c>
      <c r="T998" s="42">
        <f>INDEX(DPD_Prov,MATCH(K998,DPD_From,1))</f>
        <v/>
      </c>
      <c r="U998" s="40">
        <f>ROUND(O998*T998,0)</f>
        <v/>
      </c>
      <c r="V998" s="41">
        <f>INDEX(CIBIL_Grade,MATCH(J998,CIBIL_From,1))</f>
        <v/>
      </c>
      <c r="W998" s="41">
        <f>YEAR(F998)&amp;"-Q"&amp;ROUNDUP(MONTH(F998)/3,0)</f>
        <v/>
      </c>
      <c r="X998" s="41">
        <f>IF(AND(OR(Dashboard!$C$4="All",D998=Dashboard!$C$4),OR(Dashboard!$C$5="All",E998=Dashboard!$C$5)),1,0)</f>
        <v/>
      </c>
      <c r="Y998" s="43">
        <f>IF(AND(X998=1,S998="Yes"),O998+ROW()/1000000,0)</f>
        <v/>
      </c>
    </row>
    <row r="999">
      <c r="A999" s="35" t="inlineStr">
        <is>
          <t>LN100998</t>
        </is>
      </c>
      <c r="B999" s="35" t="inlineStr">
        <is>
          <t>Pooja Khan</t>
        </is>
      </c>
      <c r="C999" s="35" t="inlineStr">
        <is>
          <t>LKO-01</t>
        </is>
      </c>
      <c r="D999" s="36">
        <f>INDEX(Branches!$C$2:$C$15,MATCH(C999,Branches!$A$2:$A$15,0))</f>
        <v/>
      </c>
      <c r="E999" s="35" t="inlineStr">
        <is>
          <t>Business Loan</t>
        </is>
      </c>
      <c r="F999" s="37" t="n">
        <v>45217</v>
      </c>
      <c r="G999" s="38" t="n">
        <v>4759000</v>
      </c>
      <c r="H999" s="39" t="n">
        <v>0.1946</v>
      </c>
      <c r="I999" s="35" t="n">
        <v>36</v>
      </c>
      <c r="J999" s="35" t="n">
        <v>822</v>
      </c>
      <c r="K999" s="35" t="n">
        <v>0</v>
      </c>
      <c r="L999" s="40">
        <f>ROUND(PMT(H999/12,I999,-G999),0)</f>
        <v/>
      </c>
      <c r="M999" s="41">
        <f>MAX(0,(YEAR(AsOfDate)-YEAR(F999))*12+MONTH(AsOfDate)-MONTH(F999))</f>
        <v/>
      </c>
      <c r="N999" s="41">
        <f>MAX(0,MIN(I999,M999)-INT(K999/30))</f>
        <v/>
      </c>
      <c r="O999" s="40">
        <f>IF(N999&gt;=I999,0,ROUND(PV(H999/12,I999-N999,-L999),0))</f>
        <v/>
      </c>
      <c r="P999" s="40">
        <f>MIN(I999,M999)*L999-N999*L999</f>
        <v/>
      </c>
      <c r="Q999" s="41">
        <f>INDEX(DPD_Bucket,MATCH(K999,DPD_From,1))</f>
        <v/>
      </c>
      <c r="R999" s="41">
        <f>INDEX(DPD_Class,MATCH(K999,DPD_From,1))</f>
        <v/>
      </c>
      <c r="S999" s="41">
        <f>INDEX(DPD_NPA,MATCH(K999,DPD_From,1))</f>
        <v/>
      </c>
      <c r="T999" s="42">
        <f>INDEX(DPD_Prov,MATCH(K999,DPD_From,1))</f>
        <v/>
      </c>
      <c r="U999" s="40">
        <f>ROUND(O999*T999,0)</f>
        <v/>
      </c>
      <c r="V999" s="41">
        <f>INDEX(CIBIL_Grade,MATCH(J999,CIBIL_From,1))</f>
        <v/>
      </c>
      <c r="W999" s="41">
        <f>YEAR(F999)&amp;"-Q"&amp;ROUNDUP(MONTH(F999)/3,0)</f>
        <v/>
      </c>
      <c r="X999" s="41">
        <f>IF(AND(OR(Dashboard!$C$4="All",D999=Dashboard!$C$4),OR(Dashboard!$C$5="All",E999=Dashboard!$C$5)),1,0)</f>
        <v/>
      </c>
      <c r="Y999" s="43">
        <f>IF(AND(X999=1,S999="Yes"),O999+ROW()/1000000,0)</f>
        <v/>
      </c>
    </row>
    <row r="1000">
      <c r="A1000" s="35" t="inlineStr">
        <is>
          <t>LN100999</t>
        </is>
      </c>
      <c r="B1000" s="35" t="inlineStr">
        <is>
          <t>Karthik Singh</t>
        </is>
      </c>
      <c r="C1000" s="35" t="inlineStr">
        <is>
          <t>HYD-01</t>
        </is>
      </c>
      <c r="D1000" s="36">
        <f>INDEX(Branches!$C$2:$C$15,MATCH(C1000,Branches!$A$2:$A$15,0))</f>
        <v/>
      </c>
      <c r="E1000" s="35" t="inlineStr">
        <is>
          <t>Auto Loan</t>
        </is>
      </c>
      <c r="F1000" s="37" t="n">
        <v>45598</v>
      </c>
      <c r="G1000" s="38" t="n">
        <v>1671000</v>
      </c>
      <c r="H1000" s="39" t="n">
        <v>0.1186</v>
      </c>
      <c r="I1000" s="35" t="n">
        <v>48</v>
      </c>
      <c r="J1000" s="35" t="n">
        <v>759</v>
      </c>
      <c r="K1000" s="35" t="n">
        <v>0</v>
      </c>
      <c r="L1000" s="40">
        <f>ROUND(PMT(H1000/12,I1000,-G1000),0)</f>
        <v/>
      </c>
      <c r="M1000" s="41">
        <f>MAX(0,(YEAR(AsOfDate)-YEAR(F1000))*12+MONTH(AsOfDate)-MONTH(F1000))</f>
        <v/>
      </c>
      <c r="N1000" s="41">
        <f>MAX(0,MIN(I1000,M1000)-INT(K1000/30))</f>
        <v/>
      </c>
      <c r="O1000" s="40">
        <f>IF(N1000&gt;=I1000,0,ROUND(PV(H1000/12,I1000-N1000,-L1000),0))</f>
        <v/>
      </c>
      <c r="P1000" s="40">
        <f>MIN(I1000,M1000)*L1000-N1000*L1000</f>
        <v/>
      </c>
      <c r="Q1000" s="41">
        <f>INDEX(DPD_Bucket,MATCH(K1000,DPD_From,1))</f>
        <v/>
      </c>
      <c r="R1000" s="41">
        <f>INDEX(DPD_Class,MATCH(K1000,DPD_From,1))</f>
        <v/>
      </c>
      <c r="S1000" s="41">
        <f>INDEX(DPD_NPA,MATCH(K1000,DPD_From,1))</f>
        <v/>
      </c>
      <c r="T1000" s="42">
        <f>INDEX(DPD_Prov,MATCH(K1000,DPD_From,1))</f>
        <v/>
      </c>
      <c r="U1000" s="40">
        <f>ROUND(O1000*T1000,0)</f>
        <v/>
      </c>
      <c r="V1000" s="41">
        <f>INDEX(CIBIL_Grade,MATCH(J1000,CIBIL_From,1))</f>
        <v/>
      </c>
      <c r="W1000" s="41">
        <f>YEAR(F1000)&amp;"-Q"&amp;ROUNDUP(MONTH(F1000)/3,0)</f>
        <v/>
      </c>
      <c r="X1000" s="41">
        <f>IF(AND(OR(Dashboard!$C$4="All",D1000=Dashboard!$C$4),OR(Dashboard!$C$5="All",E1000=Dashboard!$C$5)),1,0)</f>
        <v/>
      </c>
      <c r="Y1000" s="43">
        <f>IF(AND(X1000=1,S1000="Yes"),O1000+ROW()/1000000,0)</f>
        <v/>
      </c>
    </row>
    <row r="1001">
      <c r="A1001" s="35" t="inlineStr">
        <is>
          <t>LN101000</t>
        </is>
      </c>
      <c r="B1001" s="35" t="inlineStr">
        <is>
          <t>Ananya Rao</t>
        </is>
      </c>
      <c r="C1001" s="35" t="inlineStr">
        <is>
          <t>JAI-01</t>
        </is>
      </c>
      <c r="D1001" s="36">
        <f>INDEX(Branches!$C$2:$C$15,MATCH(C1001,Branches!$A$2:$A$15,0))</f>
        <v/>
      </c>
      <c r="E1001" s="35" t="inlineStr">
        <is>
          <t>Personal Loan</t>
        </is>
      </c>
      <c r="F1001" s="37" t="n">
        <v>45306</v>
      </c>
      <c r="G1001" s="38" t="n">
        <v>251000</v>
      </c>
      <c r="H1001" s="39" t="n">
        <v>0.1337</v>
      </c>
      <c r="I1001" s="35" t="n">
        <v>48</v>
      </c>
      <c r="J1001" s="35" t="n">
        <v>728</v>
      </c>
      <c r="K1001" s="35" t="n">
        <v>0</v>
      </c>
      <c r="L1001" s="40">
        <f>ROUND(PMT(H1001/12,I1001,-G1001),0)</f>
        <v/>
      </c>
      <c r="M1001" s="41">
        <f>MAX(0,(YEAR(AsOfDate)-YEAR(F1001))*12+MONTH(AsOfDate)-MONTH(F1001))</f>
        <v/>
      </c>
      <c r="N1001" s="41">
        <f>MAX(0,MIN(I1001,M1001)-INT(K1001/30))</f>
        <v/>
      </c>
      <c r="O1001" s="40">
        <f>IF(N1001&gt;=I1001,0,ROUND(PV(H1001/12,I1001-N1001,-L1001),0))</f>
        <v/>
      </c>
      <c r="P1001" s="40">
        <f>MIN(I1001,M1001)*L1001-N1001*L1001</f>
        <v/>
      </c>
      <c r="Q1001" s="41">
        <f>INDEX(DPD_Bucket,MATCH(K1001,DPD_From,1))</f>
        <v/>
      </c>
      <c r="R1001" s="41">
        <f>INDEX(DPD_Class,MATCH(K1001,DPD_From,1))</f>
        <v/>
      </c>
      <c r="S1001" s="41">
        <f>INDEX(DPD_NPA,MATCH(K1001,DPD_From,1))</f>
        <v/>
      </c>
      <c r="T1001" s="42">
        <f>INDEX(DPD_Prov,MATCH(K1001,DPD_From,1))</f>
        <v/>
      </c>
      <c r="U1001" s="40">
        <f>ROUND(O1001*T1001,0)</f>
        <v/>
      </c>
      <c r="V1001" s="41">
        <f>INDEX(CIBIL_Grade,MATCH(J1001,CIBIL_From,1))</f>
        <v/>
      </c>
      <c r="W1001" s="41">
        <f>YEAR(F1001)&amp;"-Q"&amp;ROUNDUP(MONTH(F1001)/3,0)</f>
        <v/>
      </c>
      <c r="X1001" s="41">
        <f>IF(AND(OR(Dashboard!$C$4="All",D1001=Dashboard!$C$4),OR(Dashboard!$C$5="All",E1001=Dashboard!$C$5)),1,0)</f>
        <v/>
      </c>
      <c r="Y1001" s="43">
        <f>IF(AND(X1001=1,S1001="Yes"),O1001+ROW()/1000000,0)</f>
        <v/>
      </c>
    </row>
  </sheetData>
  <conditionalFormatting sqref="Q2:Q1001">
    <cfRule type="expression" priority="1" dxfId="3">
      <formula>$S2="Yes"</formula>
    </cfRule>
    <cfRule type="expression" priority="2" dxfId="1">
      <formula>AND($K2&gt;0,$S2="No")</formula>
    </cfRule>
  </conditionalFormatting>
  <conditionalFormatting sqref="J2:J1001">
    <cfRule type="colorScale" priority="3">
      <colorScale>
        <cfvo type="num" val="550"/>
        <cfvo type="num" val="720"/>
        <cfvo type="num" val="850"/>
        <color rgb="00F8696B"/>
        <color rgb="00FFEB84"/>
        <color rgb="0063BE7B"/>
      </colorScale>
    </cfRule>
  </conditionalFormatting>
  <dataValidations count="4">
    <dataValidation sqref="E2:E1001" showDropDown="0" showInputMessage="0" showErrorMessage="0" allowBlank="0" type="list">
      <formula1>"Home Loan,Auto Loan,Personal Loan,Business Loan,Gold Loan"</formula1>
    </dataValidation>
    <dataValidation sqref="C2:C1001" showDropDown="0" showInputMessage="0" showErrorMessage="0" allowBlank="0" type="list">
      <formula1>=Branches!$A$2:$A$15</formula1>
    </dataValidation>
    <dataValidation sqref="J2:J1001" showDropDown="0" showInputMessage="0" showErrorMessage="1" allowBlank="0" error="CIBIL must be 300–900" type="whole" operator="between">
      <formula1>300</formula1>
      <formula2>900</formula2>
    </dataValidation>
    <dataValidation sqref="K2:K1001" showDropDown="0" showInputMessage="0" showErrorMessage="1" allowBlank="0" error="DPD cannot be negative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1" customWidth="1" min="3" max="3"/>
    <col width="16" customWidth="1" min="4" max="4"/>
    <col width="16" customWidth="1" min="5" max="5"/>
    <col width="16" customWidth="1" min="6" max="6"/>
    <col width="11" customWidth="1" min="7" max="7"/>
    <col width="11" customWidth="1" min="8" max="8"/>
  </cols>
  <sheetData>
    <row r="2">
      <c r="B2" s="1" t="inlineStr">
        <is>
          <t>Vintage (Cohort) Analysis</t>
        </is>
      </c>
    </row>
    <row r="3">
      <c r="B3" s="2" t="inlineStr">
        <is>
          <t>How each disbursal quarter is performing today — later-dated bad cohorts signal underwriting drift.</t>
        </is>
      </c>
    </row>
    <row r="5" ht="30" customHeight="1">
      <c r="B5" s="3" t="inlineStr">
        <is>
          <t>Vintage</t>
        </is>
      </c>
      <c r="C5" s="3" t="inlineStr">
        <is>
          <t>Loans</t>
        </is>
      </c>
      <c r="D5" s="3" t="inlineStr">
        <is>
          <t>Disbursed (₹ Cr)</t>
        </is>
      </c>
      <c r="E5" s="3" t="inlineStr">
        <is>
          <t>Outstanding (₹ Cr)</t>
        </is>
      </c>
      <c r="F5" s="3" t="inlineStr">
        <is>
          <t>GNPA (₹ Cr)</t>
        </is>
      </c>
      <c r="G5" s="3" t="inlineStr">
        <is>
          <t>GNPA %</t>
        </is>
      </c>
      <c r="H5" s="3" t="inlineStr">
        <is>
          <t>Avg CIBIL</t>
        </is>
      </c>
    </row>
    <row r="6">
      <c r="B6" s="33" t="inlineStr">
        <is>
          <t>2023-Q3</t>
        </is>
      </c>
      <c r="C6" s="24">
        <f>COUNTIFS(Loans!$W$2:$W$1001,B6)</f>
        <v/>
      </c>
      <c r="D6" s="44">
        <f>SUMIFS(Loans!$G$2:$G$1001,Loans!$W$2:$W$1001,B6)/10^7</f>
        <v/>
      </c>
      <c r="E6" s="44">
        <f>SUMIFS(Loans!$O$2:$O$1001,Loans!$W$2:$W$1001,B6)/10^7</f>
        <v/>
      </c>
      <c r="F6" s="44">
        <f>SUMIFS(Loans!$O$2:$O$1001,Loans!$W$2:$W$1001,B6,Loans!$S$2:$S$1001,"Yes")/10^7</f>
        <v/>
      </c>
      <c r="G6" s="26">
        <f>IFERROR(F6/E6,0)</f>
        <v/>
      </c>
      <c r="H6" s="45">
        <f>IFERROR(AVERAGEIFS(Loans!$J$2:$J$1001,Loans!$W$2:$W$1001,B6),0)</f>
        <v/>
      </c>
    </row>
    <row r="7">
      <c r="B7" s="33" t="inlineStr">
        <is>
          <t>2023-Q4</t>
        </is>
      </c>
      <c r="C7" s="24">
        <f>COUNTIFS(Loans!$W$2:$W$1001,B7)</f>
        <v/>
      </c>
      <c r="D7" s="44">
        <f>SUMIFS(Loans!$G$2:$G$1001,Loans!$W$2:$W$1001,B7)/10^7</f>
        <v/>
      </c>
      <c r="E7" s="44">
        <f>SUMIFS(Loans!$O$2:$O$1001,Loans!$W$2:$W$1001,B7)/10^7</f>
        <v/>
      </c>
      <c r="F7" s="44">
        <f>SUMIFS(Loans!$O$2:$O$1001,Loans!$W$2:$W$1001,B7,Loans!$S$2:$S$1001,"Yes")/10^7</f>
        <v/>
      </c>
      <c r="G7" s="26">
        <f>IFERROR(F7/E7,0)</f>
        <v/>
      </c>
      <c r="H7" s="45">
        <f>IFERROR(AVERAGEIFS(Loans!$J$2:$J$1001,Loans!$W$2:$W$1001,B7),0)</f>
        <v/>
      </c>
    </row>
    <row r="8">
      <c r="B8" s="33" t="inlineStr">
        <is>
          <t>2024-Q1</t>
        </is>
      </c>
      <c r="C8" s="24">
        <f>COUNTIFS(Loans!$W$2:$W$1001,B8)</f>
        <v/>
      </c>
      <c r="D8" s="44">
        <f>SUMIFS(Loans!$G$2:$G$1001,Loans!$W$2:$W$1001,B8)/10^7</f>
        <v/>
      </c>
      <c r="E8" s="44">
        <f>SUMIFS(Loans!$O$2:$O$1001,Loans!$W$2:$W$1001,B8)/10^7</f>
        <v/>
      </c>
      <c r="F8" s="44">
        <f>SUMIFS(Loans!$O$2:$O$1001,Loans!$W$2:$W$1001,B8,Loans!$S$2:$S$1001,"Yes")/10^7</f>
        <v/>
      </c>
      <c r="G8" s="26">
        <f>IFERROR(F8/E8,0)</f>
        <v/>
      </c>
      <c r="H8" s="45">
        <f>IFERROR(AVERAGEIFS(Loans!$J$2:$J$1001,Loans!$W$2:$W$1001,B8),0)</f>
        <v/>
      </c>
    </row>
    <row r="9">
      <c r="B9" s="33" t="inlineStr">
        <is>
          <t>2024-Q2</t>
        </is>
      </c>
      <c r="C9" s="24">
        <f>COUNTIFS(Loans!$W$2:$W$1001,B9)</f>
        <v/>
      </c>
      <c r="D9" s="44">
        <f>SUMIFS(Loans!$G$2:$G$1001,Loans!$W$2:$W$1001,B9)/10^7</f>
        <v/>
      </c>
      <c r="E9" s="44">
        <f>SUMIFS(Loans!$O$2:$O$1001,Loans!$W$2:$W$1001,B9)/10^7</f>
        <v/>
      </c>
      <c r="F9" s="44">
        <f>SUMIFS(Loans!$O$2:$O$1001,Loans!$W$2:$W$1001,B9,Loans!$S$2:$S$1001,"Yes")/10^7</f>
        <v/>
      </c>
      <c r="G9" s="26">
        <f>IFERROR(F9/E9,0)</f>
        <v/>
      </c>
      <c r="H9" s="45">
        <f>IFERROR(AVERAGEIFS(Loans!$J$2:$J$1001,Loans!$W$2:$W$1001,B9),0)</f>
        <v/>
      </c>
    </row>
    <row r="10">
      <c r="B10" s="33" t="inlineStr">
        <is>
          <t>2024-Q3</t>
        </is>
      </c>
      <c r="C10" s="24">
        <f>COUNTIFS(Loans!$W$2:$W$1001,B10)</f>
        <v/>
      </c>
      <c r="D10" s="44">
        <f>SUMIFS(Loans!$G$2:$G$1001,Loans!$W$2:$W$1001,B10)/10^7</f>
        <v/>
      </c>
      <c r="E10" s="44">
        <f>SUMIFS(Loans!$O$2:$O$1001,Loans!$W$2:$W$1001,B10)/10^7</f>
        <v/>
      </c>
      <c r="F10" s="44">
        <f>SUMIFS(Loans!$O$2:$O$1001,Loans!$W$2:$W$1001,B10,Loans!$S$2:$S$1001,"Yes")/10^7</f>
        <v/>
      </c>
      <c r="G10" s="26">
        <f>IFERROR(F10/E10,0)</f>
        <v/>
      </c>
      <c r="H10" s="45">
        <f>IFERROR(AVERAGEIFS(Loans!$J$2:$J$1001,Loans!$W$2:$W$1001,B10),0)</f>
        <v/>
      </c>
    </row>
    <row r="11">
      <c r="B11" s="33" t="inlineStr">
        <is>
          <t>2024-Q4</t>
        </is>
      </c>
      <c r="C11" s="24">
        <f>COUNTIFS(Loans!$W$2:$W$1001,B11)</f>
        <v/>
      </c>
      <c r="D11" s="44">
        <f>SUMIFS(Loans!$G$2:$G$1001,Loans!$W$2:$W$1001,B11)/10^7</f>
        <v/>
      </c>
      <c r="E11" s="44">
        <f>SUMIFS(Loans!$O$2:$O$1001,Loans!$W$2:$W$1001,B11)/10^7</f>
        <v/>
      </c>
      <c r="F11" s="44">
        <f>SUMIFS(Loans!$O$2:$O$1001,Loans!$W$2:$W$1001,B11,Loans!$S$2:$S$1001,"Yes")/10^7</f>
        <v/>
      </c>
      <c r="G11" s="26">
        <f>IFERROR(F11/E11,0)</f>
        <v/>
      </c>
      <c r="H11" s="45">
        <f>IFERROR(AVERAGEIFS(Loans!$J$2:$J$1001,Loans!$W$2:$W$1001,B11),0)</f>
        <v/>
      </c>
    </row>
    <row r="12">
      <c r="B12" s="33" t="inlineStr">
        <is>
          <t>2025-Q1</t>
        </is>
      </c>
      <c r="C12" s="24">
        <f>COUNTIFS(Loans!$W$2:$W$1001,B12)</f>
        <v/>
      </c>
      <c r="D12" s="44">
        <f>SUMIFS(Loans!$G$2:$G$1001,Loans!$W$2:$W$1001,B12)/10^7</f>
        <v/>
      </c>
      <c r="E12" s="44">
        <f>SUMIFS(Loans!$O$2:$O$1001,Loans!$W$2:$W$1001,B12)/10^7</f>
        <v/>
      </c>
      <c r="F12" s="44">
        <f>SUMIFS(Loans!$O$2:$O$1001,Loans!$W$2:$W$1001,B12,Loans!$S$2:$S$1001,"Yes")/10^7</f>
        <v/>
      </c>
      <c r="G12" s="26">
        <f>IFERROR(F12/E12,0)</f>
        <v/>
      </c>
      <c r="H12" s="45">
        <f>IFERROR(AVERAGEIFS(Loans!$J$2:$J$1001,Loans!$W$2:$W$1001,B12),0)</f>
        <v/>
      </c>
    </row>
    <row r="13">
      <c r="B13" s="33" t="inlineStr">
        <is>
          <t>2025-Q2</t>
        </is>
      </c>
      <c r="C13" s="24">
        <f>COUNTIFS(Loans!$W$2:$W$1001,B13)</f>
        <v/>
      </c>
      <c r="D13" s="44">
        <f>SUMIFS(Loans!$G$2:$G$1001,Loans!$W$2:$W$1001,B13)/10^7</f>
        <v/>
      </c>
      <c r="E13" s="44">
        <f>SUMIFS(Loans!$O$2:$O$1001,Loans!$W$2:$W$1001,B13)/10^7</f>
        <v/>
      </c>
      <c r="F13" s="44">
        <f>SUMIFS(Loans!$O$2:$O$1001,Loans!$W$2:$W$1001,B13,Loans!$S$2:$S$1001,"Yes")/10^7</f>
        <v/>
      </c>
      <c r="G13" s="26">
        <f>IFERROR(F13/E13,0)</f>
        <v/>
      </c>
      <c r="H13" s="45">
        <f>IFERROR(AVERAGEIFS(Loans!$J$2:$J$1001,Loans!$W$2:$W$1001,B13),0)</f>
        <v/>
      </c>
    </row>
    <row r="14">
      <c r="B14" s="33" t="inlineStr">
        <is>
          <t>2025-Q3</t>
        </is>
      </c>
      <c r="C14" s="24">
        <f>COUNTIFS(Loans!$W$2:$W$1001,B14)</f>
        <v/>
      </c>
      <c r="D14" s="44">
        <f>SUMIFS(Loans!$G$2:$G$1001,Loans!$W$2:$W$1001,B14)/10^7</f>
        <v/>
      </c>
      <c r="E14" s="44">
        <f>SUMIFS(Loans!$O$2:$O$1001,Loans!$W$2:$W$1001,B14)/10^7</f>
        <v/>
      </c>
      <c r="F14" s="44">
        <f>SUMIFS(Loans!$O$2:$O$1001,Loans!$W$2:$W$1001,B14,Loans!$S$2:$S$1001,"Yes")/10^7</f>
        <v/>
      </c>
      <c r="G14" s="26">
        <f>IFERROR(F14/E14,0)</f>
        <v/>
      </c>
      <c r="H14" s="45">
        <f>IFERROR(AVERAGEIFS(Loans!$J$2:$J$1001,Loans!$W$2:$W$1001,B14),0)</f>
        <v/>
      </c>
    </row>
    <row r="15">
      <c r="B15" s="33" t="inlineStr">
        <is>
          <t>2025-Q4</t>
        </is>
      </c>
      <c r="C15" s="24">
        <f>COUNTIFS(Loans!$W$2:$W$1001,B15)</f>
        <v/>
      </c>
      <c r="D15" s="44">
        <f>SUMIFS(Loans!$G$2:$G$1001,Loans!$W$2:$W$1001,B15)/10^7</f>
        <v/>
      </c>
      <c r="E15" s="44">
        <f>SUMIFS(Loans!$O$2:$O$1001,Loans!$W$2:$W$1001,B15)/10^7</f>
        <v/>
      </c>
      <c r="F15" s="44">
        <f>SUMIFS(Loans!$O$2:$O$1001,Loans!$W$2:$W$1001,B15,Loans!$S$2:$S$1001,"Yes")/10^7</f>
        <v/>
      </c>
      <c r="G15" s="26">
        <f>IFERROR(F15/E15,0)</f>
        <v/>
      </c>
      <c r="H15" s="45">
        <f>IFERROR(AVERAGEIFS(Loans!$J$2:$J$1001,Loans!$W$2:$W$1001,B15),0)</f>
        <v/>
      </c>
    </row>
    <row r="16">
      <c r="B16" s="33" t="inlineStr">
        <is>
          <t>2026-Q1</t>
        </is>
      </c>
      <c r="C16" s="24">
        <f>COUNTIFS(Loans!$W$2:$W$1001,B16)</f>
        <v/>
      </c>
      <c r="D16" s="44">
        <f>SUMIFS(Loans!$G$2:$G$1001,Loans!$W$2:$W$1001,B16)/10^7</f>
        <v/>
      </c>
      <c r="E16" s="44">
        <f>SUMIFS(Loans!$O$2:$O$1001,Loans!$W$2:$W$1001,B16)/10^7</f>
        <v/>
      </c>
      <c r="F16" s="44">
        <f>SUMIFS(Loans!$O$2:$O$1001,Loans!$W$2:$W$1001,B16,Loans!$S$2:$S$1001,"Yes")/10^7</f>
        <v/>
      </c>
      <c r="G16" s="26">
        <f>IFERROR(F16/E16,0)</f>
        <v/>
      </c>
      <c r="H16" s="45">
        <f>IFERROR(AVERAGEIFS(Loans!$J$2:$J$1001,Loans!$W$2:$W$1001,B16),0)</f>
        <v/>
      </c>
    </row>
    <row r="17">
      <c r="B17" s="33" t="inlineStr">
        <is>
          <t>2026-Q2</t>
        </is>
      </c>
      <c r="C17" s="24">
        <f>COUNTIFS(Loans!$W$2:$W$1001,B17)</f>
        <v/>
      </c>
      <c r="D17" s="44">
        <f>SUMIFS(Loans!$G$2:$G$1001,Loans!$W$2:$W$1001,B17)/10^7</f>
        <v/>
      </c>
      <c r="E17" s="44">
        <f>SUMIFS(Loans!$O$2:$O$1001,Loans!$W$2:$W$1001,B17)/10^7</f>
        <v/>
      </c>
      <c r="F17" s="44">
        <f>SUMIFS(Loans!$O$2:$O$1001,Loans!$W$2:$W$1001,B17,Loans!$S$2:$S$1001,"Yes")/10^7</f>
        <v/>
      </c>
      <c r="G17" s="26">
        <f>IFERROR(F17/E17,0)</f>
        <v/>
      </c>
      <c r="H17" s="45">
        <f>IFERROR(AVERAGEIFS(Loans!$J$2:$J$1001,Loans!$W$2:$W$1001,B17),0)</f>
        <v/>
      </c>
    </row>
    <row r="18">
      <c r="B18" s="28" t="inlineStr">
        <is>
          <t>Total</t>
        </is>
      </c>
      <c r="C18" s="29">
        <f>SUM(C6:C17)</f>
        <v/>
      </c>
      <c r="D18" s="46">
        <f>SUM(D6:D17)</f>
        <v/>
      </c>
      <c r="E18" s="46">
        <f>SUM(E6:E17)</f>
        <v/>
      </c>
      <c r="F18" s="46">
        <f>SUM(F6:F17)</f>
        <v/>
      </c>
      <c r="G18" s="31">
        <f>IFERROR(F18/E18,0)</f>
        <v/>
      </c>
    </row>
  </sheetData>
  <conditionalFormatting sqref="G6:G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6:D17">
    <cfRule type="dataBar" priority="2">
      <dataBar>
        <cfvo type="num" val="0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3" customWidth="1" min="4" max="4"/>
    <col width="8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5" customWidth="1" min="11" max="11"/>
  </cols>
  <sheetData>
    <row r="2">
      <c r="B2" s="1" t="inlineStr">
        <is>
          <t>EMI Calculator &amp; Amortization</t>
        </is>
      </c>
    </row>
    <row r="3" ht="30" customHeight="1">
      <c r="E3" s="3" t="inlineStr">
        <is>
          <t>#</t>
        </is>
      </c>
      <c r="F3" s="3" t="inlineStr">
        <is>
          <t>Date</t>
        </is>
      </c>
      <c r="G3" s="3" t="inlineStr">
        <is>
          <t>Opening (₹)</t>
        </is>
      </c>
      <c r="H3" s="3" t="inlineStr">
        <is>
          <t>EMI (₹)</t>
        </is>
      </c>
      <c r="I3" s="3" t="inlineStr">
        <is>
          <t>Interest (₹)</t>
        </is>
      </c>
      <c r="J3" s="3" t="inlineStr">
        <is>
          <t>Principal (₹)</t>
        </is>
      </c>
      <c r="K3" s="3" t="inlineStr">
        <is>
          <t>Closing (₹)</t>
        </is>
      </c>
    </row>
    <row r="4">
      <c r="B4" s="10" t="inlineStr">
        <is>
          <t>Loan Amount (₹)</t>
        </is>
      </c>
      <c r="C4" s="47" t="n">
        <v>2500000</v>
      </c>
      <c r="E4" s="41">
        <f>IF(1&gt;$C$6,"",1)</f>
        <v/>
      </c>
      <c r="F4" s="48">
        <f>IF(E4="","",EDATE($C$7,E4-1))</f>
        <v/>
      </c>
      <c r="G4" s="49">
        <f>IF(E4="","",$C$4)</f>
        <v/>
      </c>
      <c r="H4" s="49">
        <f>IF(E4="","",$C$9)</f>
        <v/>
      </c>
      <c r="I4" s="49">
        <f>IF(E4="","",-IPMT($C$5/12,E4,$C$6,$C$4))</f>
        <v/>
      </c>
      <c r="J4" s="49">
        <f>IF(E4="","",-PPMT($C$5/12,E4,$C$6,$C$4))</f>
        <v/>
      </c>
      <c r="K4" s="49">
        <f>IF(E4="","",MAX(0,G4-J4))</f>
        <v/>
      </c>
    </row>
    <row r="5">
      <c r="B5" s="10" t="inlineStr">
        <is>
          <t>Interest Rate (p.a.)</t>
        </is>
      </c>
      <c r="C5" s="50" t="n">
        <v>0.08749999999999999</v>
      </c>
      <c r="E5" s="41">
        <f>IF(2&gt;$C$6,"",2)</f>
        <v/>
      </c>
      <c r="F5" s="48">
        <f>IF(E5="","",EDATE($C$7,E5-1))</f>
        <v/>
      </c>
      <c r="G5" s="49">
        <f>IF(E5="","",K4)</f>
        <v/>
      </c>
      <c r="H5" s="49">
        <f>IF(E5="","",$C$9)</f>
        <v/>
      </c>
      <c r="I5" s="49">
        <f>IF(E5="","",-IPMT($C$5/12,E5,$C$6,$C$4))</f>
        <v/>
      </c>
      <c r="J5" s="49">
        <f>IF(E5="","",-PPMT($C$5/12,E5,$C$6,$C$4))</f>
        <v/>
      </c>
      <c r="K5" s="49">
        <f>IF(E5="","",MAX(0,G5-J5))</f>
        <v/>
      </c>
    </row>
    <row r="6">
      <c r="B6" s="10" t="inlineStr">
        <is>
          <t>Tenure (months)</t>
        </is>
      </c>
      <c r="C6" s="51" t="n">
        <v>120</v>
      </c>
      <c r="E6" s="41">
        <f>IF(3&gt;$C$6,"",3)</f>
        <v/>
      </c>
      <c r="F6" s="48">
        <f>IF(E6="","",EDATE($C$7,E6-1))</f>
        <v/>
      </c>
      <c r="G6" s="49">
        <f>IF(E6="","",K5)</f>
        <v/>
      </c>
      <c r="H6" s="49">
        <f>IF(E6="","",$C$9)</f>
        <v/>
      </c>
      <c r="I6" s="49">
        <f>IF(E6="","",-IPMT($C$5/12,E6,$C$6,$C$4))</f>
        <v/>
      </c>
      <c r="J6" s="49">
        <f>IF(E6="","",-PPMT($C$5/12,E6,$C$6,$C$4))</f>
        <v/>
      </c>
      <c r="K6" s="49">
        <f>IF(E6="","",MAX(0,G6-J6))</f>
        <v/>
      </c>
    </row>
    <row r="7">
      <c r="B7" s="10" t="inlineStr">
        <is>
          <t>First EMI Date</t>
        </is>
      </c>
      <c r="C7" s="52" t="n">
        <v>46208</v>
      </c>
      <c r="E7" s="41">
        <f>IF(4&gt;$C$6,"",4)</f>
        <v/>
      </c>
      <c r="F7" s="48">
        <f>IF(E7="","",EDATE($C$7,E7-1))</f>
        <v/>
      </c>
      <c r="G7" s="49">
        <f>IF(E7="","",K6)</f>
        <v/>
      </c>
      <c r="H7" s="49">
        <f>IF(E7="","",$C$9)</f>
        <v/>
      </c>
      <c r="I7" s="49">
        <f>IF(E7="","",-IPMT($C$5/12,E7,$C$6,$C$4))</f>
        <v/>
      </c>
      <c r="J7" s="49">
        <f>IF(E7="","",-PPMT($C$5/12,E7,$C$6,$C$4))</f>
        <v/>
      </c>
      <c r="K7" s="49">
        <f>IF(E7="","",MAX(0,G7-J7))</f>
        <v/>
      </c>
    </row>
    <row r="8">
      <c r="E8" s="41">
        <f>IF(5&gt;$C$6,"",5)</f>
        <v/>
      </c>
      <c r="F8" s="48">
        <f>IF(E8="","",EDATE($C$7,E8-1))</f>
        <v/>
      </c>
      <c r="G8" s="49">
        <f>IF(E8="","",K7)</f>
        <v/>
      </c>
      <c r="H8" s="49">
        <f>IF(E8="","",$C$9)</f>
        <v/>
      </c>
      <c r="I8" s="49">
        <f>IF(E8="","",-IPMT($C$5/12,E8,$C$6,$C$4))</f>
        <v/>
      </c>
      <c r="J8" s="49">
        <f>IF(E8="","",-PPMT($C$5/12,E8,$C$6,$C$4))</f>
        <v/>
      </c>
      <c r="K8" s="49">
        <f>IF(E8="","",MAX(0,G8-J8))</f>
        <v/>
      </c>
    </row>
    <row r="9">
      <c r="B9" s="10" t="inlineStr">
        <is>
          <t>Monthly EMI (₹)</t>
        </is>
      </c>
      <c r="C9" s="53">
        <f>IFERROR(PMT(C5/12,C6,-C4),0)</f>
        <v/>
      </c>
      <c r="E9" s="41">
        <f>IF(6&gt;$C$6,"",6)</f>
        <v/>
      </c>
      <c r="F9" s="48">
        <f>IF(E9="","",EDATE($C$7,E9-1))</f>
        <v/>
      </c>
      <c r="G9" s="49">
        <f>IF(E9="","",K8)</f>
        <v/>
      </c>
      <c r="H9" s="49">
        <f>IF(E9="","",$C$9)</f>
        <v/>
      </c>
      <c r="I9" s="49">
        <f>IF(E9="","",-IPMT($C$5/12,E9,$C$6,$C$4))</f>
        <v/>
      </c>
      <c r="J9" s="49">
        <f>IF(E9="","",-PPMT($C$5/12,E9,$C$6,$C$4))</f>
        <v/>
      </c>
      <c r="K9" s="49">
        <f>IF(E9="","",MAX(0,G9-J9))</f>
        <v/>
      </c>
    </row>
    <row r="10">
      <c r="B10" s="10" t="inlineStr">
        <is>
          <t>Total Interest (₹)</t>
        </is>
      </c>
      <c r="C10" s="53">
        <f>C9*C6-C4</f>
        <v/>
      </c>
      <c r="E10" s="41">
        <f>IF(7&gt;$C$6,"",7)</f>
        <v/>
      </c>
      <c r="F10" s="48">
        <f>IF(E10="","",EDATE($C$7,E10-1))</f>
        <v/>
      </c>
      <c r="G10" s="49">
        <f>IF(E10="","",K9)</f>
        <v/>
      </c>
      <c r="H10" s="49">
        <f>IF(E10="","",$C$9)</f>
        <v/>
      </c>
      <c r="I10" s="49">
        <f>IF(E10="","",-IPMT($C$5/12,E10,$C$6,$C$4))</f>
        <v/>
      </c>
      <c r="J10" s="49">
        <f>IF(E10="","",-PPMT($C$5/12,E10,$C$6,$C$4))</f>
        <v/>
      </c>
      <c r="K10" s="49">
        <f>IF(E10="","",MAX(0,G10-J10))</f>
        <v/>
      </c>
    </row>
    <row r="11">
      <c r="B11" s="10" t="inlineStr">
        <is>
          <t>Total Payable (₹)</t>
        </is>
      </c>
      <c r="C11" s="53">
        <f>C9*C6</f>
        <v/>
      </c>
      <c r="E11" s="41">
        <f>IF(8&gt;$C$6,"",8)</f>
        <v/>
      </c>
      <c r="F11" s="48">
        <f>IF(E11="","",EDATE($C$7,E11-1))</f>
        <v/>
      </c>
      <c r="G11" s="49">
        <f>IF(E11="","",K10)</f>
        <v/>
      </c>
      <c r="H11" s="49">
        <f>IF(E11="","",$C$9)</f>
        <v/>
      </c>
      <c r="I11" s="49">
        <f>IF(E11="","",-IPMT($C$5/12,E11,$C$6,$C$4))</f>
        <v/>
      </c>
      <c r="J11" s="49">
        <f>IF(E11="","",-PPMT($C$5/12,E11,$C$6,$C$4))</f>
        <v/>
      </c>
      <c r="K11" s="49">
        <f>IF(E11="","",MAX(0,G11-J11))</f>
        <v/>
      </c>
    </row>
    <row r="12">
      <c r="B12" s="10" t="inlineStr">
        <is>
          <t>Interest / Principal</t>
        </is>
      </c>
      <c r="C12" s="54">
        <f>IFERROR(C10/C4,0)</f>
        <v/>
      </c>
      <c r="E12" s="41">
        <f>IF(9&gt;$C$6,"",9)</f>
        <v/>
      </c>
      <c r="F12" s="48">
        <f>IF(E12="","",EDATE($C$7,E12-1))</f>
        <v/>
      </c>
      <c r="G12" s="49">
        <f>IF(E12="","",K11)</f>
        <v/>
      </c>
      <c r="H12" s="49">
        <f>IF(E12="","",$C$9)</f>
        <v/>
      </c>
      <c r="I12" s="49">
        <f>IF(E12="","",-IPMT($C$5/12,E12,$C$6,$C$4))</f>
        <v/>
      </c>
      <c r="J12" s="49">
        <f>IF(E12="","",-PPMT($C$5/12,E12,$C$6,$C$4))</f>
        <v/>
      </c>
      <c r="K12" s="49">
        <f>IF(E12="","",MAX(0,G12-J12))</f>
        <v/>
      </c>
    </row>
    <row r="13">
      <c r="B13" s="10" t="inlineStr">
        <is>
          <t>Last EMI Date</t>
        </is>
      </c>
      <c r="C13" s="55">
        <f>EDATE(C7,C6-1)</f>
        <v/>
      </c>
      <c r="E13" s="41">
        <f>IF(10&gt;$C$6,"",10)</f>
        <v/>
      </c>
      <c r="F13" s="48">
        <f>IF(E13="","",EDATE($C$7,E13-1))</f>
        <v/>
      </c>
      <c r="G13" s="49">
        <f>IF(E13="","",K12)</f>
        <v/>
      </c>
      <c r="H13" s="49">
        <f>IF(E13="","",$C$9)</f>
        <v/>
      </c>
      <c r="I13" s="49">
        <f>IF(E13="","",-IPMT($C$5/12,E13,$C$6,$C$4))</f>
        <v/>
      </c>
      <c r="J13" s="49">
        <f>IF(E13="","",-PPMT($C$5/12,E13,$C$6,$C$4))</f>
        <v/>
      </c>
      <c r="K13" s="49">
        <f>IF(E13="","",MAX(0,G13-J13))</f>
        <v/>
      </c>
    </row>
    <row r="14">
      <c r="E14" s="41">
        <f>IF(11&gt;$C$6,"",11)</f>
        <v/>
      </c>
      <c r="F14" s="48">
        <f>IF(E14="","",EDATE($C$7,E14-1))</f>
        <v/>
      </c>
      <c r="G14" s="49">
        <f>IF(E14="","",K13)</f>
        <v/>
      </c>
      <c r="H14" s="49">
        <f>IF(E14="","",$C$9)</f>
        <v/>
      </c>
      <c r="I14" s="49">
        <f>IF(E14="","",-IPMT($C$5/12,E14,$C$6,$C$4))</f>
        <v/>
      </c>
      <c r="J14" s="49">
        <f>IF(E14="","",-PPMT($C$5/12,E14,$C$6,$C$4))</f>
        <v/>
      </c>
      <c r="K14" s="49">
        <f>IF(E14="","",MAX(0,G14-J14))</f>
        <v/>
      </c>
    </row>
    <row r="15">
      <c r="B15" s="2" t="inlineStr">
        <is>
          <t>Schedule shows up to 360 months; rows beyond tenure stay blank.</t>
        </is>
      </c>
      <c r="E15" s="41">
        <f>IF(12&gt;$C$6,"",12)</f>
        <v/>
      </c>
      <c r="F15" s="48">
        <f>IF(E15="","",EDATE($C$7,E15-1))</f>
        <v/>
      </c>
      <c r="G15" s="49">
        <f>IF(E15="","",K14)</f>
        <v/>
      </c>
      <c r="H15" s="49">
        <f>IF(E15="","",$C$9)</f>
        <v/>
      </c>
      <c r="I15" s="49">
        <f>IF(E15="","",-IPMT($C$5/12,E15,$C$6,$C$4))</f>
        <v/>
      </c>
      <c r="J15" s="49">
        <f>IF(E15="","",-PPMT($C$5/12,E15,$C$6,$C$4))</f>
        <v/>
      </c>
      <c r="K15" s="49">
        <f>IF(E15="","",MAX(0,G15-J15))</f>
        <v/>
      </c>
    </row>
    <row r="16">
      <c r="E16" s="41">
        <f>IF(13&gt;$C$6,"",13)</f>
        <v/>
      </c>
      <c r="F16" s="48">
        <f>IF(E16="","",EDATE($C$7,E16-1))</f>
        <v/>
      </c>
      <c r="G16" s="49">
        <f>IF(E16="","",K15)</f>
        <v/>
      </c>
      <c r="H16" s="49">
        <f>IF(E16="","",$C$9)</f>
        <v/>
      </c>
      <c r="I16" s="49">
        <f>IF(E16="","",-IPMT($C$5/12,E16,$C$6,$C$4))</f>
        <v/>
      </c>
      <c r="J16" s="49">
        <f>IF(E16="","",-PPMT($C$5/12,E16,$C$6,$C$4))</f>
        <v/>
      </c>
      <c r="K16" s="49">
        <f>IF(E16="","",MAX(0,G16-J16))</f>
        <v/>
      </c>
    </row>
    <row r="17">
      <c r="E17" s="41">
        <f>IF(14&gt;$C$6,"",14)</f>
        <v/>
      </c>
      <c r="F17" s="48">
        <f>IF(E17="","",EDATE($C$7,E17-1))</f>
        <v/>
      </c>
      <c r="G17" s="49">
        <f>IF(E17="","",K16)</f>
        <v/>
      </c>
      <c r="H17" s="49">
        <f>IF(E17="","",$C$9)</f>
        <v/>
      </c>
      <c r="I17" s="49">
        <f>IF(E17="","",-IPMT($C$5/12,E17,$C$6,$C$4))</f>
        <v/>
      </c>
      <c r="J17" s="49">
        <f>IF(E17="","",-PPMT($C$5/12,E17,$C$6,$C$4))</f>
        <v/>
      </c>
      <c r="K17" s="49">
        <f>IF(E17="","",MAX(0,G17-J17))</f>
        <v/>
      </c>
    </row>
    <row r="18">
      <c r="E18" s="41">
        <f>IF(15&gt;$C$6,"",15)</f>
        <v/>
      </c>
      <c r="F18" s="48">
        <f>IF(E18="","",EDATE($C$7,E18-1))</f>
        <v/>
      </c>
      <c r="G18" s="49">
        <f>IF(E18="","",K17)</f>
        <v/>
      </c>
      <c r="H18" s="49">
        <f>IF(E18="","",$C$9)</f>
        <v/>
      </c>
      <c r="I18" s="49">
        <f>IF(E18="","",-IPMT($C$5/12,E18,$C$6,$C$4))</f>
        <v/>
      </c>
      <c r="J18" s="49">
        <f>IF(E18="","",-PPMT($C$5/12,E18,$C$6,$C$4))</f>
        <v/>
      </c>
      <c r="K18" s="49">
        <f>IF(E18="","",MAX(0,G18-J18))</f>
        <v/>
      </c>
    </row>
    <row r="19">
      <c r="E19" s="41">
        <f>IF(16&gt;$C$6,"",16)</f>
        <v/>
      </c>
      <c r="F19" s="48">
        <f>IF(E19="","",EDATE($C$7,E19-1))</f>
        <v/>
      </c>
      <c r="G19" s="49">
        <f>IF(E19="","",K18)</f>
        <v/>
      </c>
      <c r="H19" s="49">
        <f>IF(E19="","",$C$9)</f>
        <v/>
      </c>
      <c r="I19" s="49">
        <f>IF(E19="","",-IPMT($C$5/12,E19,$C$6,$C$4))</f>
        <v/>
      </c>
      <c r="J19" s="49">
        <f>IF(E19="","",-PPMT($C$5/12,E19,$C$6,$C$4))</f>
        <v/>
      </c>
      <c r="K19" s="49">
        <f>IF(E19="","",MAX(0,G19-J19))</f>
        <v/>
      </c>
    </row>
    <row r="20">
      <c r="E20" s="41">
        <f>IF(17&gt;$C$6,"",17)</f>
        <v/>
      </c>
      <c r="F20" s="48">
        <f>IF(E20="","",EDATE($C$7,E20-1))</f>
        <v/>
      </c>
      <c r="G20" s="49">
        <f>IF(E20="","",K19)</f>
        <v/>
      </c>
      <c r="H20" s="49">
        <f>IF(E20="","",$C$9)</f>
        <v/>
      </c>
      <c r="I20" s="49">
        <f>IF(E20="","",-IPMT($C$5/12,E20,$C$6,$C$4))</f>
        <v/>
      </c>
      <c r="J20" s="49">
        <f>IF(E20="","",-PPMT($C$5/12,E20,$C$6,$C$4))</f>
        <v/>
      </c>
      <c r="K20" s="49">
        <f>IF(E20="","",MAX(0,G20-J20))</f>
        <v/>
      </c>
    </row>
    <row r="21">
      <c r="E21" s="41">
        <f>IF(18&gt;$C$6,"",18)</f>
        <v/>
      </c>
      <c r="F21" s="48">
        <f>IF(E21="","",EDATE($C$7,E21-1))</f>
        <v/>
      </c>
      <c r="G21" s="49">
        <f>IF(E21="","",K20)</f>
        <v/>
      </c>
      <c r="H21" s="49">
        <f>IF(E21="","",$C$9)</f>
        <v/>
      </c>
      <c r="I21" s="49">
        <f>IF(E21="","",-IPMT($C$5/12,E21,$C$6,$C$4))</f>
        <v/>
      </c>
      <c r="J21" s="49">
        <f>IF(E21="","",-PPMT($C$5/12,E21,$C$6,$C$4))</f>
        <v/>
      </c>
      <c r="K21" s="49">
        <f>IF(E21="","",MAX(0,G21-J21))</f>
        <v/>
      </c>
    </row>
    <row r="22">
      <c r="E22" s="41">
        <f>IF(19&gt;$C$6,"",19)</f>
        <v/>
      </c>
      <c r="F22" s="48">
        <f>IF(E22="","",EDATE($C$7,E22-1))</f>
        <v/>
      </c>
      <c r="G22" s="49">
        <f>IF(E22="","",K21)</f>
        <v/>
      </c>
      <c r="H22" s="49">
        <f>IF(E22="","",$C$9)</f>
        <v/>
      </c>
      <c r="I22" s="49">
        <f>IF(E22="","",-IPMT($C$5/12,E22,$C$6,$C$4))</f>
        <v/>
      </c>
      <c r="J22" s="49">
        <f>IF(E22="","",-PPMT($C$5/12,E22,$C$6,$C$4))</f>
        <v/>
      </c>
      <c r="K22" s="49">
        <f>IF(E22="","",MAX(0,G22-J22))</f>
        <v/>
      </c>
    </row>
    <row r="23">
      <c r="E23" s="41">
        <f>IF(20&gt;$C$6,"",20)</f>
        <v/>
      </c>
      <c r="F23" s="48">
        <f>IF(E23="","",EDATE($C$7,E23-1))</f>
        <v/>
      </c>
      <c r="G23" s="49">
        <f>IF(E23="","",K22)</f>
        <v/>
      </c>
      <c r="H23" s="49">
        <f>IF(E23="","",$C$9)</f>
        <v/>
      </c>
      <c r="I23" s="49">
        <f>IF(E23="","",-IPMT($C$5/12,E23,$C$6,$C$4))</f>
        <v/>
      </c>
      <c r="J23" s="49">
        <f>IF(E23="","",-PPMT($C$5/12,E23,$C$6,$C$4))</f>
        <v/>
      </c>
      <c r="K23" s="49">
        <f>IF(E23="","",MAX(0,G23-J23))</f>
        <v/>
      </c>
    </row>
    <row r="24">
      <c r="E24" s="41">
        <f>IF(21&gt;$C$6,"",21)</f>
        <v/>
      </c>
      <c r="F24" s="48">
        <f>IF(E24="","",EDATE($C$7,E24-1))</f>
        <v/>
      </c>
      <c r="G24" s="49">
        <f>IF(E24="","",K23)</f>
        <v/>
      </c>
      <c r="H24" s="49">
        <f>IF(E24="","",$C$9)</f>
        <v/>
      </c>
      <c r="I24" s="49">
        <f>IF(E24="","",-IPMT($C$5/12,E24,$C$6,$C$4))</f>
        <v/>
      </c>
      <c r="J24" s="49">
        <f>IF(E24="","",-PPMT($C$5/12,E24,$C$6,$C$4))</f>
        <v/>
      </c>
      <c r="K24" s="49">
        <f>IF(E24="","",MAX(0,G24-J24))</f>
        <v/>
      </c>
    </row>
    <row r="25">
      <c r="E25" s="41">
        <f>IF(22&gt;$C$6,"",22)</f>
        <v/>
      </c>
      <c r="F25" s="48">
        <f>IF(E25="","",EDATE($C$7,E25-1))</f>
        <v/>
      </c>
      <c r="G25" s="49">
        <f>IF(E25="","",K24)</f>
        <v/>
      </c>
      <c r="H25" s="49">
        <f>IF(E25="","",$C$9)</f>
        <v/>
      </c>
      <c r="I25" s="49">
        <f>IF(E25="","",-IPMT($C$5/12,E25,$C$6,$C$4))</f>
        <v/>
      </c>
      <c r="J25" s="49">
        <f>IF(E25="","",-PPMT($C$5/12,E25,$C$6,$C$4))</f>
        <v/>
      </c>
      <c r="K25" s="49">
        <f>IF(E25="","",MAX(0,G25-J25))</f>
        <v/>
      </c>
    </row>
    <row r="26">
      <c r="E26" s="41">
        <f>IF(23&gt;$C$6,"",23)</f>
        <v/>
      </c>
      <c r="F26" s="48">
        <f>IF(E26="","",EDATE($C$7,E26-1))</f>
        <v/>
      </c>
      <c r="G26" s="49">
        <f>IF(E26="","",K25)</f>
        <v/>
      </c>
      <c r="H26" s="49">
        <f>IF(E26="","",$C$9)</f>
        <v/>
      </c>
      <c r="I26" s="49">
        <f>IF(E26="","",-IPMT($C$5/12,E26,$C$6,$C$4))</f>
        <v/>
      </c>
      <c r="J26" s="49">
        <f>IF(E26="","",-PPMT($C$5/12,E26,$C$6,$C$4))</f>
        <v/>
      </c>
      <c r="K26" s="49">
        <f>IF(E26="","",MAX(0,G26-J26))</f>
        <v/>
      </c>
    </row>
    <row r="27">
      <c r="E27" s="41">
        <f>IF(24&gt;$C$6,"",24)</f>
        <v/>
      </c>
      <c r="F27" s="48">
        <f>IF(E27="","",EDATE($C$7,E27-1))</f>
        <v/>
      </c>
      <c r="G27" s="49">
        <f>IF(E27="","",K26)</f>
        <v/>
      </c>
      <c r="H27" s="49">
        <f>IF(E27="","",$C$9)</f>
        <v/>
      </c>
      <c r="I27" s="49">
        <f>IF(E27="","",-IPMT($C$5/12,E27,$C$6,$C$4))</f>
        <v/>
      </c>
      <c r="J27" s="49">
        <f>IF(E27="","",-PPMT($C$5/12,E27,$C$6,$C$4))</f>
        <v/>
      </c>
      <c r="K27" s="49">
        <f>IF(E27="","",MAX(0,G27-J27))</f>
        <v/>
      </c>
    </row>
    <row r="28">
      <c r="E28" s="41">
        <f>IF(25&gt;$C$6,"",25)</f>
        <v/>
      </c>
      <c r="F28" s="48">
        <f>IF(E28="","",EDATE($C$7,E28-1))</f>
        <v/>
      </c>
      <c r="G28" s="49">
        <f>IF(E28="","",K27)</f>
        <v/>
      </c>
      <c r="H28" s="49">
        <f>IF(E28="","",$C$9)</f>
        <v/>
      </c>
      <c r="I28" s="49">
        <f>IF(E28="","",-IPMT($C$5/12,E28,$C$6,$C$4))</f>
        <v/>
      </c>
      <c r="J28" s="49">
        <f>IF(E28="","",-PPMT($C$5/12,E28,$C$6,$C$4))</f>
        <v/>
      </c>
      <c r="K28" s="49">
        <f>IF(E28="","",MAX(0,G28-J28))</f>
        <v/>
      </c>
    </row>
    <row r="29">
      <c r="E29" s="41">
        <f>IF(26&gt;$C$6,"",26)</f>
        <v/>
      </c>
      <c r="F29" s="48">
        <f>IF(E29="","",EDATE($C$7,E29-1))</f>
        <v/>
      </c>
      <c r="G29" s="49">
        <f>IF(E29="","",K28)</f>
        <v/>
      </c>
      <c r="H29" s="49">
        <f>IF(E29="","",$C$9)</f>
        <v/>
      </c>
      <c r="I29" s="49">
        <f>IF(E29="","",-IPMT($C$5/12,E29,$C$6,$C$4))</f>
        <v/>
      </c>
      <c r="J29" s="49">
        <f>IF(E29="","",-PPMT($C$5/12,E29,$C$6,$C$4))</f>
        <v/>
      </c>
      <c r="K29" s="49">
        <f>IF(E29="","",MAX(0,G29-J29))</f>
        <v/>
      </c>
    </row>
    <row r="30">
      <c r="E30" s="41">
        <f>IF(27&gt;$C$6,"",27)</f>
        <v/>
      </c>
      <c r="F30" s="48">
        <f>IF(E30="","",EDATE($C$7,E30-1))</f>
        <v/>
      </c>
      <c r="G30" s="49">
        <f>IF(E30="","",K29)</f>
        <v/>
      </c>
      <c r="H30" s="49">
        <f>IF(E30="","",$C$9)</f>
        <v/>
      </c>
      <c r="I30" s="49">
        <f>IF(E30="","",-IPMT($C$5/12,E30,$C$6,$C$4))</f>
        <v/>
      </c>
      <c r="J30" s="49">
        <f>IF(E30="","",-PPMT($C$5/12,E30,$C$6,$C$4))</f>
        <v/>
      </c>
      <c r="K30" s="49">
        <f>IF(E30="","",MAX(0,G30-J30))</f>
        <v/>
      </c>
    </row>
    <row r="31">
      <c r="E31" s="41">
        <f>IF(28&gt;$C$6,"",28)</f>
        <v/>
      </c>
      <c r="F31" s="48">
        <f>IF(E31="","",EDATE($C$7,E31-1))</f>
        <v/>
      </c>
      <c r="G31" s="49">
        <f>IF(E31="","",K30)</f>
        <v/>
      </c>
      <c r="H31" s="49">
        <f>IF(E31="","",$C$9)</f>
        <v/>
      </c>
      <c r="I31" s="49">
        <f>IF(E31="","",-IPMT($C$5/12,E31,$C$6,$C$4))</f>
        <v/>
      </c>
      <c r="J31" s="49">
        <f>IF(E31="","",-PPMT($C$5/12,E31,$C$6,$C$4))</f>
        <v/>
      </c>
      <c r="K31" s="49">
        <f>IF(E31="","",MAX(0,G31-J31))</f>
        <v/>
      </c>
    </row>
    <row r="32">
      <c r="E32" s="41">
        <f>IF(29&gt;$C$6,"",29)</f>
        <v/>
      </c>
      <c r="F32" s="48">
        <f>IF(E32="","",EDATE($C$7,E32-1))</f>
        <v/>
      </c>
      <c r="G32" s="49">
        <f>IF(E32="","",K31)</f>
        <v/>
      </c>
      <c r="H32" s="49">
        <f>IF(E32="","",$C$9)</f>
        <v/>
      </c>
      <c r="I32" s="49">
        <f>IF(E32="","",-IPMT($C$5/12,E32,$C$6,$C$4))</f>
        <v/>
      </c>
      <c r="J32" s="49">
        <f>IF(E32="","",-PPMT($C$5/12,E32,$C$6,$C$4))</f>
        <v/>
      </c>
      <c r="K32" s="49">
        <f>IF(E32="","",MAX(0,G32-J32))</f>
        <v/>
      </c>
    </row>
    <row r="33">
      <c r="E33" s="41">
        <f>IF(30&gt;$C$6,"",30)</f>
        <v/>
      </c>
      <c r="F33" s="48">
        <f>IF(E33="","",EDATE($C$7,E33-1))</f>
        <v/>
      </c>
      <c r="G33" s="49">
        <f>IF(E33="","",K32)</f>
        <v/>
      </c>
      <c r="H33" s="49">
        <f>IF(E33="","",$C$9)</f>
        <v/>
      </c>
      <c r="I33" s="49">
        <f>IF(E33="","",-IPMT($C$5/12,E33,$C$6,$C$4))</f>
        <v/>
      </c>
      <c r="J33" s="49">
        <f>IF(E33="","",-PPMT($C$5/12,E33,$C$6,$C$4))</f>
        <v/>
      </c>
      <c r="K33" s="49">
        <f>IF(E33="","",MAX(0,G33-J33))</f>
        <v/>
      </c>
    </row>
    <row r="34">
      <c r="E34" s="41">
        <f>IF(31&gt;$C$6,"",31)</f>
        <v/>
      </c>
      <c r="F34" s="48">
        <f>IF(E34="","",EDATE($C$7,E34-1))</f>
        <v/>
      </c>
      <c r="G34" s="49">
        <f>IF(E34="","",K33)</f>
        <v/>
      </c>
      <c r="H34" s="49">
        <f>IF(E34="","",$C$9)</f>
        <v/>
      </c>
      <c r="I34" s="49">
        <f>IF(E34="","",-IPMT($C$5/12,E34,$C$6,$C$4))</f>
        <v/>
      </c>
      <c r="J34" s="49">
        <f>IF(E34="","",-PPMT($C$5/12,E34,$C$6,$C$4))</f>
        <v/>
      </c>
      <c r="K34" s="49">
        <f>IF(E34="","",MAX(0,G34-J34))</f>
        <v/>
      </c>
    </row>
    <row r="35">
      <c r="E35" s="41">
        <f>IF(32&gt;$C$6,"",32)</f>
        <v/>
      </c>
      <c r="F35" s="48">
        <f>IF(E35="","",EDATE($C$7,E35-1))</f>
        <v/>
      </c>
      <c r="G35" s="49">
        <f>IF(E35="","",K34)</f>
        <v/>
      </c>
      <c r="H35" s="49">
        <f>IF(E35="","",$C$9)</f>
        <v/>
      </c>
      <c r="I35" s="49">
        <f>IF(E35="","",-IPMT($C$5/12,E35,$C$6,$C$4))</f>
        <v/>
      </c>
      <c r="J35" s="49">
        <f>IF(E35="","",-PPMT($C$5/12,E35,$C$6,$C$4))</f>
        <v/>
      </c>
      <c r="K35" s="49">
        <f>IF(E35="","",MAX(0,G35-J35))</f>
        <v/>
      </c>
    </row>
    <row r="36">
      <c r="E36" s="41">
        <f>IF(33&gt;$C$6,"",33)</f>
        <v/>
      </c>
      <c r="F36" s="48">
        <f>IF(E36="","",EDATE($C$7,E36-1))</f>
        <v/>
      </c>
      <c r="G36" s="49">
        <f>IF(E36="","",K35)</f>
        <v/>
      </c>
      <c r="H36" s="49">
        <f>IF(E36="","",$C$9)</f>
        <v/>
      </c>
      <c r="I36" s="49">
        <f>IF(E36="","",-IPMT($C$5/12,E36,$C$6,$C$4))</f>
        <v/>
      </c>
      <c r="J36" s="49">
        <f>IF(E36="","",-PPMT($C$5/12,E36,$C$6,$C$4))</f>
        <v/>
      </c>
      <c r="K36" s="49">
        <f>IF(E36="","",MAX(0,G36-J36))</f>
        <v/>
      </c>
    </row>
    <row r="37">
      <c r="E37" s="41">
        <f>IF(34&gt;$C$6,"",34)</f>
        <v/>
      </c>
      <c r="F37" s="48">
        <f>IF(E37="","",EDATE($C$7,E37-1))</f>
        <v/>
      </c>
      <c r="G37" s="49">
        <f>IF(E37="","",K36)</f>
        <v/>
      </c>
      <c r="H37" s="49">
        <f>IF(E37="","",$C$9)</f>
        <v/>
      </c>
      <c r="I37" s="49">
        <f>IF(E37="","",-IPMT($C$5/12,E37,$C$6,$C$4))</f>
        <v/>
      </c>
      <c r="J37" s="49">
        <f>IF(E37="","",-PPMT($C$5/12,E37,$C$6,$C$4))</f>
        <v/>
      </c>
      <c r="K37" s="49">
        <f>IF(E37="","",MAX(0,G37-J37))</f>
        <v/>
      </c>
    </row>
    <row r="38">
      <c r="E38" s="41">
        <f>IF(35&gt;$C$6,"",35)</f>
        <v/>
      </c>
      <c r="F38" s="48">
        <f>IF(E38="","",EDATE($C$7,E38-1))</f>
        <v/>
      </c>
      <c r="G38" s="49">
        <f>IF(E38="","",K37)</f>
        <v/>
      </c>
      <c r="H38" s="49">
        <f>IF(E38="","",$C$9)</f>
        <v/>
      </c>
      <c r="I38" s="49">
        <f>IF(E38="","",-IPMT($C$5/12,E38,$C$6,$C$4))</f>
        <v/>
      </c>
      <c r="J38" s="49">
        <f>IF(E38="","",-PPMT($C$5/12,E38,$C$6,$C$4))</f>
        <v/>
      </c>
      <c r="K38" s="49">
        <f>IF(E38="","",MAX(0,G38-J38))</f>
        <v/>
      </c>
    </row>
    <row r="39">
      <c r="E39" s="41">
        <f>IF(36&gt;$C$6,"",36)</f>
        <v/>
      </c>
      <c r="F39" s="48">
        <f>IF(E39="","",EDATE($C$7,E39-1))</f>
        <v/>
      </c>
      <c r="G39" s="49">
        <f>IF(E39="","",K38)</f>
        <v/>
      </c>
      <c r="H39" s="49">
        <f>IF(E39="","",$C$9)</f>
        <v/>
      </c>
      <c r="I39" s="49">
        <f>IF(E39="","",-IPMT($C$5/12,E39,$C$6,$C$4))</f>
        <v/>
      </c>
      <c r="J39" s="49">
        <f>IF(E39="","",-PPMT($C$5/12,E39,$C$6,$C$4))</f>
        <v/>
      </c>
      <c r="K39" s="49">
        <f>IF(E39="","",MAX(0,G39-J39))</f>
        <v/>
      </c>
    </row>
    <row r="40">
      <c r="E40" s="41">
        <f>IF(37&gt;$C$6,"",37)</f>
        <v/>
      </c>
      <c r="F40" s="48">
        <f>IF(E40="","",EDATE($C$7,E40-1))</f>
        <v/>
      </c>
      <c r="G40" s="49">
        <f>IF(E40="","",K39)</f>
        <v/>
      </c>
      <c r="H40" s="49">
        <f>IF(E40="","",$C$9)</f>
        <v/>
      </c>
      <c r="I40" s="49">
        <f>IF(E40="","",-IPMT($C$5/12,E40,$C$6,$C$4))</f>
        <v/>
      </c>
      <c r="J40" s="49">
        <f>IF(E40="","",-PPMT($C$5/12,E40,$C$6,$C$4))</f>
        <v/>
      </c>
      <c r="K40" s="49">
        <f>IF(E40="","",MAX(0,G40-J40))</f>
        <v/>
      </c>
    </row>
    <row r="41">
      <c r="E41" s="41">
        <f>IF(38&gt;$C$6,"",38)</f>
        <v/>
      </c>
      <c r="F41" s="48">
        <f>IF(E41="","",EDATE($C$7,E41-1))</f>
        <v/>
      </c>
      <c r="G41" s="49">
        <f>IF(E41="","",K40)</f>
        <v/>
      </c>
      <c r="H41" s="49">
        <f>IF(E41="","",$C$9)</f>
        <v/>
      </c>
      <c r="I41" s="49">
        <f>IF(E41="","",-IPMT($C$5/12,E41,$C$6,$C$4))</f>
        <v/>
      </c>
      <c r="J41" s="49">
        <f>IF(E41="","",-PPMT($C$5/12,E41,$C$6,$C$4))</f>
        <v/>
      </c>
      <c r="K41" s="49">
        <f>IF(E41="","",MAX(0,G41-J41))</f>
        <v/>
      </c>
    </row>
    <row r="42">
      <c r="E42" s="41">
        <f>IF(39&gt;$C$6,"",39)</f>
        <v/>
      </c>
      <c r="F42" s="48">
        <f>IF(E42="","",EDATE($C$7,E42-1))</f>
        <v/>
      </c>
      <c r="G42" s="49">
        <f>IF(E42="","",K41)</f>
        <v/>
      </c>
      <c r="H42" s="49">
        <f>IF(E42="","",$C$9)</f>
        <v/>
      </c>
      <c r="I42" s="49">
        <f>IF(E42="","",-IPMT($C$5/12,E42,$C$6,$C$4))</f>
        <v/>
      </c>
      <c r="J42" s="49">
        <f>IF(E42="","",-PPMT($C$5/12,E42,$C$6,$C$4))</f>
        <v/>
      </c>
      <c r="K42" s="49">
        <f>IF(E42="","",MAX(0,G42-J42))</f>
        <v/>
      </c>
    </row>
    <row r="43">
      <c r="E43" s="41">
        <f>IF(40&gt;$C$6,"",40)</f>
        <v/>
      </c>
      <c r="F43" s="48">
        <f>IF(E43="","",EDATE($C$7,E43-1))</f>
        <v/>
      </c>
      <c r="G43" s="49">
        <f>IF(E43="","",K42)</f>
        <v/>
      </c>
      <c r="H43" s="49">
        <f>IF(E43="","",$C$9)</f>
        <v/>
      </c>
      <c r="I43" s="49">
        <f>IF(E43="","",-IPMT($C$5/12,E43,$C$6,$C$4))</f>
        <v/>
      </c>
      <c r="J43" s="49">
        <f>IF(E43="","",-PPMT($C$5/12,E43,$C$6,$C$4))</f>
        <v/>
      </c>
      <c r="K43" s="49">
        <f>IF(E43="","",MAX(0,G43-J43))</f>
        <v/>
      </c>
    </row>
    <row r="44">
      <c r="E44" s="41">
        <f>IF(41&gt;$C$6,"",41)</f>
        <v/>
      </c>
      <c r="F44" s="48">
        <f>IF(E44="","",EDATE($C$7,E44-1))</f>
        <v/>
      </c>
      <c r="G44" s="49">
        <f>IF(E44="","",K43)</f>
        <v/>
      </c>
      <c r="H44" s="49">
        <f>IF(E44="","",$C$9)</f>
        <v/>
      </c>
      <c r="I44" s="49">
        <f>IF(E44="","",-IPMT($C$5/12,E44,$C$6,$C$4))</f>
        <v/>
      </c>
      <c r="J44" s="49">
        <f>IF(E44="","",-PPMT($C$5/12,E44,$C$6,$C$4))</f>
        <v/>
      </c>
      <c r="K44" s="49">
        <f>IF(E44="","",MAX(0,G44-J44))</f>
        <v/>
      </c>
    </row>
    <row r="45">
      <c r="E45" s="41">
        <f>IF(42&gt;$C$6,"",42)</f>
        <v/>
      </c>
      <c r="F45" s="48">
        <f>IF(E45="","",EDATE($C$7,E45-1))</f>
        <v/>
      </c>
      <c r="G45" s="49">
        <f>IF(E45="","",K44)</f>
        <v/>
      </c>
      <c r="H45" s="49">
        <f>IF(E45="","",$C$9)</f>
        <v/>
      </c>
      <c r="I45" s="49">
        <f>IF(E45="","",-IPMT($C$5/12,E45,$C$6,$C$4))</f>
        <v/>
      </c>
      <c r="J45" s="49">
        <f>IF(E45="","",-PPMT($C$5/12,E45,$C$6,$C$4))</f>
        <v/>
      </c>
      <c r="K45" s="49">
        <f>IF(E45="","",MAX(0,G45-J45))</f>
        <v/>
      </c>
    </row>
    <row r="46">
      <c r="E46" s="41">
        <f>IF(43&gt;$C$6,"",43)</f>
        <v/>
      </c>
      <c r="F46" s="48">
        <f>IF(E46="","",EDATE($C$7,E46-1))</f>
        <v/>
      </c>
      <c r="G46" s="49">
        <f>IF(E46="","",K45)</f>
        <v/>
      </c>
      <c r="H46" s="49">
        <f>IF(E46="","",$C$9)</f>
        <v/>
      </c>
      <c r="I46" s="49">
        <f>IF(E46="","",-IPMT($C$5/12,E46,$C$6,$C$4))</f>
        <v/>
      </c>
      <c r="J46" s="49">
        <f>IF(E46="","",-PPMT($C$5/12,E46,$C$6,$C$4))</f>
        <v/>
      </c>
      <c r="K46" s="49">
        <f>IF(E46="","",MAX(0,G46-J46))</f>
        <v/>
      </c>
    </row>
    <row r="47">
      <c r="E47" s="41">
        <f>IF(44&gt;$C$6,"",44)</f>
        <v/>
      </c>
      <c r="F47" s="48">
        <f>IF(E47="","",EDATE($C$7,E47-1))</f>
        <v/>
      </c>
      <c r="G47" s="49">
        <f>IF(E47="","",K46)</f>
        <v/>
      </c>
      <c r="H47" s="49">
        <f>IF(E47="","",$C$9)</f>
        <v/>
      </c>
      <c r="I47" s="49">
        <f>IF(E47="","",-IPMT($C$5/12,E47,$C$6,$C$4))</f>
        <v/>
      </c>
      <c r="J47" s="49">
        <f>IF(E47="","",-PPMT($C$5/12,E47,$C$6,$C$4))</f>
        <v/>
      </c>
      <c r="K47" s="49">
        <f>IF(E47="","",MAX(0,G47-J47))</f>
        <v/>
      </c>
    </row>
    <row r="48">
      <c r="E48" s="41">
        <f>IF(45&gt;$C$6,"",45)</f>
        <v/>
      </c>
      <c r="F48" s="48">
        <f>IF(E48="","",EDATE($C$7,E48-1))</f>
        <v/>
      </c>
      <c r="G48" s="49">
        <f>IF(E48="","",K47)</f>
        <v/>
      </c>
      <c r="H48" s="49">
        <f>IF(E48="","",$C$9)</f>
        <v/>
      </c>
      <c r="I48" s="49">
        <f>IF(E48="","",-IPMT($C$5/12,E48,$C$6,$C$4))</f>
        <v/>
      </c>
      <c r="J48" s="49">
        <f>IF(E48="","",-PPMT($C$5/12,E48,$C$6,$C$4))</f>
        <v/>
      </c>
      <c r="K48" s="49">
        <f>IF(E48="","",MAX(0,G48-J48))</f>
        <v/>
      </c>
    </row>
    <row r="49">
      <c r="E49" s="41">
        <f>IF(46&gt;$C$6,"",46)</f>
        <v/>
      </c>
      <c r="F49" s="48">
        <f>IF(E49="","",EDATE($C$7,E49-1))</f>
        <v/>
      </c>
      <c r="G49" s="49">
        <f>IF(E49="","",K48)</f>
        <v/>
      </c>
      <c r="H49" s="49">
        <f>IF(E49="","",$C$9)</f>
        <v/>
      </c>
      <c r="I49" s="49">
        <f>IF(E49="","",-IPMT($C$5/12,E49,$C$6,$C$4))</f>
        <v/>
      </c>
      <c r="J49" s="49">
        <f>IF(E49="","",-PPMT($C$5/12,E49,$C$6,$C$4))</f>
        <v/>
      </c>
      <c r="K49" s="49">
        <f>IF(E49="","",MAX(0,G49-J49))</f>
        <v/>
      </c>
    </row>
    <row r="50">
      <c r="E50" s="41">
        <f>IF(47&gt;$C$6,"",47)</f>
        <v/>
      </c>
      <c r="F50" s="48">
        <f>IF(E50="","",EDATE($C$7,E50-1))</f>
        <v/>
      </c>
      <c r="G50" s="49">
        <f>IF(E50="","",K49)</f>
        <v/>
      </c>
      <c r="H50" s="49">
        <f>IF(E50="","",$C$9)</f>
        <v/>
      </c>
      <c r="I50" s="49">
        <f>IF(E50="","",-IPMT($C$5/12,E50,$C$6,$C$4))</f>
        <v/>
      </c>
      <c r="J50" s="49">
        <f>IF(E50="","",-PPMT($C$5/12,E50,$C$6,$C$4))</f>
        <v/>
      </c>
      <c r="K50" s="49">
        <f>IF(E50="","",MAX(0,G50-J50))</f>
        <v/>
      </c>
    </row>
    <row r="51">
      <c r="E51" s="41">
        <f>IF(48&gt;$C$6,"",48)</f>
        <v/>
      </c>
      <c r="F51" s="48">
        <f>IF(E51="","",EDATE($C$7,E51-1))</f>
        <v/>
      </c>
      <c r="G51" s="49">
        <f>IF(E51="","",K50)</f>
        <v/>
      </c>
      <c r="H51" s="49">
        <f>IF(E51="","",$C$9)</f>
        <v/>
      </c>
      <c r="I51" s="49">
        <f>IF(E51="","",-IPMT($C$5/12,E51,$C$6,$C$4))</f>
        <v/>
      </c>
      <c r="J51" s="49">
        <f>IF(E51="","",-PPMT($C$5/12,E51,$C$6,$C$4))</f>
        <v/>
      </c>
      <c r="K51" s="49">
        <f>IF(E51="","",MAX(0,G51-J51))</f>
        <v/>
      </c>
    </row>
    <row r="52">
      <c r="E52" s="41">
        <f>IF(49&gt;$C$6,"",49)</f>
        <v/>
      </c>
      <c r="F52" s="48">
        <f>IF(E52="","",EDATE($C$7,E52-1))</f>
        <v/>
      </c>
      <c r="G52" s="49">
        <f>IF(E52="","",K51)</f>
        <v/>
      </c>
      <c r="H52" s="49">
        <f>IF(E52="","",$C$9)</f>
        <v/>
      </c>
      <c r="I52" s="49">
        <f>IF(E52="","",-IPMT($C$5/12,E52,$C$6,$C$4))</f>
        <v/>
      </c>
      <c r="J52" s="49">
        <f>IF(E52="","",-PPMT($C$5/12,E52,$C$6,$C$4))</f>
        <v/>
      </c>
      <c r="K52" s="49">
        <f>IF(E52="","",MAX(0,G52-J52))</f>
        <v/>
      </c>
    </row>
    <row r="53">
      <c r="E53" s="41">
        <f>IF(50&gt;$C$6,"",50)</f>
        <v/>
      </c>
      <c r="F53" s="48">
        <f>IF(E53="","",EDATE($C$7,E53-1))</f>
        <v/>
      </c>
      <c r="G53" s="49">
        <f>IF(E53="","",K52)</f>
        <v/>
      </c>
      <c r="H53" s="49">
        <f>IF(E53="","",$C$9)</f>
        <v/>
      </c>
      <c r="I53" s="49">
        <f>IF(E53="","",-IPMT($C$5/12,E53,$C$6,$C$4))</f>
        <v/>
      </c>
      <c r="J53" s="49">
        <f>IF(E53="","",-PPMT($C$5/12,E53,$C$6,$C$4))</f>
        <v/>
      </c>
      <c r="K53" s="49">
        <f>IF(E53="","",MAX(0,G53-J53))</f>
        <v/>
      </c>
    </row>
    <row r="54">
      <c r="E54" s="41">
        <f>IF(51&gt;$C$6,"",51)</f>
        <v/>
      </c>
      <c r="F54" s="48">
        <f>IF(E54="","",EDATE($C$7,E54-1))</f>
        <v/>
      </c>
      <c r="G54" s="49">
        <f>IF(E54="","",K53)</f>
        <v/>
      </c>
      <c r="H54" s="49">
        <f>IF(E54="","",$C$9)</f>
        <v/>
      </c>
      <c r="I54" s="49">
        <f>IF(E54="","",-IPMT($C$5/12,E54,$C$6,$C$4))</f>
        <v/>
      </c>
      <c r="J54" s="49">
        <f>IF(E54="","",-PPMT($C$5/12,E54,$C$6,$C$4))</f>
        <v/>
      </c>
      <c r="K54" s="49">
        <f>IF(E54="","",MAX(0,G54-J54))</f>
        <v/>
      </c>
    </row>
    <row r="55">
      <c r="E55" s="41">
        <f>IF(52&gt;$C$6,"",52)</f>
        <v/>
      </c>
      <c r="F55" s="48">
        <f>IF(E55="","",EDATE($C$7,E55-1))</f>
        <v/>
      </c>
      <c r="G55" s="49">
        <f>IF(E55="","",K54)</f>
        <v/>
      </c>
      <c r="H55" s="49">
        <f>IF(E55="","",$C$9)</f>
        <v/>
      </c>
      <c r="I55" s="49">
        <f>IF(E55="","",-IPMT($C$5/12,E55,$C$6,$C$4))</f>
        <v/>
      </c>
      <c r="J55" s="49">
        <f>IF(E55="","",-PPMT($C$5/12,E55,$C$6,$C$4))</f>
        <v/>
      </c>
      <c r="K55" s="49">
        <f>IF(E55="","",MAX(0,G55-J55))</f>
        <v/>
      </c>
    </row>
    <row r="56">
      <c r="E56" s="41">
        <f>IF(53&gt;$C$6,"",53)</f>
        <v/>
      </c>
      <c r="F56" s="48">
        <f>IF(E56="","",EDATE($C$7,E56-1))</f>
        <v/>
      </c>
      <c r="G56" s="49">
        <f>IF(E56="","",K55)</f>
        <v/>
      </c>
      <c r="H56" s="49">
        <f>IF(E56="","",$C$9)</f>
        <v/>
      </c>
      <c r="I56" s="49">
        <f>IF(E56="","",-IPMT($C$5/12,E56,$C$6,$C$4))</f>
        <v/>
      </c>
      <c r="J56" s="49">
        <f>IF(E56="","",-PPMT($C$5/12,E56,$C$6,$C$4))</f>
        <v/>
      </c>
      <c r="K56" s="49">
        <f>IF(E56="","",MAX(0,G56-J56))</f>
        <v/>
      </c>
    </row>
    <row r="57">
      <c r="E57" s="41">
        <f>IF(54&gt;$C$6,"",54)</f>
        <v/>
      </c>
      <c r="F57" s="48">
        <f>IF(E57="","",EDATE($C$7,E57-1))</f>
        <v/>
      </c>
      <c r="G57" s="49">
        <f>IF(E57="","",K56)</f>
        <v/>
      </c>
      <c r="H57" s="49">
        <f>IF(E57="","",$C$9)</f>
        <v/>
      </c>
      <c r="I57" s="49">
        <f>IF(E57="","",-IPMT($C$5/12,E57,$C$6,$C$4))</f>
        <v/>
      </c>
      <c r="J57" s="49">
        <f>IF(E57="","",-PPMT($C$5/12,E57,$C$6,$C$4))</f>
        <v/>
      </c>
      <c r="K57" s="49">
        <f>IF(E57="","",MAX(0,G57-J57))</f>
        <v/>
      </c>
    </row>
    <row r="58">
      <c r="E58" s="41">
        <f>IF(55&gt;$C$6,"",55)</f>
        <v/>
      </c>
      <c r="F58" s="48">
        <f>IF(E58="","",EDATE($C$7,E58-1))</f>
        <v/>
      </c>
      <c r="G58" s="49">
        <f>IF(E58="","",K57)</f>
        <v/>
      </c>
      <c r="H58" s="49">
        <f>IF(E58="","",$C$9)</f>
        <v/>
      </c>
      <c r="I58" s="49">
        <f>IF(E58="","",-IPMT($C$5/12,E58,$C$6,$C$4))</f>
        <v/>
      </c>
      <c r="J58" s="49">
        <f>IF(E58="","",-PPMT($C$5/12,E58,$C$6,$C$4))</f>
        <v/>
      </c>
      <c r="K58" s="49">
        <f>IF(E58="","",MAX(0,G58-J58))</f>
        <v/>
      </c>
    </row>
    <row r="59">
      <c r="E59" s="41">
        <f>IF(56&gt;$C$6,"",56)</f>
        <v/>
      </c>
      <c r="F59" s="48">
        <f>IF(E59="","",EDATE($C$7,E59-1))</f>
        <v/>
      </c>
      <c r="G59" s="49">
        <f>IF(E59="","",K58)</f>
        <v/>
      </c>
      <c r="H59" s="49">
        <f>IF(E59="","",$C$9)</f>
        <v/>
      </c>
      <c r="I59" s="49">
        <f>IF(E59="","",-IPMT($C$5/12,E59,$C$6,$C$4))</f>
        <v/>
      </c>
      <c r="J59" s="49">
        <f>IF(E59="","",-PPMT($C$5/12,E59,$C$6,$C$4))</f>
        <v/>
      </c>
      <c r="K59" s="49">
        <f>IF(E59="","",MAX(0,G59-J59))</f>
        <v/>
      </c>
    </row>
    <row r="60">
      <c r="E60" s="41">
        <f>IF(57&gt;$C$6,"",57)</f>
        <v/>
      </c>
      <c r="F60" s="48">
        <f>IF(E60="","",EDATE($C$7,E60-1))</f>
        <v/>
      </c>
      <c r="G60" s="49">
        <f>IF(E60="","",K59)</f>
        <v/>
      </c>
      <c r="H60" s="49">
        <f>IF(E60="","",$C$9)</f>
        <v/>
      </c>
      <c r="I60" s="49">
        <f>IF(E60="","",-IPMT($C$5/12,E60,$C$6,$C$4))</f>
        <v/>
      </c>
      <c r="J60" s="49">
        <f>IF(E60="","",-PPMT($C$5/12,E60,$C$6,$C$4))</f>
        <v/>
      </c>
      <c r="K60" s="49">
        <f>IF(E60="","",MAX(0,G60-J60))</f>
        <v/>
      </c>
    </row>
    <row r="61">
      <c r="E61" s="41">
        <f>IF(58&gt;$C$6,"",58)</f>
        <v/>
      </c>
      <c r="F61" s="48">
        <f>IF(E61="","",EDATE($C$7,E61-1))</f>
        <v/>
      </c>
      <c r="G61" s="49">
        <f>IF(E61="","",K60)</f>
        <v/>
      </c>
      <c r="H61" s="49">
        <f>IF(E61="","",$C$9)</f>
        <v/>
      </c>
      <c r="I61" s="49">
        <f>IF(E61="","",-IPMT($C$5/12,E61,$C$6,$C$4))</f>
        <v/>
      </c>
      <c r="J61" s="49">
        <f>IF(E61="","",-PPMT($C$5/12,E61,$C$6,$C$4))</f>
        <v/>
      </c>
      <c r="K61" s="49">
        <f>IF(E61="","",MAX(0,G61-J61))</f>
        <v/>
      </c>
    </row>
    <row r="62">
      <c r="E62" s="41">
        <f>IF(59&gt;$C$6,"",59)</f>
        <v/>
      </c>
      <c r="F62" s="48">
        <f>IF(E62="","",EDATE($C$7,E62-1))</f>
        <v/>
      </c>
      <c r="G62" s="49">
        <f>IF(E62="","",K61)</f>
        <v/>
      </c>
      <c r="H62" s="49">
        <f>IF(E62="","",$C$9)</f>
        <v/>
      </c>
      <c r="I62" s="49">
        <f>IF(E62="","",-IPMT($C$5/12,E62,$C$6,$C$4))</f>
        <v/>
      </c>
      <c r="J62" s="49">
        <f>IF(E62="","",-PPMT($C$5/12,E62,$C$6,$C$4))</f>
        <v/>
      </c>
      <c r="K62" s="49">
        <f>IF(E62="","",MAX(0,G62-J62))</f>
        <v/>
      </c>
    </row>
    <row r="63">
      <c r="E63" s="41">
        <f>IF(60&gt;$C$6,"",60)</f>
        <v/>
      </c>
      <c r="F63" s="48">
        <f>IF(E63="","",EDATE($C$7,E63-1))</f>
        <v/>
      </c>
      <c r="G63" s="49">
        <f>IF(E63="","",K62)</f>
        <v/>
      </c>
      <c r="H63" s="49">
        <f>IF(E63="","",$C$9)</f>
        <v/>
      </c>
      <c r="I63" s="49">
        <f>IF(E63="","",-IPMT($C$5/12,E63,$C$6,$C$4))</f>
        <v/>
      </c>
      <c r="J63" s="49">
        <f>IF(E63="","",-PPMT($C$5/12,E63,$C$6,$C$4))</f>
        <v/>
      </c>
      <c r="K63" s="49">
        <f>IF(E63="","",MAX(0,G63-J63))</f>
        <v/>
      </c>
    </row>
    <row r="64">
      <c r="E64" s="41">
        <f>IF(61&gt;$C$6,"",61)</f>
        <v/>
      </c>
      <c r="F64" s="48">
        <f>IF(E64="","",EDATE($C$7,E64-1))</f>
        <v/>
      </c>
      <c r="G64" s="49">
        <f>IF(E64="","",K63)</f>
        <v/>
      </c>
      <c r="H64" s="49">
        <f>IF(E64="","",$C$9)</f>
        <v/>
      </c>
      <c r="I64" s="49">
        <f>IF(E64="","",-IPMT($C$5/12,E64,$C$6,$C$4))</f>
        <v/>
      </c>
      <c r="J64" s="49">
        <f>IF(E64="","",-PPMT($C$5/12,E64,$C$6,$C$4))</f>
        <v/>
      </c>
      <c r="K64" s="49">
        <f>IF(E64="","",MAX(0,G64-J64))</f>
        <v/>
      </c>
    </row>
    <row r="65">
      <c r="E65" s="41">
        <f>IF(62&gt;$C$6,"",62)</f>
        <v/>
      </c>
      <c r="F65" s="48">
        <f>IF(E65="","",EDATE($C$7,E65-1))</f>
        <v/>
      </c>
      <c r="G65" s="49">
        <f>IF(E65="","",K64)</f>
        <v/>
      </c>
      <c r="H65" s="49">
        <f>IF(E65="","",$C$9)</f>
        <v/>
      </c>
      <c r="I65" s="49">
        <f>IF(E65="","",-IPMT($C$5/12,E65,$C$6,$C$4))</f>
        <v/>
      </c>
      <c r="J65" s="49">
        <f>IF(E65="","",-PPMT($C$5/12,E65,$C$6,$C$4))</f>
        <v/>
      </c>
      <c r="K65" s="49">
        <f>IF(E65="","",MAX(0,G65-J65))</f>
        <v/>
      </c>
    </row>
    <row r="66">
      <c r="E66" s="41">
        <f>IF(63&gt;$C$6,"",63)</f>
        <v/>
      </c>
      <c r="F66" s="48">
        <f>IF(E66="","",EDATE($C$7,E66-1))</f>
        <v/>
      </c>
      <c r="G66" s="49">
        <f>IF(E66="","",K65)</f>
        <v/>
      </c>
      <c r="H66" s="49">
        <f>IF(E66="","",$C$9)</f>
        <v/>
      </c>
      <c r="I66" s="49">
        <f>IF(E66="","",-IPMT($C$5/12,E66,$C$6,$C$4))</f>
        <v/>
      </c>
      <c r="J66" s="49">
        <f>IF(E66="","",-PPMT($C$5/12,E66,$C$6,$C$4))</f>
        <v/>
      </c>
      <c r="K66" s="49">
        <f>IF(E66="","",MAX(0,G66-J66))</f>
        <v/>
      </c>
    </row>
    <row r="67">
      <c r="E67" s="41">
        <f>IF(64&gt;$C$6,"",64)</f>
        <v/>
      </c>
      <c r="F67" s="48">
        <f>IF(E67="","",EDATE($C$7,E67-1))</f>
        <v/>
      </c>
      <c r="G67" s="49">
        <f>IF(E67="","",K66)</f>
        <v/>
      </c>
      <c r="H67" s="49">
        <f>IF(E67="","",$C$9)</f>
        <v/>
      </c>
      <c r="I67" s="49">
        <f>IF(E67="","",-IPMT($C$5/12,E67,$C$6,$C$4))</f>
        <v/>
      </c>
      <c r="J67" s="49">
        <f>IF(E67="","",-PPMT($C$5/12,E67,$C$6,$C$4))</f>
        <v/>
      </c>
      <c r="K67" s="49">
        <f>IF(E67="","",MAX(0,G67-J67))</f>
        <v/>
      </c>
    </row>
    <row r="68">
      <c r="E68" s="41">
        <f>IF(65&gt;$C$6,"",65)</f>
        <v/>
      </c>
      <c r="F68" s="48">
        <f>IF(E68="","",EDATE($C$7,E68-1))</f>
        <v/>
      </c>
      <c r="G68" s="49">
        <f>IF(E68="","",K67)</f>
        <v/>
      </c>
      <c r="H68" s="49">
        <f>IF(E68="","",$C$9)</f>
        <v/>
      </c>
      <c r="I68" s="49">
        <f>IF(E68="","",-IPMT($C$5/12,E68,$C$6,$C$4))</f>
        <v/>
      </c>
      <c r="J68" s="49">
        <f>IF(E68="","",-PPMT($C$5/12,E68,$C$6,$C$4))</f>
        <v/>
      </c>
      <c r="K68" s="49">
        <f>IF(E68="","",MAX(0,G68-J68))</f>
        <v/>
      </c>
    </row>
    <row r="69">
      <c r="E69" s="41">
        <f>IF(66&gt;$C$6,"",66)</f>
        <v/>
      </c>
      <c r="F69" s="48">
        <f>IF(E69="","",EDATE($C$7,E69-1))</f>
        <v/>
      </c>
      <c r="G69" s="49">
        <f>IF(E69="","",K68)</f>
        <v/>
      </c>
      <c r="H69" s="49">
        <f>IF(E69="","",$C$9)</f>
        <v/>
      </c>
      <c r="I69" s="49">
        <f>IF(E69="","",-IPMT($C$5/12,E69,$C$6,$C$4))</f>
        <v/>
      </c>
      <c r="J69" s="49">
        <f>IF(E69="","",-PPMT($C$5/12,E69,$C$6,$C$4))</f>
        <v/>
      </c>
      <c r="K69" s="49">
        <f>IF(E69="","",MAX(0,G69-J69))</f>
        <v/>
      </c>
    </row>
    <row r="70">
      <c r="E70" s="41">
        <f>IF(67&gt;$C$6,"",67)</f>
        <v/>
      </c>
      <c r="F70" s="48">
        <f>IF(E70="","",EDATE($C$7,E70-1))</f>
        <v/>
      </c>
      <c r="G70" s="49">
        <f>IF(E70="","",K69)</f>
        <v/>
      </c>
      <c r="H70" s="49">
        <f>IF(E70="","",$C$9)</f>
        <v/>
      </c>
      <c r="I70" s="49">
        <f>IF(E70="","",-IPMT($C$5/12,E70,$C$6,$C$4))</f>
        <v/>
      </c>
      <c r="J70" s="49">
        <f>IF(E70="","",-PPMT($C$5/12,E70,$C$6,$C$4))</f>
        <v/>
      </c>
      <c r="K70" s="49">
        <f>IF(E70="","",MAX(0,G70-J70))</f>
        <v/>
      </c>
    </row>
    <row r="71">
      <c r="E71" s="41">
        <f>IF(68&gt;$C$6,"",68)</f>
        <v/>
      </c>
      <c r="F71" s="48">
        <f>IF(E71="","",EDATE($C$7,E71-1))</f>
        <v/>
      </c>
      <c r="G71" s="49">
        <f>IF(E71="","",K70)</f>
        <v/>
      </c>
      <c r="H71" s="49">
        <f>IF(E71="","",$C$9)</f>
        <v/>
      </c>
      <c r="I71" s="49">
        <f>IF(E71="","",-IPMT($C$5/12,E71,$C$6,$C$4))</f>
        <v/>
      </c>
      <c r="J71" s="49">
        <f>IF(E71="","",-PPMT($C$5/12,E71,$C$6,$C$4))</f>
        <v/>
      </c>
      <c r="K71" s="49">
        <f>IF(E71="","",MAX(0,G71-J71))</f>
        <v/>
      </c>
    </row>
    <row r="72">
      <c r="E72" s="41">
        <f>IF(69&gt;$C$6,"",69)</f>
        <v/>
      </c>
      <c r="F72" s="48">
        <f>IF(E72="","",EDATE($C$7,E72-1))</f>
        <v/>
      </c>
      <c r="G72" s="49">
        <f>IF(E72="","",K71)</f>
        <v/>
      </c>
      <c r="H72" s="49">
        <f>IF(E72="","",$C$9)</f>
        <v/>
      </c>
      <c r="I72" s="49">
        <f>IF(E72="","",-IPMT($C$5/12,E72,$C$6,$C$4))</f>
        <v/>
      </c>
      <c r="J72" s="49">
        <f>IF(E72="","",-PPMT($C$5/12,E72,$C$6,$C$4))</f>
        <v/>
      </c>
      <c r="K72" s="49">
        <f>IF(E72="","",MAX(0,G72-J72))</f>
        <v/>
      </c>
    </row>
    <row r="73">
      <c r="E73" s="41">
        <f>IF(70&gt;$C$6,"",70)</f>
        <v/>
      </c>
      <c r="F73" s="48">
        <f>IF(E73="","",EDATE($C$7,E73-1))</f>
        <v/>
      </c>
      <c r="G73" s="49">
        <f>IF(E73="","",K72)</f>
        <v/>
      </c>
      <c r="H73" s="49">
        <f>IF(E73="","",$C$9)</f>
        <v/>
      </c>
      <c r="I73" s="49">
        <f>IF(E73="","",-IPMT($C$5/12,E73,$C$6,$C$4))</f>
        <v/>
      </c>
      <c r="J73" s="49">
        <f>IF(E73="","",-PPMT($C$5/12,E73,$C$6,$C$4))</f>
        <v/>
      </c>
      <c r="K73" s="49">
        <f>IF(E73="","",MAX(0,G73-J73))</f>
        <v/>
      </c>
    </row>
    <row r="74">
      <c r="E74" s="41">
        <f>IF(71&gt;$C$6,"",71)</f>
        <v/>
      </c>
      <c r="F74" s="48">
        <f>IF(E74="","",EDATE($C$7,E74-1))</f>
        <v/>
      </c>
      <c r="G74" s="49">
        <f>IF(E74="","",K73)</f>
        <v/>
      </c>
      <c r="H74" s="49">
        <f>IF(E74="","",$C$9)</f>
        <v/>
      </c>
      <c r="I74" s="49">
        <f>IF(E74="","",-IPMT($C$5/12,E74,$C$6,$C$4))</f>
        <v/>
      </c>
      <c r="J74" s="49">
        <f>IF(E74="","",-PPMT($C$5/12,E74,$C$6,$C$4))</f>
        <v/>
      </c>
      <c r="K74" s="49">
        <f>IF(E74="","",MAX(0,G74-J74))</f>
        <v/>
      </c>
    </row>
    <row r="75">
      <c r="E75" s="41">
        <f>IF(72&gt;$C$6,"",72)</f>
        <v/>
      </c>
      <c r="F75" s="48">
        <f>IF(E75="","",EDATE($C$7,E75-1))</f>
        <v/>
      </c>
      <c r="G75" s="49">
        <f>IF(E75="","",K74)</f>
        <v/>
      </c>
      <c r="H75" s="49">
        <f>IF(E75="","",$C$9)</f>
        <v/>
      </c>
      <c r="I75" s="49">
        <f>IF(E75="","",-IPMT($C$5/12,E75,$C$6,$C$4))</f>
        <v/>
      </c>
      <c r="J75" s="49">
        <f>IF(E75="","",-PPMT($C$5/12,E75,$C$6,$C$4))</f>
        <v/>
      </c>
      <c r="K75" s="49">
        <f>IF(E75="","",MAX(0,G75-J75))</f>
        <v/>
      </c>
    </row>
    <row r="76">
      <c r="E76" s="41">
        <f>IF(73&gt;$C$6,"",73)</f>
        <v/>
      </c>
      <c r="F76" s="48">
        <f>IF(E76="","",EDATE($C$7,E76-1))</f>
        <v/>
      </c>
      <c r="G76" s="49">
        <f>IF(E76="","",K75)</f>
        <v/>
      </c>
      <c r="H76" s="49">
        <f>IF(E76="","",$C$9)</f>
        <v/>
      </c>
      <c r="I76" s="49">
        <f>IF(E76="","",-IPMT($C$5/12,E76,$C$6,$C$4))</f>
        <v/>
      </c>
      <c r="J76" s="49">
        <f>IF(E76="","",-PPMT($C$5/12,E76,$C$6,$C$4))</f>
        <v/>
      </c>
      <c r="K76" s="49">
        <f>IF(E76="","",MAX(0,G76-J76))</f>
        <v/>
      </c>
    </row>
    <row r="77">
      <c r="E77" s="41">
        <f>IF(74&gt;$C$6,"",74)</f>
        <v/>
      </c>
      <c r="F77" s="48">
        <f>IF(E77="","",EDATE($C$7,E77-1))</f>
        <v/>
      </c>
      <c r="G77" s="49">
        <f>IF(E77="","",K76)</f>
        <v/>
      </c>
      <c r="H77" s="49">
        <f>IF(E77="","",$C$9)</f>
        <v/>
      </c>
      <c r="I77" s="49">
        <f>IF(E77="","",-IPMT($C$5/12,E77,$C$6,$C$4))</f>
        <v/>
      </c>
      <c r="J77" s="49">
        <f>IF(E77="","",-PPMT($C$5/12,E77,$C$6,$C$4))</f>
        <v/>
      </c>
      <c r="K77" s="49">
        <f>IF(E77="","",MAX(0,G77-J77))</f>
        <v/>
      </c>
    </row>
    <row r="78">
      <c r="E78" s="41">
        <f>IF(75&gt;$C$6,"",75)</f>
        <v/>
      </c>
      <c r="F78" s="48">
        <f>IF(E78="","",EDATE($C$7,E78-1))</f>
        <v/>
      </c>
      <c r="G78" s="49">
        <f>IF(E78="","",K77)</f>
        <v/>
      </c>
      <c r="H78" s="49">
        <f>IF(E78="","",$C$9)</f>
        <v/>
      </c>
      <c r="I78" s="49">
        <f>IF(E78="","",-IPMT($C$5/12,E78,$C$6,$C$4))</f>
        <v/>
      </c>
      <c r="J78" s="49">
        <f>IF(E78="","",-PPMT($C$5/12,E78,$C$6,$C$4))</f>
        <v/>
      </c>
      <c r="K78" s="49">
        <f>IF(E78="","",MAX(0,G78-J78))</f>
        <v/>
      </c>
    </row>
    <row r="79">
      <c r="E79" s="41">
        <f>IF(76&gt;$C$6,"",76)</f>
        <v/>
      </c>
      <c r="F79" s="48">
        <f>IF(E79="","",EDATE($C$7,E79-1))</f>
        <v/>
      </c>
      <c r="G79" s="49">
        <f>IF(E79="","",K78)</f>
        <v/>
      </c>
      <c r="H79" s="49">
        <f>IF(E79="","",$C$9)</f>
        <v/>
      </c>
      <c r="I79" s="49">
        <f>IF(E79="","",-IPMT($C$5/12,E79,$C$6,$C$4))</f>
        <v/>
      </c>
      <c r="J79" s="49">
        <f>IF(E79="","",-PPMT($C$5/12,E79,$C$6,$C$4))</f>
        <v/>
      </c>
      <c r="K79" s="49">
        <f>IF(E79="","",MAX(0,G79-J79))</f>
        <v/>
      </c>
    </row>
    <row r="80">
      <c r="E80" s="41">
        <f>IF(77&gt;$C$6,"",77)</f>
        <v/>
      </c>
      <c r="F80" s="48">
        <f>IF(E80="","",EDATE($C$7,E80-1))</f>
        <v/>
      </c>
      <c r="G80" s="49">
        <f>IF(E80="","",K79)</f>
        <v/>
      </c>
      <c r="H80" s="49">
        <f>IF(E80="","",$C$9)</f>
        <v/>
      </c>
      <c r="I80" s="49">
        <f>IF(E80="","",-IPMT($C$5/12,E80,$C$6,$C$4))</f>
        <v/>
      </c>
      <c r="J80" s="49">
        <f>IF(E80="","",-PPMT($C$5/12,E80,$C$6,$C$4))</f>
        <v/>
      </c>
      <c r="K80" s="49">
        <f>IF(E80="","",MAX(0,G80-J80))</f>
        <v/>
      </c>
    </row>
    <row r="81">
      <c r="E81" s="41">
        <f>IF(78&gt;$C$6,"",78)</f>
        <v/>
      </c>
      <c r="F81" s="48">
        <f>IF(E81="","",EDATE($C$7,E81-1))</f>
        <v/>
      </c>
      <c r="G81" s="49">
        <f>IF(E81="","",K80)</f>
        <v/>
      </c>
      <c r="H81" s="49">
        <f>IF(E81="","",$C$9)</f>
        <v/>
      </c>
      <c r="I81" s="49">
        <f>IF(E81="","",-IPMT($C$5/12,E81,$C$6,$C$4))</f>
        <v/>
      </c>
      <c r="J81" s="49">
        <f>IF(E81="","",-PPMT($C$5/12,E81,$C$6,$C$4))</f>
        <v/>
      </c>
      <c r="K81" s="49">
        <f>IF(E81="","",MAX(0,G81-J81))</f>
        <v/>
      </c>
    </row>
    <row r="82">
      <c r="E82" s="41">
        <f>IF(79&gt;$C$6,"",79)</f>
        <v/>
      </c>
      <c r="F82" s="48">
        <f>IF(E82="","",EDATE($C$7,E82-1))</f>
        <v/>
      </c>
      <c r="G82" s="49">
        <f>IF(E82="","",K81)</f>
        <v/>
      </c>
      <c r="H82" s="49">
        <f>IF(E82="","",$C$9)</f>
        <v/>
      </c>
      <c r="I82" s="49">
        <f>IF(E82="","",-IPMT($C$5/12,E82,$C$6,$C$4))</f>
        <v/>
      </c>
      <c r="J82" s="49">
        <f>IF(E82="","",-PPMT($C$5/12,E82,$C$6,$C$4))</f>
        <v/>
      </c>
      <c r="K82" s="49">
        <f>IF(E82="","",MAX(0,G82-J82))</f>
        <v/>
      </c>
    </row>
    <row r="83">
      <c r="E83" s="41">
        <f>IF(80&gt;$C$6,"",80)</f>
        <v/>
      </c>
      <c r="F83" s="48">
        <f>IF(E83="","",EDATE($C$7,E83-1))</f>
        <v/>
      </c>
      <c r="G83" s="49">
        <f>IF(E83="","",K82)</f>
        <v/>
      </c>
      <c r="H83" s="49">
        <f>IF(E83="","",$C$9)</f>
        <v/>
      </c>
      <c r="I83" s="49">
        <f>IF(E83="","",-IPMT($C$5/12,E83,$C$6,$C$4))</f>
        <v/>
      </c>
      <c r="J83" s="49">
        <f>IF(E83="","",-PPMT($C$5/12,E83,$C$6,$C$4))</f>
        <v/>
      </c>
      <c r="K83" s="49">
        <f>IF(E83="","",MAX(0,G83-J83))</f>
        <v/>
      </c>
    </row>
    <row r="84">
      <c r="E84" s="41">
        <f>IF(81&gt;$C$6,"",81)</f>
        <v/>
      </c>
      <c r="F84" s="48">
        <f>IF(E84="","",EDATE($C$7,E84-1))</f>
        <v/>
      </c>
      <c r="G84" s="49">
        <f>IF(E84="","",K83)</f>
        <v/>
      </c>
      <c r="H84" s="49">
        <f>IF(E84="","",$C$9)</f>
        <v/>
      </c>
      <c r="I84" s="49">
        <f>IF(E84="","",-IPMT($C$5/12,E84,$C$6,$C$4))</f>
        <v/>
      </c>
      <c r="J84" s="49">
        <f>IF(E84="","",-PPMT($C$5/12,E84,$C$6,$C$4))</f>
        <v/>
      </c>
      <c r="K84" s="49">
        <f>IF(E84="","",MAX(0,G84-J84))</f>
        <v/>
      </c>
    </row>
    <row r="85">
      <c r="E85" s="41">
        <f>IF(82&gt;$C$6,"",82)</f>
        <v/>
      </c>
      <c r="F85" s="48">
        <f>IF(E85="","",EDATE($C$7,E85-1))</f>
        <v/>
      </c>
      <c r="G85" s="49">
        <f>IF(E85="","",K84)</f>
        <v/>
      </c>
      <c r="H85" s="49">
        <f>IF(E85="","",$C$9)</f>
        <v/>
      </c>
      <c r="I85" s="49">
        <f>IF(E85="","",-IPMT($C$5/12,E85,$C$6,$C$4))</f>
        <v/>
      </c>
      <c r="J85" s="49">
        <f>IF(E85="","",-PPMT($C$5/12,E85,$C$6,$C$4))</f>
        <v/>
      </c>
      <c r="K85" s="49">
        <f>IF(E85="","",MAX(0,G85-J85))</f>
        <v/>
      </c>
    </row>
    <row r="86">
      <c r="E86" s="41">
        <f>IF(83&gt;$C$6,"",83)</f>
        <v/>
      </c>
      <c r="F86" s="48">
        <f>IF(E86="","",EDATE($C$7,E86-1))</f>
        <v/>
      </c>
      <c r="G86" s="49">
        <f>IF(E86="","",K85)</f>
        <v/>
      </c>
      <c r="H86" s="49">
        <f>IF(E86="","",$C$9)</f>
        <v/>
      </c>
      <c r="I86" s="49">
        <f>IF(E86="","",-IPMT($C$5/12,E86,$C$6,$C$4))</f>
        <v/>
      </c>
      <c r="J86" s="49">
        <f>IF(E86="","",-PPMT($C$5/12,E86,$C$6,$C$4))</f>
        <v/>
      </c>
      <c r="K86" s="49">
        <f>IF(E86="","",MAX(0,G86-J86))</f>
        <v/>
      </c>
    </row>
    <row r="87">
      <c r="E87" s="41">
        <f>IF(84&gt;$C$6,"",84)</f>
        <v/>
      </c>
      <c r="F87" s="48">
        <f>IF(E87="","",EDATE($C$7,E87-1))</f>
        <v/>
      </c>
      <c r="G87" s="49">
        <f>IF(E87="","",K86)</f>
        <v/>
      </c>
      <c r="H87" s="49">
        <f>IF(E87="","",$C$9)</f>
        <v/>
      </c>
      <c r="I87" s="49">
        <f>IF(E87="","",-IPMT($C$5/12,E87,$C$6,$C$4))</f>
        <v/>
      </c>
      <c r="J87" s="49">
        <f>IF(E87="","",-PPMT($C$5/12,E87,$C$6,$C$4))</f>
        <v/>
      </c>
      <c r="K87" s="49">
        <f>IF(E87="","",MAX(0,G87-J87))</f>
        <v/>
      </c>
    </row>
    <row r="88">
      <c r="E88" s="41">
        <f>IF(85&gt;$C$6,"",85)</f>
        <v/>
      </c>
      <c r="F88" s="48">
        <f>IF(E88="","",EDATE($C$7,E88-1))</f>
        <v/>
      </c>
      <c r="G88" s="49">
        <f>IF(E88="","",K87)</f>
        <v/>
      </c>
      <c r="H88" s="49">
        <f>IF(E88="","",$C$9)</f>
        <v/>
      </c>
      <c r="I88" s="49">
        <f>IF(E88="","",-IPMT($C$5/12,E88,$C$6,$C$4))</f>
        <v/>
      </c>
      <c r="J88" s="49">
        <f>IF(E88="","",-PPMT($C$5/12,E88,$C$6,$C$4))</f>
        <v/>
      </c>
      <c r="K88" s="49">
        <f>IF(E88="","",MAX(0,G88-J88))</f>
        <v/>
      </c>
    </row>
    <row r="89">
      <c r="E89" s="41">
        <f>IF(86&gt;$C$6,"",86)</f>
        <v/>
      </c>
      <c r="F89" s="48">
        <f>IF(E89="","",EDATE($C$7,E89-1))</f>
        <v/>
      </c>
      <c r="G89" s="49">
        <f>IF(E89="","",K88)</f>
        <v/>
      </c>
      <c r="H89" s="49">
        <f>IF(E89="","",$C$9)</f>
        <v/>
      </c>
      <c r="I89" s="49">
        <f>IF(E89="","",-IPMT($C$5/12,E89,$C$6,$C$4))</f>
        <v/>
      </c>
      <c r="J89" s="49">
        <f>IF(E89="","",-PPMT($C$5/12,E89,$C$6,$C$4))</f>
        <v/>
      </c>
      <c r="K89" s="49">
        <f>IF(E89="","",MAX(0,G89-J89))</f>
        <v/>
      </c>
    </row>
    <row r="90">
      <c r="E90" s="41">
        <f>IF(87&gt;$C$6,"",87)</f>
        <v/>
      </c>
      <c r="F90" s="48">
        <f>IF(E90="","",EDATE($C$7,E90-1))</f>
        <v/>
      </c>
      <c r="G90" s="49">
        <f>IF(E90="","",K89)</f>
        <v/>
      </c>
      <c r="H90" s="49">
        <f>IF(E90="","",$C$9)</f>
        <v/>
      </c>
      <c r="I90" s="49">
        <f>IF(E90="","",-IPMT($C$5/12,E90,$C$6,$C$4))</f>
        <v/>
      </c>
      <c r="J90" s="49">
        <f>IF(E90="","",-PPMT($C$5/12,E90,$C$6,$C$4))</f>
        <v/>
      </c>
      <c r="K90" s="49">
        <f>IF(E90="","",MAX(0,G90-J90))</f>
        <v/>
      </c>
    </row>
    <row r="91">
      <c r="E91" s="41">
        <f>IF(88&gt;$C$6,"",88)</f>
        <v/>
      </c>
      <c r="F91" s="48">
        <f>IF(E91="","",EDATE($C$7,E91-1))</f>
        <v/>
      </c>
      <c r="G91" s="49">
        <f>IF(E91="","",K90)</f>
        <v/>
      </c>
      <c r="H91" s="49">
        <f>IF(E91="","",$C$9)</f>
        <v/>
      </c>
      <c r="I91" s="49">
        <f>IF(E91="","",-IPMT($C$5/12,E91,$C$6,$C$4))</f>
        <v/>
      </c>
      <c r="J91" s="49">
        <f>IF(E91="","",-PPMT($C$5/12,E91,$C$6,$C$4))</f>
        <v/>
      </c>
      <c r="K91" s="49">
        <f>IF(E91="","",MAX(0,G91-J91))</f>
        <v/>
      </c>
    </row>
    <row r="92">
      <c r="E92" s="41">
        <f>IF(89&gt;$C$6,"",89)</f>
        <v/>
      </c>
      <c r="F92" s="48">
        <f>IF(E92="","",EDATE($C$7,E92-1))</f>
        <v/>
      </c>
      <c r="G92" s="49">
        <f>IF(E92="","",K91)</f>
        <v/>
      </c>
      <c r="H92" s="49">
        <f>IF(E92="","",$C$9)</f>
        <v/>
      </c>
      <c r="I92" s="49">
        <f>IF(E92="","",-IPMT($C$5/12,E92,$C$6,$C$4))</f>
        <v/>
      </c>
      <c r="J92" s="49">
        <f>IF(E92="","",-PPMT($C$5/12,E92,$C$6,$C$4))</f>
        <v/>
      </c>
      <c r="K92" s="49">
        <f>IF(E92="","",MAX(0,G92-J92))</f>
        <v/>
      </c>
    </row>
    <row r="93">
      <c r="E93" s="41">
        <f>IF(90&gt;$C$6,"",90)</f>
        <v/>
      </c>
      <c r="F93" s="48">
        <f>IF(E93="","",EDATE($C$7,E93-1))</f>
        <v/>
      </c>
      <c r="G93" s="49">
        <f>IF(E93="","",K92)</f>
        <v/>
      </c>
      <c r="H93" s="49">
        <f>IF(E93="","",$C$9)</f>
        <v/>
      </c>
      <c r="I93" s="49">
        <f>IF(E93="","",-IPMT($C$5/12,E93,$C$6,$C$4))</f>
        <v/>
      </c>
      <c r="J93" s="49">
        <f>IF(E93="","",-PPMT($C$5/12,E93,$C$6,$C$4))</f>
        <v/>
      </c>
      <c r="K93" s="49">
        <f>IF(E93="","",MAX(0,G93-J93))</f>
        <v/>
      </c>
    </row>
    <row r="94">
      <c r="E94" s="41">
        <f>IF(91&gt;$C$6,"",91)</f>
        <v/>
      </c>
      <c r="F94" s="48">
        <f>IF(E94="","",EDATE($C$7,E94-1))</f>
        <v/>
      </c>
      <c r="G94" s="49">
        <f>IF(E94="","",K93)</f>
        <v/>
      </c>
      <c r="H94" s="49">
        <f>IF(E94="","",$C$9)</f>
        <v/>
      </c>
      <c r="I94" s="49">
        <f>IF(E94="","",-IPMT($C$5/12,E94,$C$6,$C$4))</f>
        <v/>
      </c>
      <c r="J94" s="49">
        <f>IF(E94="","",-PPMT($C$5/12,E94,$C$6,$C$4))</f>
        <v/>
      </c>
      <c r="K94" s="49">
        <f>IF(E94="","",MAX(0,G94-J94))</f>
        <v/>
      </c>
    </row>
    <row r="95">
      <c r="E95" s="41">
        <f>IF(92&gt;$C$6,"",92)</f>
        <v/>
      </c>
      <c r="F95" s="48">
        <f>IF(E95="","",EDATE($C$7,E95-1))</f>
        <v/>
      </c>
      <c r="G95" s="49">
        <f>IF(E95="","",K94)</f>
        <v/>
      </c>
      <c r="H95" s="49">
        <f>IF(E95="","",$C$9)</f>
        <v/>
      </c>
      <c r="I95" s="49">
        <f>IF(E95="","",-IPMT($C$5/12,E95,$C$6,$C$4))</f>
        <v/>
      </c>
      <c r="J95" s="49">
        <f>IF(E95="","",-PPMT($C$5/12,E95,$C$6,$C$4))</f>
        <v/>
      </c>
      <c r="K95" s="49">
        <f>IF(E95="","",MAX(0,G95-J95))</f>
        <v/>
      </c>
    </row>
    <row r="96">
      <c r="E96" s="41">
        <f>IF(93&gt;$C$6,"",93)</f>
        <v/>
      </c>
      <c r="F96" s="48">
        <f>IF(E96="","",EDATE($C$7,E96-1))</f>
        <v/>
      </c>
      <c r="G96" s="49">
        <f>IF(E96="","",K95)</f>
        <v/>
      </c>
      <c r="H96" s="49">
        <f>IF(E96="","",$C$9)</f>
        <v/>
      </c>
      <c r="I96" s="49">
        <f>IF(E96="","",-IPMT($C$5/12,E96,$C$6,$C$4))</f>
        <v/>
      </c>
      <c r="J96" s="49">
        <f>IF(E96="","",-PPMT($C$5/12,E96,$C$6,$C$4))</f>
        <v/>
      </c>
      <c r="K96" s="49">
        <f>IF(E96="","",MAX(0,G96-J96))</f>
        <v/>
      </c>
    </row>
    <row r="97">
      <c r="E97" s="41">
        <f>IF(94&gt;$C$6,"",94)</f>
        <v/>
      </c>
      <c r="F97" s="48">
        <f>IF(E97="","",EDATE($C$7,E97-1))</f>
        <v/>
      </c>
      <c r="G97" s="49">
        <f>IF(E97="","",K96)</f>
        <v/>
      </c>
      <c r="H97" s="49">
        <f>IF(E97="","",$C$9)</f>
        <v/>
      </c>
      <c r="I97" s="49">
        <f>IF(E97="","",-IPMT($C$5/12,E97,$C$6,$C$4))</f>
        <v/>
      </c>
      <c r="J97" s="49">
        <f>IF(E97="","",-PPMT($C$5/12,E97,$C$6,$C$4))</f>
        <v/>
      </c>
      <c r="K97" s="49">
        <f>IF(E97="","",MAX(0,G97-J97))</f>
        <v/>
      </c>
    </row>
    <row r="98">
      <c r="E98" s="41">
        <f>IF(95&gt;$C$6,"",95)</f>
        <v/>
      </c>
      <c r="F98" s="48">
        <f>IF(E98="","",EDATE($C$7,E98-1))</f>
        <v/>
      </c>
      <c r="G98" s="49">
        <f>IF(E98="","",K97)</f>
        <v/>
      </c>
      <c r="H98" s="49">
        <f>IF(E98="","",$C$9)</f>
        <v/>
      </c>
      <c r="I98" s="49">
        <f>IF(E98="","",-IPMT($C$5/12,E98,$C$6,$C$4))</f>
        <v/>
      </c>
      <c r="J98" s="49">
        <f>IF(E98="","",-PPMT($C$5/12,E98,$C$6,$C$4))</f>
        <v/>
      </c>
      <c r="K98" s="49">
        <f>IF(E98="","",MAX(0,G98-J98))</f>
        <v/>
      </c>
    </row>
    <row r="99">
      <c r="E99" s="41">
        <f>IF(96&gt;$C$6,"",96)</f>
        <v/>
      </c>
      <c r="F99" s="48">
        <f>IF(E99="","",EDATE($C$7,E99-1))</f>
        <v/>
      </c>
      <c r="G99" s="49">
        <f>IF(E99="","",K98)</f>
        <v/>
      </c>
      <c r="H99" s="49">
        <f>IF(E99="","",$C$9)</f>
        <v/>
      </c>
      <c r="I99" s="49">
        <f>IF(E99="","",-IPMT($C$5/12,E99,$C$6,$C$4))</f>
        <v/>
      </c>
      <c r="J99" s="49">
        <f>IF(E99="","",-PPMT($C$5/12,E99,$C$6,$C$4))</f>
        <v/>
      </c>
      <c r="K99" s="49">
        <f>IF(E99="","",MAX(0,G99-J99))</f>
        <v/>
      </c>
    </row>
    <row r="100">
      <c r="E100" s="41">
        <f>IF(97&gt;$C$6,"",97)</f>
        <v/>
      </c>
      <c r="F100" s="48">
        <f>IF(E100="","",EDATE($C$7,E100-1))</f>
        <v/>
      </c>
      <c r="G100" s="49">
        <f>IF(E100="","",K99)</f>
        <v/>
      </c>
      <c r="H100" s="49">
        <f>IF(E100="","",$C$9)</f>
        <v/>
      </c>
      <c r="I100" s="49">
        <f>IF(E100="","",-IPMT($C$5/12,E100,$C$6,$C$4))</f>
        <v/>
      </c>
      <c r="J100" s="49">
        <f>IF(E100="","",-PPMT($C$5/12,E100,$C$6,$C$4))</f>
        <v/>
      </c>
      <c r="K100" s="49">
        <f>IF(E100="","",MAX(0,G100-J100))</f>
        <v/>
      </c>
    </row>
    <row r="101">
      <c r="E101" s="41">
        <f>IF(98&gt;$C$6,"",98)</f>
        <v/>
      </c>
      <c r="F101" s="48">
        <f>IF(E101="","",EDATE($C$7,E101-1))</f>
        <v/>
      </c>
      <c r="G101" s="49">
        <f>IF(E101="","",K100)</f>
        <v/>
      </c>
      <c r="H101" s="49">
        <f>IF(E101="","",$C$9)</f>
        <v/>
      </c>
      <c r="I101" s="49">
        <f>IF(E101="","",-IPMT($C$5/12,E101,$C$6,$C$4))</f>
        <v/>
      </c>
      <c r="J101" s="49">
        <f>IF(E101="","",-PPMT($C$5/12,E101,$C$6,$C$4))</f>
        <v/>
      </c>
      <c r="K101" s="49">
        <f>IF(E101="","",MAX(0,G101-J101))</f>
        <v/>
      </c>
    </row>
    <row r="102">
      <c r="E102" s="41">
        <f>IF(99&gt;$C$6,"",99)</f>
        <v/>
      </c>
      <c r="F102" s="48">
        <f>IF(E102="","",EDATE($C$7,E102-1))</f>
        <v/>
      </c>
      <c r="G102" s="49">
        <f>IF(E102="","",K101)</f>
        <v/>
      </c>
      <c r="H102" s="49">
        <f>IF(E102="","",$C$9)</f>
        <v/>
      </c>
      <c r="I102" s="49">
        <f>IF(E102="","",-IPMT($C$5/12,E102,$C$6,$C$4))</f>
        <v/>
      </c>
      <c r="J102" s="49">
        <f>IF(E102="","",-PPMT($C$5/12,E102,$C$6,$C$4))</f>
        <v/>
      </c>
      <c r="K102" s="49">
        <f>IF(E102="","",MAX(0,G102-J102))</f>
        <v/>
      </c>
    </row>
    <row r="103">
      <c r="E103" s="41">
        <f>IF(100&gt;$C$6,"",100)</f>
        <v/>
      </c>
      <c r="F103" s="48">
        <f>IF(E103="","",EDATE($C$7,E103-1))</f>
        <v/>
      </c>
      <c r="G103" s="49">
        <f>IF(E103="","",K102)</f>
        <v/>
      </c>
      <c r="H103" s="49">
        <f>IF(E103="","",$C$9)</f>
        <v/>
      </c>
      <c r="I103" s="49">
        <f>IF(E103="","",-IPMT($C$5/12,E103,$C$6,$C$4))</f>
        <v/>
      </c>
      <c r="J103" s="49">
        <f>IF(E103="","",-PPMT($C$5/12,E103,$C$6,$C$4))</f>
        <v/>
      </c>
      <c r="K103" s="49">
        <f>IF(E103="","",MAX(0,G103-J103))</f>
        <v/>
      </c>
    </row>
    <row r="104">
      <c r="E104" s="41">
        <f>IF(101&gt;$C$6,"",101)</f>
        <v/>
      </c>
      <c r="F104" s="48">
        <f>IF(E104="","",EDATE($C$7,E104-1))</f>
        <v/>
      </c>
      <c r="G104" s="49">
        <f>IF(E104="","",K103)</f>
        <v/>
      </c>
      <c r="H104" s="49">
        <f>IF(E104="","",$C$9)</f>
        <v/>
      </c>
      <c r="I104" s="49">
        <f>IF(E104="","",-IPMT($C$5/12,E104,$C$6,$C$4))</f>
        <v/>
      </c>
      <c r="J104" s="49">
        <f>IF(E104="","",-PPMT($C$5/12,E104,$C$6,$C$4))</f>
        <v/>
      </c>
      <c r="K104" s="49">
        <f>IF(E104="","",MAX(0,G104-J104))</f>
        <v/>
      </c>
    </row>
    <row r="105">
      <c r="E105" s="41">
        <f>IF(102&gt;$C$6,"",102)</f>
        <v/>
      </c>
      <c r="F105" s="48">
        <f>IF(E105="","",EDATE($C$7,E105-1))</f>
        <v/>
      </c>
      <c r="G105" s="49">
        <f>IF(E105="","",K104)</f>
        <v/>
      </c>
      <c r="H105" s="49">
        <f>IF(E105="","",$C$9)</f>
        <v/>
      </c>
      <c r="I105" s="49">
        <f>IF(E105="","",-IPMT($C$5/12,E105,$C$6,$C$4))</f>
        <v/>
      </c>
      <c r="J105" s="49">
        <f>IF(E105="","",-PPMT($C$5/12,E105,$C$6,$C$4))</f>
        <v/>
      </c>
      <c r="K105" s="49">
        <f>IF(E105="","",MAX(0,G105-J105))</f>
        <v/>
      </c>
    </row>
    <row r="106">
      <c r="E106" s="41">
        <f>IF(103&gt;$C$6,"",103)</f>
        <v/>
      </c>
      <c r="F106" s="48">
        <f>IF(E106="","",EDATE($C$7,E106-1))</f>
        <v/>
      </c>
      <c r="G106" s="49">
        <f>IF(E106="","",K105)</f>
        <v/>
      </c>
      <c r="H106" s="49">
        <f>IF(E106="","",$C$9)</f>
        <v/>
      </c>
      <c r="I106" s="49">
        <f>IF(E106="","",-IPMT($C$5/12,E106,$C$6,$C$4))</f>
        <v/>
      </c>
      <c r="J106" s="49">
        <f>IF(E106="","",-PPMT($C$5/12,E106,$C$6,$C$4))</f>
        <v/>
      </c>
      <c r="K106" s="49">
        <f>IF(E106="","",MAX(0,G106-J106))</f>
        <v/>
      </c>
    </row>
    <row r="107">
      <c r="E107" s="41">
        <f>IF(104&gt;$C$6,"",104)</f>
        <v/>
      </c>
      <c r="F107" s="48">
        <f>IF(E107="","",EDATE($C$7,E107-1))</f>
        <v/>
      </c>
      <c r="G107" s="49">
        <f>IF(E107="","",K106)</f>
        <v/>
      </c>
      <c r="H107" s="49">
        <f>IF(E107="","",$C$9)</f>
        <v/>
      </c>
      <c r="I107" s="49">
        <f>IF(E107="","",-IPMT($C$5/12,E107,$C$6,$C$4))</f>
        <v/>
      </c>
      <c r="J107" s="49">
        <f>IF(E107="","",-PPMT($C$5/12,E107,$C$6,$C$4))</f>
        <v/>
      </c>
      <c r="K107" s="49">
        <f>IF(E107="","",MAX(0,G107-J107))</f>
        <v/>
      </c>
    </row>
    <row r="108">
      <c r="E108" s="41">
        <f>IF(105&gt;$C$6,"",105)</f>
        <v/>
      </c>
      <c r="F108" s="48">
        <f>IF(E108="","",EDATE($C$7,E108-1))</f>
        <v/>
      </c>
      <c r="G108" s="49">
        <f>IF(E108="","",K107)</f>
        <v/>
      </c>
      <c r="H108" s="49">
        <f>IF(E108="","",$C$9)</f>
        <v/>
      </c>
      <c r="I108" s="49">
        <f>IF(E108="","",-IPMT($C$5/12,E108,$C$6,$C$4))</f>
        <v/>
      </c>
      <c r="J108" s="49">
        <f>IF(E108="","",-PPMT($C$5/12,E108,$C$6,$C$4))</f>
        <v/>
      </c>
      <c r="K108" s="49">
        <f>IF(E108="","",MAX(0,G108-J108))</f>
        <v/>
      </c>
    </row>
    <row r="109">
      <c r="E109" s="41">
        <f>IF(106&gt;$C$6,"",106)</f>
        <v/>
      </c>
      <c r="F109" s="48">
        <f>IF(E109="","",EDATE($C$7,E109-1))</f>
        <v/>
      </c>
      <c r="G109" s="49">
        <f>IF(E109="","",K108)</f>
        <v/>
      </c>
      <c r="H109" s="49">
        <f>IF(E109="","",$C$9)</f>
        <v/>
      </c>
      <c r="I109" s="49">
        <f>IF(E109="","",-IPMT($C$5/12,E109,$C$6,$C$4))</f>
        <v/>
      </c>
      <c r="J109" s="49">
        <f>IF(E109="","",-PPMT($C$5/12,E109,$C$6,$C$4))</f>
        <v/>
      </c>
      <c r="K109" s="49">
        <f>IF(E109="","",MAX(0,G109-J109))</f>
        <v/>
      </c>
    </row>
    <row r="110">
      <c r="E110" s="41">
        <f>IF(107&gt;$C$6,"",107)</f>
        <v/>
      </c>
      <c r="F110" s="48">
        <f>IF(E110="","",EDATE($C$7,E110-1))</f>
        <v/>
      </c>
      <c r="G110" s="49">
        <f>IF(E110="","",K109)</f>
        <v/>
      </c>
      <c r="H110" s="49">
        <f>IF(E110="","",$C$9)</f>
        <v/>
      </c>
      <c r="I110" s="49">
        <f>IF(E110="","",-IPMT($C$5/12,E110,$C$6,$C$4))</f>
        <v/>
      </c>
      <c r="J110" s="49">
        <f>IF(E110="","",-PPMT($C$5/12,E110,$C$6,$C$4))</f>
        <v/>
      </c>
      <c r="K110" s="49">
        <f>IF(E110="","",MAX(0,G110-J110))</f>
        <v/>
      </c>
    </row>
    <row r="111">
      <c r="E111" s="41">
        <f>IF(108&gt;$C$6,"",108)</f>
        <v/>
      </c>
      <c r="F111" s="48">
        <f>IF(E111="","",EDATE($C$7,E111-1))</f>
        <v/>
      </c>
      <c r="G111" s="49">
        <f>IF(E111="","",K110)</f>
        <v/>
      </c>
      <c r="H111" s="49">
        <f>IF(E111="","",$C$9)</f>
        <v/>
      </c>
      <c r="I111" s="49">
        <f>IF(E111="","",-IPMT($C$5/12,E111,$C$6,$C$4))</f>
        <v/>
      </c>
      <c r="J111" s="49">
        <f>IF(E111="","",-PPMT($C$5/12,E111,$C$6,$C$4))</f>
        <v/>
      </c>
      <c r="K111" s="49">
        <f>IF(E111="","",MAX(0,G111-J111))</f>
        <v/>
      </c>
    </row>
    <row r="112">
      <c r="E112" s="41">
        <f>IF(109&gt;$C$6,"",109)</f>
        <v/>
      </c>
      <c r="F112" s="48">
        <f>IF(E112="","",EDATE($C$7,E112-1))</f>
        <v/>
      </c>
      <c r="G112" s="49">
        <f>IF(E112="","",K111)</f>
        <v/>
      </c>
      <c r="H112" s="49">
        <f>IF(E112="","",$C$9)</f>
        <v/>
      </c>
      <c r="I112" s="49">
        <f>IF(E112="","",-IPMT($C$5/12,E112,$C$6,$C$4))</f>
        <v/>
      </c>
      <c r="J112" s="49">
        <f>IF(E112="","",-PPMT($C$5/12,E112,$C$6,$C$4))</f>
        <v/>
      </c>
      <c r="K112" s="49">
        <f>IF(E112="","",MAX(0,G112-J112))</f>
        <v/>
      </c>
    </row>
    <row r="113">
      <c r="E113" s="41">
        <f>IF(110&gt;$C$6,"",110)</f>
        <v/>
      </c>
      <c r="F113" s="48">
        <f>IF(E113="","",EDATE($C$7,E113-1))</f>
        <v/>
      </c>
      <c r="G113" s="49">
        <f>IF(E113="","",K112)</f>
        <v/>
      </c>
      <c r="H113" s="49">
        <f>IF(E113="","",$C$9)</f>
        <v/>
      </c>
      <c r="I113" s="49">
        <f>IF(E113="","",-IPMT($C$5/12,E113,$C$6,$C$4))</f>
        <v/>
      </c>
      <c r="J113" s="49">
        <f>IF(E113="","",-PPMT($C$5/12,E113,$C$6,$C$4))</f>
        <v/>
      </c>
      <c r="K113" s="49">
        <f>IF(E113="","",MAX(0,G113-J113))</f>
        <v/>
      </c>
    </row>
    <row r="114">
      <c r="E114" s="41">
        <f>IF(111&gt;$C$6,"",111)</f>
        <v/>
      </c>
      <c r="F114" s="48">
        <f>IF(E114="","",EDATE($C$7,E114-1))</f>
        <v/>
      </c>
      <c r="G114" s="49">
        <f>IF(E114="","",K113)</f>
        <v/>
      </c>
      <c r="H114" s="49">
        <f>IF(E114="","",$C$9)</f>
        <v/>
      </c>
      <c r="I114" s="49">
        <f>IF(E114="","",-IPMT($C$5/12,E114,$C$6,$C$4))</f>
        <v/>
      </c>
      <c r="J114" s="49">
        <f>IF(E114="","",-PPMT($C$5/12,E114,$C$6,$C$4))</f>
        <v/>
      </c>
      <c r="K114" s="49">
        <f>IF(E114="","",MAX(0,G114-J114))</f>
        <v/>
      </c>
    </row>
    <row r="115">
      <c r="E115" s="41">
        <f>IF(112&gt;$C$6,"",112)</f>
        <v/>
      </c>
      <c r="F115" s="48">
        <f>IF(E115="","",EDATE($C$7,E115-1))</f>
        <v/>
      </c>
      <c r="G115" s="49">
        <f>IF(E115="","",K114)</f>
        <v/>
      </c>
      <c r="H115" s="49">
        <f>IF(E115="","",$C$9)</f>
        <v/>
      </c>
      <c r="I115" s="49">
        <f>IF(E115="","",-IPMT($C$5/12,E115,$C$6,$C$4))</f>
        <v/>
      </c>
      <c r="J115" s="49">
        <f>IF(E115="","",-PPMT($C$5/12,E115,$C$6,$C$4))</f>
        <v/>
      </c>
      <c r="K115" s="49">
        <f>IF(E115="","",MAX(0,G115-J115))</f>
        <v/>
      </c>
    </row>
    <row r="116">
      <c r="E116" s="41">
        <f>IF(113&gt;$C$6,"",113)</f>
        <v/>
      </c>
      <c r="F116" s="48">
        <f>IF(E116="","",EDATE($C$7,E116-1))</f>
        <v/>
      </c>
      <c r="G116" s="49">
        <f>IF(E116="","",K115)</f>
        <v/>
      </c>
      <c r="H116" s="49">
        <f>IF(E116="","",$C$9)</f>
        <v/>
      </c>
      <c r="I116" s="49">
        <f>IF(E116="","",-IPMT($C$5/12,E116,$C$6,$C$4))</f>
        <v/>
      </c>
      <c r="J116" s="49">
        <f>IF(E116="","",-PPMT($C$5/12,E116,$C$6,$C$4))</f>
        <v/>
      </c>
      <c r="K116" s="49">
        <f>IF(E116="","",MAX(0,G116-J116))</f>
        <v/>
      </c>
    </row>
    <row r="117">
      <c r="E117" s="41">
        <f>IF(114&gt;$C$6,"",114)</f>
        <v/>
      </c>
      <c r="F117" s="48">
        <f>IF(E117="","",EDATE($C$7,E117-1))</f>
        <v/>
      </c>
      <c r="G117" s="49">
        <f>IF(E117="","",K116)</f>
        <v/>
      </c>
      <c r="H117" s="49">
        <f>IF(E117="","",$C$9)</f>
        <v/>
      </c>
      <c r="I117" s="49">
        <f>IF(E117="","",-IPMT($C$5/12,E117,$C$6,$C$4))</f>
        <v/>
      </c>
      <c r="J117" s="49">
        <f>IF(E117="","",-PPMT($C$5/12,E117,$C$6,$C$4))</f>
        <v/>
      </c>
      <c r="K117" s="49">
        <f>IF(E117="","",MAX(0,G117-J117))</f>
        <v/>
      </c>
    </row>
    <row r="118">
      <c r="E118" s="41">
        <f>IF(115&gt;$C$6,"",115)</f>
        <v/>
      </c>
      <c r="F118" s="48">
        <f>IF(E118="","",EDATE($C$7,E118-1))</f>
        <v/>
      </c>
      <c r="G118" s="49">
        <f>IF(E118="","",K117)</f>
        <v/>
      </c>
      <c r="H118" s="49">
        <f>IF(E118="","",$C$9)</f>
        <v/>
      </c>
      <c r="I118" s="49">
        <f>IF(E118="","",-IPMT($C$5/12,E118,$C$6,$C$4))</f>
        <v/>
      </c>
      <c r="J118" s="49">
        <f>IF(E118="","",-PPMT($C$5/12,E118,$C$6,$C$4))</f>
        <v/>
      </c>
      <c r="K118" s="49">
        <f>IF(E118="","",MAX(0,G118-J118))</f>
        <v/>
      </c>
    </row>
    <row r="119">
      <c r="E119" s="41">
        <f>IF(116&gt;$C$6,"",116)</f>
        <v/>
      </c>
      <c r="F119" s="48">
        <f>IF(E119="","",EDATE($C$7,E119-1))</f>
        <v/>
      </c>
      <c r="G119" s="49">
        <f>IF(E119="","",K118)</f>
        <v/>
      </c>
      <c r="H119" s="49">
        <f>IF(E119="","",$C$9)</f>
        <v/>
      </c>
      <c r="I119" s="49">
        <f>IF(E119="","",-IPMT($C$5/12,E119,$C$6,$C$4))</f>
        <v/>
      </c>
      <c r="J119" s="49">
        <f>IF(E119="","",-PPMT($C$5/12,E119,$C$6,$C$4))</f>
        <v/>
      </c>
      <c r="K119" s="49">
        <f>IF(E119="","",MAX(0,G119-J119))</f>
        <v/>
      </c>
    </row>
    <row r="120">
      <c r="E120" s="41">
        <f>IF(117&gt;$C$6,"",117)</f>
        <v/>
      </c>
      <c r="F120" s="48">
        <f>IF(E120="","",EDATE($C$7,E120-1))</f>
        <v/>
      </c>
      <c r="G120" s="49">
        <f>IF(E120="","",K119)</f>
        <v/>
      </c>
      <c r="H120" s="49">
        <f>IF(E120="","",$C$9)</f>
        <v/>
      </c>
      <c r="I120" s="49">
        <f>IF(E120="","",-IPMT($C$5/12,E120,$C$6,$C$4))</f>
        <v/>
      </c>
      <c r="J120" s="49">
        <f>IF(E120="","",-PPMT($C$5/12,E120,$C$6,$C$4))</f>
        <v/>
      </c>
      <c r="K120" s="49">
        <f>IF(E120="","",MAX(0,G120-J120))</f>
        <v/>
      </c>
    </row>
    <row r="121">
      <c r="E121" s="41">
        <f>IF(118&gt;$C$6,"",118)</f>
        <v/>
      </c>
      <c r="F121" s="48">
        <f>IF(E121="","",EDATE($C$7,E121-1))</f>
        <v/>
      </c>
      <c r="G121" s="49">
        <f>IF(E121="","",K120)</f>
        <v/>
      </c>
      <c r="H121" s="49">
        <f>IF(E121="","",$C$9)</f>
        <v/>
      </c>
      <c r="I121" s="49">
        <f>IF(E121="","",-IPMT($C$5/12,E121,$C$6,$C$4))</f>
        <v/>
      </c>
      <c r="J121" s="49">
        <f>IF(E121="","",-PPMT($C$5/12,E121,$C$6,$C$4))</f>
        <v/>
      </c>
      <c r="K121" s="49">
        <f>IF(E121="","",MAX(0,G121-J121))</f>
        <v/>
      </c>
    </row>
    <row r="122">
      <c r="E122" s="41">
        <f>IF(119&gt;$C$6,"",119)</f>
        <v/>
      </c>
      <c r="F122" s="48">
        <f>IF(E122="","",EDATE($C$7,E122-1))</f>
        <v/>
      </c>
      <c r="G122" s="49">
        <f>IF(E122="","",K121)</f>
        <v/>
      </c>
      <c r="H122" s="49">
        <f>IF(E122="","",$C$9)</f>
        <v/>
      </c>
      <c r="I122" s="49">
        <f>IF(E122="","",-IPMT($C$5/12,E122,$C$6,$C$4))</f>
        <v/>
      </c>
      <c r="J122" s="49">
        <f>IF(E122="","",-PPMT($C$5/12,E122,$C$6,$C$4))</f>
        <v/>
      </c>
      <c r="K122" s="49">
        <f>IF(E122="","",MAX(0,G122-J122))</f>
        <v/>
      </c>
    </row>
    <row r="123">
      <c r="E123" s="41">
        <f>IF(120&gt;$C$6,"",120)</f>
        <v/>
      </c>
      <c r="F123" s="48">
        <f>IF(E123="","",EDATE($C$7,E123-1))</f>
        <v/>
      </c>
      <c r="G123" s="49">
        <f>IF(E123="","",K122)</f>
        <v/>
      </c>
      <c r="H123" s="49">
        <f>IF(E123="","",$C$9)</f>
        <v/>
      </c>
      <c r="I123" s="49">
        <f>IF(E123="","",-IPMT($C$5/12,E123,$C$6,$C$4))</f>
        <v/>
      </c>
      <c r="J123" s="49">
        <f>IF(E123="","",-PPMT($C$5/12,E123,$C$6,$C$4))</f>
        <v/>
      </c>
      <c r="K123" s="49">
        <f>IF(E123="","",MAX(0,G123-J123))</f>
        <v/>
      </c>
    </row>
    <row r="124">
      <c r="E124" s="41">
        <f>IF(121&gt;$C$6,"",121)</f>
        <v/>
      </c>
      <c r="F124" s="48">
        <f>IF(E124="","",EDATE($C$7,E124-1))</f>
        <v/>
      </c>
      <c r="G124" s="49">
        <f>IF(E124="","",K123)</f>
        <v/>
      </c>
      <c r="H124" s="49">
        <f>IF(E124="","",$C$9)</f>
        <v/>
      </c>
      <c r="I124" s="49">
        <f>IF(E124="","",-IPMT($C$5/12,E124,$C$6,$C$4))</f>
        <v/>
      </c>
      <c r="J124" s="49">
        <f>IF(E124="","",-PPMT($C$5/12,E124,$C$6,$C$4))</f>
        <v/>
      </c>
      <c r="K124" s="49">
        <f>IF(E124="","",MAX(0,G124-J124))</f>
        <v/>
      </c>
    </row>
    <row r="125">
      <c r="E125" s="41">
        <f>IF(122&gt;$C$6,"",122)</f>
        <v/>
      </c>
      <c r="F125" s="48">
        <f>IF(E125="","",EDATE($C$7,E125-1))</f>
        <v/>
      </c>
      <c r="G125" s="49">
        <f>IF(E125="","",K124)</f>
        <v/>
      </c>
      <c r="H125" s="49">
        <f>IF(E125="","",$C$9)</f>
        <v/>
      </c>
      <c r="I125" s="49">
        <f>IF(E125="","",-IPMT($C$5/12,E125,$C$6,$C$4))</f>
        <v/>
      </c>
      <c r="J125" s="49">
        <f>IF(E125="","",-PPMT($C$5/12,E125,$C$6,$C$4))</f>
        <v/>
      </c>
      <c r="K125" s="49">
        <f>IF(E125="","",MAX(0,G125-J125))</f>
        <v/>
      </c>
    </row>
    <row r="126">
      <c r="E126" s="41">
        <f>IF(123&gt;$C$6,"",123)</f>
        <v/>
      </c>
      <c r="F126" s="48">
        <f>IF(E126="","",EDATE($C$7,E126-1))</f>
        <v/>
      </c>
      <c r="G126" s="49">
        <f>IF(E126="","",K125)</f>
        <v/>
      </c>
      <c r="H126" s="49">
        <f>IF(E126="","",$C$9)</f>
        <v/>
      </c>
      <c r="I126" s="49">
        <f>IF(E126="","",-IPMT($C$5/12,E126,$C$6,$C$4))</f>
        <v/>
      </c>
      <c r="J126" s="49">
        <f>IF(E126="","",-PPMT($C$5/12,E126,$C$6,$C$4))</f>
        <v/>
      </c>
      <c r="K126" s="49">
        <f>IF(E126="","",MAX(0,G126-J126))</f>
        <v/>
      </c>
    </row>
    <row r="127">
      <c r="E127" s="41">
        <f>IF(124&gt;$C$6,"",124)</f>
        <v/>
      </c>
      <c r="F127" s="48">
        <f>IF(E127="","",EDATE($C$7,E127-1))</f>
        <v/>
      </c>
      <c r="G127" s="49">
        <f>IF(E127="","",K126)</f>
        <v/>
      </c>
      <c r="H127" s="49">
        <f>IF(E127="","",$C$9)</f>
        <v/>
      </c>
      <c r="I127" s="49">
        <f>IF(E127="","",-IPMT($C$5/12,E127,$C$6,$C$4))</f>
        <v/>
      </c>
      <c r="J127" s="49">
        <f>IF(E127="","",-PPMT($C$5/12,E127,$C$6,$C$4))</f>
        <v/>
      </c>
      <c r="K127" s="49">
        <f>IF(E127="","",MAX(0,G127-J127))</f>
        <v/>
      </c>
    </row>
    <row r="128">
      <c r="E128" s="41">
        <f>IF(125&gt;$C$6,"",125)</f>
        <v/>
      </c>
      <c r="F128" s="48">
        <f>IF(E128="","",EDATE($C$7,E128-1))</f>
        <v/>
      </c>
      <c r="G128" s="49">
        <f>IF(E128="","",K127)</f>
        <v/>
      </c>
      <c r="H128" s="49">
        <f>IF(E128="","",$C$9)</f>
        <v/>
      </c>
      <c r="I128" s="49">
        <f>IF(E128="","",-IPMT($C$5/12,E128,$C$6,$C$4))</f>
        <v/>
      </c>
      <c r="J128" s="49">
        <f>IF(E128="","",-PPMT($C$5/12,E128,$C$6,$C$4))</f>
        <v/>
      </c>
      <c r="K128" s="49">
        <f>IF(E128="","",MAX(0,G128-J128))</f>
        <v/>
      </c>
    </row>
    <row r="129">
      <c r="E129" s="41">
        <f>IF(126&gt;$C$6,"",126)</f>
        <v/>
      </c>
      <c r="F129" s="48">
        <f>IF(E129="","",EDATE($C$7,E129-1))</f>
        <v/>
      </c>
      <c r="G129" s="49">
        <f>IF(E129="","",K128)</f>
        <v/>
      </c>
      <c r="H129" s="49">
        <f>IF(E129="","",$C$9)</f>
        <v/>
      </c>
      <c r="I129" s="49">
        <f>IF(E129="","",-IPMT($C$5/12,E129,$C$6,$C$4))</f>
        <v/>
      </c>
      <c r="J129" s="49">
        <f>IF(E129="","",-PPMT($C$5/12,E129,$C$6,$C$4))</f>
        <v/>
      </c>
      <c r="K129" s="49">
        <f>IF(E129="","",MAX(0,G129-J129))</f>
        <v/>
      </c>
    </row>
    <row r="130">
      <c r="E130" s="41">
        <f>IF(127&gt;$C$6,"",127)</f>
        <v/>
      </c>
      <c r="F130" s="48">
        <f>IF(E130="","",EDATE($C$7,E130-1))</f>
        <v/>
      </c>
      <c r="G130" s="49">
        <f>IF(E130="","",K129)</f>
        <v/>
      </c>
      <c r="H130" s="49">
        <f>IF(E130="","",$C$9)</f>
        <v/>
      </c>
      <c r="I130" s="49">
        <f>IF(E130="","",-IPMT($C$5/12,E130,$C$6,$C$4))</f>
        <v/>
      </c>
      <c r="J130" s="49">
        <f>IF(E130="","",-PPMT($C$5/12,E130,$C$6,$C$4))</f>
        <v/>
      </c>
      <c r="K130" s="49">
        <f>IF(E130="","",MAX(0,G130-J130))</f>
        <v/>
      </c>
    </row>
    <row r="131">
      <c r="E131" s="41">
        <f>IF(128&gt;$C$6,"",128)</f>
        <v/>
      </c>
      <c r="F131" s="48">
        <f>IF(E131="","",EDATE($C$7,E131-1))</f>
        <v/>
      </c>
      <c r="G131" s="49">
        <f>IF(E131="","",K130)</f>
        <v/>
      </c>
      <c r="H131" s="49">
        <f>IF(E131="","",$C$9)</f>
        <v/>
      </c>
      <c r="I131" s="49">
        <f>IF(E131="","",-IPMT($C$5/12,E131,$C$6,$C$4))</f>
        <v/>
      </c>
      <c r="J131" s="49">
        <f>IF(E131="","",-PPMT($C$5/12,E131,$C$6,$C$4))</f>
        <v/>
      </c>
      <c r="K131" s="49">
        <f>IF(E131="","",MAX(0,G131-J131))</f>
        <v/>
      </c>
    </row>
    <row r="132">
      <c r="E132" s="41">
        <f>IF(129&gt;$C$6,"",129)</f>
        <v/>
      </c>
      <c r="F132" s="48">
        <f>IF(E132="","",EDATE($C$7,E132-1))</f>
        <v/>
      </c>
      <c r="G132" s="49">
        <f>IF(E132="","",K131)</f>
        <v/>
      </c>
      <c r="H132" s="49">
        <f>IF(E132="","",$C$9)</f>
        <v/>
      </c>
      <c r="I132" s="49">
        <f>IF(E132="","",-IPMT($C$5/12,E132,$C$6,$C$4))</f>
        <v/>
      </c>
      <c r="J132" s="49">
        <f>IF(E132="","",-PPMT($C$5/12,E132,$C$6,$C$4))</f>
        <v/>
      </c>
      <c r="K132" s="49">
        <f>IF(E132="","",MAX(0,G132-J132))</f>
        <v/>
      </c>
    </row>
    <row r="133">
      <c r="E133" s="41">
        <f>IF(130&gt;$C$6,"",130)</f>
        <v/>
      </c>
      <c r="F133" s="48">
        <f>IF(E133="","",EDATE($C$7,E133-1))</f>
        <v/>
      </c>
      <c r="G133" s="49">
        <f>IF(E133="","",K132)</f>
        <v/>
      </c>
      <c r="H133" s="49">
        <f>IF(E133="","",$C$9)</f>
        <v/>
      </c>
      <c r="I133" s="49">
        <f>IF(E133="","",-IPMT($C$5/12,E133,$C$6,$C$4))</f>
        <v/>
      </c>
      <c r="J133" s="49">
        <f>IF(E133="","",-PPMT($C$5/12,E133,$C$6,$C$4))</f>
        <v/>
      </c>
      <c r="K133" s="49">
        <f>IF(E133="","",MAX(0,G133-J133))</f>
        <v/>
      </c>
    </row>
    <row r="134">
      <c r="E134" s="41">
        <f>IF(131&gt;$C$6,"",131)</f>
        <v/>
      </c>
      <c r="F134" s="48">
        <f>IF(E134="","",EDATE($C$7,E134-1))</f>
        <v/>
      </c>
      <c r="G134" s="49">
        <f>IF(E134="","",K133)</f>
        <v/>
      </c>
      <c r="H134" s="49">
        <f>IF(E134="","",$C$9)</f>
        <v/>
      </c>
      <c r="I134" s="49">
        <f>IF(E134="","",-IPMT($C$5/12,E134,$C$6,$C$4))</f>
        <v/>
      </c>
      <c r="J134" s="49">
        <f>IF(E134="","",-PPMT($C$5/12,E134,$C$6,$C$4))</f>
        <v/>
      </c>
      <c r="K134" s="49">
        <f>IF(E134="","",MAX(0,G134-J134))</f>
        <v/>
      </c>
    </row>
    <row r="135">
      <c r="E135" s="41">
        <f>IF(132&gt;$C$6,"",132)</f>
        <v/>
      </c>
      <c r="F135" s="48">
        <f>IF(E135="","",EDATE($C$7,E135-1))</f>
        <v/>
      </c>
      <c r="G135" s="49">
        <f>IF(E135="","",K134)</f>
        <v/>
      </c>
      <c r="H135" s="49">
        <f>IF(E135="","",$C$9)</f>
        <v/>
      </c>
      <c r="I135" s="49">
        <f>IF(E135="","",-IPMT($C$5/12,E135,$C$6,$C$4))</f>
        <v/>
      </c>
      <c r="J135" s="49">
        <f>IF(E135="","",-PPMT($C$5/12,E135,$C$6,$C$4))</f>
        <v/>
      </c>
      <c r="K135" s="49">
        <f>IF(E135="","",MAX(0,G135-J135))</f>
        <v/>
      </c>
    </row>
    <row r="136">
      <c r="E136" s="41">
        <f>IF(133&gt;$C$6,"",133)</f>
        <v/>
      </c>
      <c r="F136" s="48">
        <f>IF(E136="","",EDATE($C$7,E136-1))</f>
        <v/>
      </c>
      <c r="G136" s="49">
        <f>IF(E136="","",K135)</f>
        <v/>
      </c>
      <c r="H136" s="49">
        <f>IF(E136="","",$C$9)</f>
        <v/>
      </c>
      <c r="I136" s="49">
        <f>IF(E136="","",-IPMT($C$5/12,E136,$C$6,$C$4))</f>
        <v/>
      </c>
      <c r="J136" s="49">
        <f>IF(E136="","",-PPMT($C$5/12,E136,$C$6,$C$4))</f>
        <v/>
      </c>
      <c r="K136" s="49">
        <f>IF(E136="","",MAX(0,G136-J136))</f>
        <v/>
      </c>
    </row>
    <row r="137">
      <c r="E137" s="41">
        <f>IF(134&gt;$C$6,"",134)</f>
        <v/>
      </c>
      <c r="F137" s="48">
        <f>IF(E137="","",EDATE($C$7,E137-1))</f>
        <v/>
      </c>
      <c r="G137" s="49">
        <f>IF(E137="","",K136)</f>
        <v/>
      </c>
      <c r="H137" s="49">
        <f>IF(E137="","",$C$9)</f>
        <v/>
      </c>
      <c r="I137" s="49">
        <f>IF(E137="","",-IPMT($C$5/12,E137,$C$6,$C$4))</f>
        <v/>
      </c>
      <c r="J137" s="49">
        <f>IF(E137="","",-PPMT($C$5/12,E137,$C$6,$C$4))</f>
        <v/>
      </c>
      <c r="K137" s="49">
        <f>IF(E137="","",MAX(0,G137-J137))</f>
        <v/>
      </c>
    </row>
    <row r="138">
      <c r="E138" s="41">
        <f>IF(135&gt;$C$6,"",135)</f>
        <v/>
      </c>
      <c r="F138" s="48">
        <f>IF(E138="","",EDATE($C$7,E138-1))</f>
        <v/>
      </c>
      <c r="G138" s="49">
        <f>IF(E138="","",K137)</f>
        <v/>
      </c>
      <c r="H138" s="49">
        <f>IF(E138="","",$C$9)</f>
        <v/>
      </c>
      <c r="I138" s="49">
        <f>IF(E138="","",-IPMT($C$5/12,E138,$C$6,$C$4))</f>
        <v/>
      </c>
      <c r="J138" s="49">
        <f>IF(E138="","",-PPMT($C$5/12,E138,$C$6,$C$4))</f>
        <v/>
      </c>
      <c r="K138" s="49">
        <f>IF(E138="","",MAX(0,G138-J138))</f>
        <v/>
      </c>
    </row>
    <row r="139">
      <c r="E139" s="41">
        <f>IF(136&gt;$C$6,"",136)</f>
        <v/>
      </c>
      <c r="F139" s="48">
        <f>IF(E139="","",EDATE($C$7,E139-1))</f>
        <v/>
      </c>
      <c r="G139" s="49">
        <f>IF(E139="","",K138)</f>
        <v/>
      </c>
      <c r="H139" s="49">
        <f>IF(E139="","",$C$9)</f>
        <v/>
      </c>
      <c r="I139" s="49">
        <f>IF(E139="","",-IPMT($C$5/12,E139,$C$6,$C$4))</f>
        <v/>
      </c>
      <c r="J139" s="49">
        <f>IF(E139="","",-PPMT($C$5/12,E139,$C$6,$C$4))</f>
        <v/>
      </c>
      <c r="K139" s="49">
        <f>IF(E139="","",MAX(0,G139-J139))</f>
        <v/>
      </c>
    </row>
    <row r="140">
      <c r="E140" s="41">
        <f>IF(137&gt;$C$6,"",137)</f>
        <v/>
      </c>
      <c r="F140" s="48">
        <f>IF(E140="","",EDATE($C$7,E140-1))</f>
        <v/>
      </c>
      <c r="G140" s="49">
        <f>IF(E140="","",K139)</f>
        <v/>
      </c>
      <c r="H140" s="49">
        <f>IF(E140="","",$C$9)</f>
        <v/>
      </c>
      <c r="I140" s="49">
        <f>IF(E140="","",-IPMT($C$5/12,E140,$C$6,$C$4))</f>
        <v/>
      </c>
      <c r="J140" s="49">
        <f>IF(E140="","",-PPMT($C$5/12,E140,$C$6,$C$4))</f>
        <v/>
      </c>
      <c r="K140" s="49">
        <f>IF(E140="","",MAX(0,G140-J140))</f>
        <v/>
      </c>
    </row>
    <row r="141">
      <c r="E141" s="41">
        <f>IF(138&gt;$C$6,"",138)</f>
        <v/>
      </c>
      <c r="F141" s="48">
        <f>IF(E141="","",EDATE($C$7,E141-1))</f>
        <v/>
      </c>
      <c r="G141" s="49">
        <f>IF(E141="","",K140)</f>
        <v/>
      </c>
      <c r="H141" s="49">
        <f>IF(E141="","",$C$9)</f>
        <v/>
      </c>
      <c r="I141" s="49">
        <f>IF(E141="","",-IPMT($C$5/12,E141,$C$6,$C$4))</f>
        <v/>
      </c>
      <c r="J141" s="49">
        <f>IF(E141="","",-PPMT($C$5/12,E141,$C$6,$C$4))</f>
        <v/>
      </c>
      <c r="K141" s="49">
        <f>IF(E141="","",MAX(0,G141-J141))</f>
        <v/>
      </c>
    </row>
    <row r="142">
      <c r="E142" s="41">
        <f>IF(139&gt;$C$6,"",139)</f>
        <v/>
      </c>
      <c r="F142" s="48">
        <f>IF(E142="","",EDATE($C$7,E142-1))</f>
        <v/>
      </c>
      <c r="G142" s="49">
        <f>IF(E142="","",K141)</f>
        <v/>
      </c>
      <c r="H142" s="49">
        <f>IF(E142="","",$C$9)</f>
        <v/>
      </c>
      <c r="I142" s="49">
        <f>IF(E142="","",-IPMT($C$5/12,E142,$C$6,$C$4))</f>
        <v/>
      </c>
      <c r="J142" s="49">
        <f>IF(E142="","",-PPMT($C$5/12,E142,$C$6,$C$4))</f>
        <v/>
      </c>
      <c r="K142" s="49">
        <f>IF(E142="","",MAX(0,G142-J142))</f>
        <v/>
      </c>
    </row>
    <row r="143">
      <c r="E143" s="41">
        <f>IF(140&gt;$C$6,"",140)</f>
        <v/>
      </c>
      <c r="F143" s="48">
        <f>IF(E143="","",EDATE($C$7,E143-1))</f>
        <v/>
      </c>
      <c r="G143" s="49">
        <f>IF(E143="","",K142)</f>
        <v/>
      </c>
      <c r="H143" s="49">
        <f>IF(E143="","",$C$9)</f>
        <v/>
      </c>
      <c r="I143" s="49">
        <f>IF(E143="","",-IPMT($C$5/12,E143,$C$6,$C$4))</f>
        <v/>
      </c>
      <c r="J143" s="49">
        <f>IF(E143="","",-PPMT($C$5/12,E143,$C$6,$C$4))</f>
        <v/>
      </c>
      <c r="K143" s="49">
        <f>IF(E143="","",MAX(0,G143-J143))</f>
        <v/>
      </c>
    </row>
    <row r="144">
      <c r="E144" s="41">
        <f>IF(141&gt;$C$6,"",141)</f>
        <v/>
      </c>
      <c r="F144" s="48">
        <f>IF(E144="","",EDATE($C$7,E144-1))</f>
        <v/>
      </c>
      <c r="G144" s="49">
        <f>IF(E144="","",K143)</f>
        <v/>
      </c>
      <c r="H144" s="49">
        <f>IF(E144="","",$C$9)</f>
        <v/>
      </c>
      <c r="I144" s="49">
        <f>IF(E144="","",-IPMT($C$5/12,E144,$C$6,$C$4))</f>
        <v/>
      </c>
      <c r="J144" s="49">
        <f>IF(E144="","",-PPMT($C$5/12,E144,$C$6,$C$4))</f>
        <v/>
      </c>
      <c r="K144" s="49">
        <f>IF(E144="","",MAX(0,G144-J144))</f>
        <v/>
      </c>
    </row>
    <row r="145">
      <c r="E145" s="41">
        <f>IF(142&gt;$C$6,"",142)</f>
        <v/>
      </c>
      <c r="F145" s="48">
        <f>IF(E145="","",EDATE($C$7,E145-1))</f>
        <v/>
      </c>
      <c r="G145" s="49">
        <f>IF(E145="","",K144)</f>
        <v/>
      </c>
      <c r="H145" s="49">
        <f>IF(E145="","",$C$9)</f>
        <v/>
      </c>
      <c r="I145" s="49">
        <f>IF(E145="","",-IPMT($C$5/12,E145,$C$6,$C$4))</f>
        <v/>
      </c>
      <c r="J145" s="49">
        <f>IF(E145="","",-PPMT($C$5/12,E145,$C$6,$C$4))</f>
        <v/>
      </c>
      <c r="K145" s="49">
        <f>IF(E145="","",MAX(0,G145-J145))</f>
        <v/>
      </c>
    </row>
    <row r="146">
      <c r="E146" s="41">
        <f>IF(143&gt;$C$6,"",143)</f>
        <v/>
      </c>
      <c r="F146" s="48">
        <f>IF(E146="","",EDATE($C$7,E146-1))</f>
        <v/>
      </c>
      <c r="G146" s="49">
        <f>IF(E146="","",K145)</f>
        <v/>
      </c>
      <c r="H146" s="49">
        <f>IF(E146="","",$C$9)</f>
        <v/>
      </c>
      <c r="I146" s="49">
        <f>IF(E146="","",-IPMT($C$5/12,E146,$C$6,$C$4))</f>
        <v/>
      </c>
      <c r="J146" s="49">
        <f>IF(E146="","",-PPMT($C$5/12,E146,$C$6,$C$4))</f>
        <v/>
      </c>
      <c r="K146" s="49">
        <f>IF(E146="","",MAX(0,G146-J146))</f>
        <v/>
      </c>
    </row>
    <row r="147">
      <c r="E147" s="41">
        <f>IF(144&gt;$C$6,"",144)</f>
        <v/>
      </c>
      <c r="F147" s="48">
        <f>IF(E147="","",EDATE($C$7,E147-1))</f>
        <v/>
      </c>
      <c r="G147" s="49">
        <f>IF(E147="","",K146)</f>
        <v/>
      </c>
      <c r="H147" s="49">
        <f>IF(E147="","",$C$9)</f>
        <v/>
      </c>
      <c r="I147" s="49">
        <f>IF(E147="","",-IPMT($C$5/12,E147,$C$6,$C$4))</f>
        <v/>
      </c>
      <c r="J147" s="49">
        <f>IF(E147="","",-PPMT($C$5/12,E147,$C$6,$C$4))</f>
        <v/>
      </c>
      <c r="K147" s="49">
        <f>IF(E147="","",MAX(0,G147-J147))</f>
        <v/>
      </c>
    </row>
    <row r="148">
      <c r="E148" s="41">
        <f>IF(145&gt;$C$6,"",145)</f>
        <v/>
      </c>
      <c r="F148" s="48">
        <f>IF(E148="","",EDATE($C$7,E148-1))</f>
        <v/>
      </c>
      <c r="G148" s="49">
        <f>IF(E148="","",K147)</f>
        <v/>
      </c>
      <c r="H148" s="49">
        <f>IF(E148="","",$C$9)</f>
        <v/>
      </c>
      <c r="I148" s="49">
        <f>IF(E148="","",-IPMT($C$5/12,E148,$C$6,$C$4))</f>
        <v/>
      </c>
      <c r="J148" s="49">
        <f>IF(E148="","",-PPMT($C$5/12,E148,$C$6,$C$4))</f>
        <v/>
      </c>
      <c r="K148" s="49">
        <f>IF(E148="","",MAX(0,G148-J148))</f>
        <v/>
      </c>
    </row>
    <row r="149">
      <c r="E149" s="41">
        <f>IF(146&gt;$C$6,"",146)</f>
        <v/>
      </c>
      <c r="F149" s="48">
        <f>IF(E149="","",EDATE($C$7,E149-1))</f>
        <v/>
      </c>
      <c r="G149" s="49">
        <f>IF(E149="","",K148)</f>
        <v/>
      </c>
      <c r="H149" s="49">
        <f>IF(E149="","",$C$9)</f>
        <v/>
      </c>
      <c r="I149" s="49">
        <f>IF(E149="","",-IPMT($C$5/12,E149,$C$6,$C$4))</f>
        <v/>
      </c>
      <c r="J149" s="49">
        <f>IF(E149="","",-PPMT($C$5/12,E149,$C$6,$C$4))</f>
        <v/>
      </c>
      <c r="K149" s="49">
        <f>IF(E149="","",MAX(0,G149-J149))</f>
        <v/>
      </c>
    </row>
    <row r="150">
      <c r="E150" s="41">
        <f>IF(147&gt;$C$6,"",147)</f>
        <v/>
      </c>
      <c r="F150" s="48">
        <f>IF(E150="","",EDATE($C$7,E150-1))</f>
        <v/>
      </c>
      <c r="G150" s="49">
        <f>IF(E150="","",K149)</f>
        <v/>
      </c>
      <c r="H150" s="49">
        <f>IF(E150="","",$C$9)</f>
        <v/>
      </c>
      <c r="I150" s="49">
        <f>IF(E150="","",-IPMT($C$5/12,E150,$C$6,$C$4))</f>
        <v/>
      </c>
      <c r="J150" s="49">
        <f>IF(E150="","",-PPMT($C$5/12,E150,$C$6,$C$4))</f>
        <v/>
      </c>
      <c r="K150" s="49">
        <f>IF(E150="","",MAX(0,G150-J150))</f>
        <v/>
      </c>
    </row>
    <row r="151">
      <c r="E151" s="41">
        <f>IF(148&gt;$C$6,"",148)</f>
        <v/>
      </c>
      <c r="F151" s="48">
        <f>IF(E151="","",EDATE($C$7,E151-1))</f>
        <v/>
      </c>
      <c r="G151" s="49">
        <f>IF(E151="","",K150)</f>
        <v/>
      </c>
      <c r="H151" s="49">
        <f>IF(E151="","",$C$9)</f>
        <v/>
      </c>
      <c r="I151" s="49">
        <f>IF(E151="","",-IPMT($C$5/12,E151,$C$6,$C$4))</f>
        <v/>
      </c>
      <c r="J151" s="49">
        <f>IF(E151="","",-PPMT($C$5/12,E151,$C$6,$C$4))</f>
        <v/>
      </c>
      <c r="K151" s="49">
        <f>IF(E151="","",MAX(0,G151-J151))</f>
        <v/>
      </c>
    </row>
    <row r="152">
      <c r="E152" s="41">
        <f>IF(149&gt;$C$6,"",149)</f>
        <v/>
      </c>
      <c r="F152" s="48">
        <f>IF(E152="","",EDATE($C$7,E152-1))</f>
        <v/>
      </c>
      <c r="G152" s="49">
        <f>IF(E152="","",K151)</f>
        <v/>
      </c>
      <c r="H152" s="49">
        <f>IF(E152="","",$C$9)</f>
        <v/>
      </c>
      <c r="I152" s="49">
        <f>IF(E152="","",-IPMT($C$5/12,E152,$C$6,$C$4))</f>
        <v/>
      </c>
      <c r="J152" s="49">
        <f>IF(E152="","",-PPMT($C$5/12,E152,$C$6,$C$4))</f>
        <v/>
      </c>
      <c r="K152" s="49">
        <f>IF(E152="","",MAX(0,G152-J152))</f>
        <v/>
      </c>
    </row>
    <row r="153">
      <c r="E153" s="41">
        <f>IF(150&gt;$C$6,"",150)</f>
        <v/>
      </c>
      <c r="F153" s="48">
        <f>IF(E153="","",EDATE($C$7,E153-1))</f>
        <v/>
      </c>
      <c r="G153" s="49">
        <f>IF(E153="","",K152)</f>
        <v/>
      </c>
      <c r="H153" s="49">
        <f>IF(E153="","",$C$9)</f>
        <v/>
      </c>
      <c r="I153" s="49">
        <f>IF(E153="","",-IPMT($C$5/12,E153,$C$6,$C$4))</f>
        <v/>
      </c>
      <c r="J153" s="49">
        <f>IF(E153="","",-PPMT($C$5/12,E153,$C$6,$C$4))</f>
        <v/>
      </c>
      <c r="K153" s="49">
        <f>IF(E153="","",MAX(0,G153-J153))</f>
        <v/>
      </c>
    </row>
    <row r="154">
      <c r="E154" s="41">
        <f>IF(151&gt;$C$6,"",151)</f>
        <v/>
      </c>
      <c r="F154" s="48">
        <f>IF(E154="","",EDATE($C$7,E154-1))</f>
        <v/>
      </c>
      <c r="G154" s="49">
        <f>IF(E154="","",K153)</f>
        <v/>
      </c>
      <c r="H154" s="49">
        <f>IF(E154="","",$C$9)</f>
        <v/>
      </c>
      <c r="I154" s="49">
        <f>IF(E154="","",-IPMT($C$5/12,E154,$C$6,$C$4))</f>
        <v/>
      </c>
      <c r="J154" s="49">
        <f>IF(E154="","",-PPMT($C$5/12,E154,$C$6,$C$4))</f>
        <v/>
      </c>
      <c r="K154" s="49">
        <f>IF(E154="","",MAX(0,G154-J154))</f>
        <v/>
      </c>
    </row>
    <row r="155">
      <c r="E155" s="41">
        <f>IF(152&gt;$C$6,"",152)</f>
        <v/>
      </c>
      <c r="F155" s="48">
        <f>IF(E155="","",EDATE($C$7,E155-1))</f>
        <v/>
      </c>
      <c r="G155" s="49">
        <f>IF(E155="","",K154)</f>
        <v/>
      </c>
      <c r="H155" s="49">
        <f>IF(E155="","",$C$9)</f>
        <v/>
      </c>
      <c r="I155" s="49">
        <f>IF(E155="","",-IPMT($C$5/12,E155,$C$6,$C$4))</f>
        <v/>
      </c>
      <c r="J155" s="49">
        <f>IF(E155="","",-PPMT($C$5/12,E155,$C$6,$C$4))</f>
        <v/>
      </c>
      <c r="K155" s="49">
        <f>IF(E155="","",MAX(0,G155-J155))</f>
        <v/>
      </c>
    </row>
    <row r="156">
      <c r="E156" s="41">
        <f>IF(153&gt;$C$6,"",153)</f>
        <v/>
      </c>
      <c r="F156" s="48">
        <f>IF(E156="","",EDATE($C$7,E156-1))</f>
        <v/>
      </c>
      <c r="G156" s="49">
        <f>IF(E156="","",K155)</f>
        <v/>
      </c>
      <c r="H156" s="49">
        <f>IF(E156="","",$C$9)</f>
        <v/>
      </c>
      <c r="I156" s="49">
        <f>IF(E156="","",-IPMT($C$5/12,E156,$C$6,$C$4))</f>
        <v/>
      </c>
      <c r="J156" s="49">
        <f>IF(E156="","",-PPMT($C$5/12,E156,$C$6,$C$4))</f>
        <v/>
      </c>
      <c r="K156" s="49">
        <f>IF(E156="","",MAX(0,G156-J156))</f>
        <v/>
      </c>
    </row>
    <row r="157">
      <c r="E157" s="41">
        <f>IF(154&gt;$C$6,"",154)</f>
        <v/>
      </c>
      <c r="F157" s="48">
        <f>IF(E157="","",EDATE($C$7,E157-1))</f>
        <v/>
      </c>
      <c r="G157" s="49">
        <f>IF(E157="","",K156)</f>
        <v/>
      </c>
      <c r="H157" s="49">
        <f>IF(E157="","",$C$9)</f>
        <v/>
      </c>
      <c r="I157" s="49">
        <f>IF(E157="","",-IPMT($C$5/12,E157,$C$6,$C$4))</f>
        <v/>
      </c>
      <c r="J157" s="49">
        <f>IF(E157="","",-PPMT($C$5/12,E157,$C$6,$C$4))</f>
        <v/>
      </c>
      <c r="K157" s="49">
        <f>IF(E157="","",MAX(0,G157-J157))</f>
        <v/>
      </c>
    </row>
    <row r="158">
      <c r="E158" s="41">
        <f>IF(155&gt;$C$6,"",155)</f>
        <v/>
      </c>
      <c r="F158" s="48">
        <f>IF(E158="","",EDATE($C$7,E158-1))</f>
        <v/>
      </c>
      <c r="G158" s="49">
        <f>IF(E158="","",K157)</f>
        <v/>
      </c>
      <c r="H158" s="49">
        <f>IF(E158="","",$C$9)</f>
        <v/>
      </c>
      <c r="I158" s="49">
        <f>IF(E158="","",-IPMT($C$5/12,E158,$C$6,$C$4))</f>
        <v/>
      </c>
      <c r="J158" s="49">
        <f>IF(E158="","",-PPMT($C$5/12,E158,$C$6,$C$4))</f>
        <v/>
      </c>
      <c r="K158" s="49">
        <f>IF(E158="","",MAX(0,G158-J158))</f>
        <v/>
      </c>
    </row>
    <row r="159">
      <c r="E159" s="41">
        <f>IF(156&gt;$C$6,"",156)</f>
        <v/>
      </c>
      <c r="F159" s="48">
        <f>IF(E159="","",EDATE($C$7,E159-1))</f>
        <v/>
      </c>
      <c r="G159" s="49">
        <f>IF(E159="","",K158)</f>
        <v/>
      </c>
      <c r="H159" s="49">
        <f>IF(E159="","",$C$9)</f>
        <v/>
      </c>
      <c r="I159" s="49">
        <f>IF(E159="","",-IPMT($C$5/12,E159,$C$6,$C$4))</f>
        <v/>
      </c>
      <c r="J159" s="49">
        <f>IF(E159="","",-PPMT($C$5/12,E159,$C$6,$C$4))</f>
        <v/>
      </c>
      <c r="K159" s="49">
        <f>IF(E159="","",MAX(0,G159-J159))</f>
        <v/>
      </c>
    </row>
    <row r="160">
      <c r="E160" s="41">
        <f>IF(157&gt;$C$6,"",157)</f>
        <v/>
      </c>
      <c r="F160" s="48">
        <f>IF(E160="","",EDATE($C$7,E160-1))</f>
        <v/>
      </c>
      <c r="G160" s="49">
        <f>IF(E160="","",K159)</f>
        <v/>
      </c>
      <c r="H160" s="49">
        <f>IF(E160="","",$C$9)</f>
        <v/>
      </c>
      <c r="I160" s="49">
        <f>IF(E160="","",-IPMT($C$5/12,E160,$C$6,$C$4))</f>
        <v/>
      </c>
      <c r="J160" s="49">
        <f>IF(E160="","",-PPMT($C$5/12,E160,$C$6,$C$4))</f>
        <v/>
      </c>
      <c r="K160" s="49">
        <f>IF(E160="","",MAX(0,G160-J160))</f>
        <v/>
      </c>
    </row>
    <row r="161">
      <c r="E161" s="41">
        <f>IF(158&gt;$C$6,"",158)</f>
        <v/>
      </c>
      <c r="F161" s="48">
        <f>IF(E161="","",EDATE($C$7,E161-1))</f>
        <v/>
      </c>
      <c r="G161" s="49">
        <f>IF(E161="","",K160)</f>
        <v/>
      </c>
      <c r="H161" s="49">
        <f>IF(E161="","",$C$9)</f>
        <v/>
      </c>
      <c r="I161" s="49">
        <f>IF(E161="","",-IPMT($C$5/12,E161,$C$6,$C$4))</f>
        <v/>
      </c>
      <c r="J161" s="49">
        <f>IF(E161="","",-PPMT($C$5/12,E161,$C$6,$C$4))</f>
        <v/>
      </c>
      <c r="K161" s="49">
        <f>IF(E161="","",MAX(0,G161-J161))</f>
        <v/>
      </c>
    </row>
    <row r="162">
      <c r="E162" s="41">
        <f>IF(159&gt;$C$6,"",159)</f>
        <v/>
      </c>
      <c r="F162" s="48">
        <f>IF(E162="","",EDATE($C$7,E162-1))</f>
        <v/>
      </c>
      <c r="G162" s="49">
        <f>IF(E162="","",K161)</f>
        <v/>
      </c>
      <c r="H162" s="49">
        <f>IF(E162="","",$C$9)</f>
        <v/>
      </c>
      <c r="I162" s="49">
        <f>IF(E162="","",-IPMT($C$5/12,E162,$C$6,$C$4))</f>
        <v/>
      </c>
      <c r="J162" s="49">
        <f>IF(E162="","",-PPMT($C$5/12,E162,$C$6,$C$4))</f>
        <v/>
      </c>
      <c r="K162" s="49">
        <f>IF(E162="","",MAX(0,G162-J162))</f>
        <v/>
      </c>
    </row>
    <row r="163">
      <c r="E163" s="41">
        <f>IF(160&gt;$C$6,"",160)</f>
        <v/>
      </c>
      <c r="F163" s="48">
        <f>IF(E163="","",EDATE($C$7,E163-1))</f>
        <v/>
      </c>
      <c r="G163" s="49">
        <f>IF(E163="","",K162)</f>
        <v/>
      </c>
      <c r="H163" s="49">
        <f>IF(E163="","",$C$9)</f>
        <v/>
      </c>
      <c r="I163" s="49">
        <f>IF(E163="","",-IPMT($C$5/12,E163,$C$6,$C$4))</f>
        <v/>
      </c>
      <c r="J163" s="49">
        <f>IF(E163="","",-PPMT($C$5/12,E163,$C$6,$C$4))</f>
        <v/>
      </c>
      <c r="K163" s="49">
        <f>IF(E163="","",MAX(0,G163-J163))</f>
        <v/>
      </c>
    </row>
    <row r="164">
      <c r="E164" s="41">
        <f>IF(161&gt;$C$6,"",161)</f>
        <v/>
      </c>
      <c r="F164" s="48">
        <f>IF(E164="","",EDATE($C$7,E164-1))</f>
        <v/>
      </c>
      <c r="G164" s="49">
        <f>IF(E164="","",K163)</f>
        <v/>
      </c>
      <c r="H164" s="49">
        <f>IF(E164="","",$C$9)</f>
        <v/>
      </c>
      <c r="I164" s="49">
        <f>IF(E164="","",-IPMT($C$5/12,E164,$C$6,$C$4))</f>
        <v/>
      </c>
      <c r="J164" s="49">
        <f>IF(E164="","",-PPMT($C$5/12,E164,$C$6,$C$4))</f>
        <v/>
      </c>
      <c r="K164" s="49">
        <f>IF(E164="","",MAX(0,G164-J164))</f>
        <v/>
      </c>
    </row>
    <row r="165">
      <c r="E165" s="41">
        <f>IF(162&gt;$C$6,"",162)</f>
        <v/>
      </c>
      <c r="F165" s="48">
        <f>IF(E165="","",EDATE($C$7,E165-1))</f>
        <v/>
      </c>
      <c r="G165" s="49">
        <f>IF(E165="","",K164)</f>
        <v/>
      </c>
      <c r="H165" s="49">
        <f>IF(E165="","",$C$9)</f>
        <v/>
      </c>
      <c r="I165" s="49">
        <f>IF(E165="","",-IPMT($C$5/12,E165,$C$6,$C$4))</f>
        <v/>
      </c>
      <c r="J165" s="49">
        <f>IF(E165="","",-PPMT($C$5/12,E165,$C$6,$C$4))</f>
        <v/>
      </c>
      <c r="K165" s="49">
        <f>IF(E165="","",MAX(0,G165-J165))</f>
        <v/>
      </c>
    </row>
    <row r="166">
      <c r="E166" s="41">
        <f>IF(163&gt;$C$6,"",163)</f>
        <v/>
      </c>
      <c r="F166" s="48">
        <f>IF(E166="","",EDATE($C$7,E166-1))</f>
        <v/>
      </c>
      <c r="G166" s="49">
        <f>IF(E166="","",K165)</f>
        <v/>
      </c>
      <c r="H166" s="49">
        <f>IF(E166="","",$C$9)</f>
        <v/>
      </c>
      <c r="I166" s="49">
        <f>IF(E166="","",-IPMT($C$5/12,E166,$C$6,$C$4))</f>
        <v/>
      </c>
      <c r="J166" s="49">
        <f>IF(E166="","",-PPMT($C$5/12,E166,$C$6,$C$4))</f>
        <v/>
      </c>
      <c r="K166" s="49">
        <f>IF(E166="","",MAX(0,G166-J166))</f>
        <v/>
      </c>
    </row>
    <row r="167">
      <c r="E167" s="41">
        <f>IF(164&gt;$C$6,"",164)</f>
        <v/>
      </c>
      <c r="F167" s="48">
        <f>IF(E167="","",EDATE($C$7,E167-1))</f>
        <v/>
      </c>
      <c r="G167" s="49">
        <f>IF(E167="","",K166)</f>
        <v/>
      </c>
      <c r="H167" s="49">
        <f>IF(E167="","",$C$9)</f>
        <v/>
      </c>
      <c r="I167" s="49">
        <f>IF(E167="","",-IPMT($C$5/12,E167,$C$6,$C$4))</f>
        <v/>
      </c>
      <c r="J167" s="49">
        <f>IF(E167="","",-PPMT($C$5/12,E167,$C$6,$C$4))</f>
        <v/>
      </c>
      <c r="K167" s="49">
        <f>IF(E167="","",MAX(0,G167-J167))</f>
        <v/>
      </c>
    </row>
    <row r="168">
      <c r="E168" s="41">
        <f>IF(165&gt;$C$6,"",165)</f>
        <v/>
      </c>
      <c r="F168" s="48">
        <f>IF(E168="","",EDATE($C$7,E168-1))</f>
        <v/>
      </c>
      <c r="G168" s="49">
        <f>IF(E168="","",K167)</f>
        <v/>
      </c>
      <c r="H168" s="49">
        <f>IF(E168="","",$C$9)</f>
        <v/>
      </c>
      <c r="I168" s="49">
        <f>IF(E168="","",-IPMT($C$5/12,E168,$C$6,$C$4))</f>
        <v/>
      </c>
      <c r="J168" s="49">
        <f>IF(E168="","",-PPMT($C$5/12,E168,$C$6,$C$4))</f>
        <v/>
      </c>
      <c r="K168" s="49">
        <f>IF(E168="","",MAX(0,G168-J168))</f>
        <v/>
      </c>
    </row>
    <row r="169">
      <c r="E169" s="41">
        <f>IF(166&gt;$C$6,"",166)</f>
        <v/>
      </c>
      <c r="F169" s="48">
        <f>IF(E169="","",EDATE($C$7,E169-1))</f>
        <v/>
      </c>
      <c r="G169" s="49">
        <f>IF(E169="","",K168)</f>
        <v/>
      </c>
      <c r="H169" s="49">
        <f>IF(E169="","",$C$9)</f>
        <v/>
      </c>
      <c r="I169" s="49">
        <f>IF(E169="","",-IPMT($C$5/12,E169,$C$6,$C$4))</f>
        <v/>
      </c>
      <c r="J169" s="49">
        <f>IF(E169="","",-PPMT($C$5/12,E169,$C$6,$C$4))</f>
        <v/>
      </c>
      <c r="K169" s="49">
        <f>IF(E169="","",MAX(0,G169-J169))</f>
        <v/>
      </c>
    </row>
    <row r="170">
      <c r="E170" s="41">
        <f>IF(167&gt;$C$6,"",167)</f>
        <v/>
      </c>
      <c r="F170" s="48">
        <f>IF(E170="","",EDATE($C$7,E170-1))</f>
        <v/>
      </c>
      <c r="G170" s="49">
        <f>IF(E170="","",K169)</f>
        <v/>
      </c>
      <c r="H170" s="49">
        <f>IF(E170="","",$C$9)</f>
        <v/>
      </c>
      <c r="I170" s="49">
        <f>IF(E170="","",-IPMT($C$5/12,E170,$C$6,$C$4))</f>
        <v/>
      </c>
      <c r="J170" s="49">
        <f>IF(E170="","",-PPMT($C$5/12,E170,$C$6,$C$4))</f>
        <v/>
      </c>
      <c r="K170" s="49">
        <f>IF(E170="","",MAX(0,G170-J170))</f>
        <v/>
      </c>
    </row>
    <row r="171">
      <c r="E171" s="41">
        <f>IF(168&gt;$C$6,"",168)</f>
        <v/>
      </c>
      <c r="F171" s="48">
        <f>IF(E171="","",EDATE($C$7,E171-1))</f>
        <v/>
      </c>
      <c r="G171" s="49">
        <f>IF(E171="","",K170)</f>
        <v/>
      </c>
      <c r="H171" s="49">
        <f>IF(E171="","",$C$9)</f>
        <v/>
      </c>
      <c r="I171" s="49">
        <f>IF(E171="","",-IPMT($C$5/12,E171,$C$6,$C$4))</f>
        <v/>
      </c>
      <c r="J171" s="49">
        <f>IF(E171="","",-PPMT($C$5/12,E171,$C$6,$C$4))</f>
        <v/>
      </c>
      <c r="K171" s="49">
        <f>IF(E171="","",MAX(0,G171-J171))</f>
        <v/>
      </c>
    </row>
    <row r="172">
      <c r="E172" s="41">
        <f>IF(169&gt;$C$6,"",169)</f>
        <v/>
      </c>
      <c r="F172" s="48">
        <f>IF(E172="","",EDATE($C$7,E172-1))</f>
        <v/>
      </c>
      <c r="G172" s="49">
        <f>IF(E172="","",K171)</f>
        <v/>
      </c>
      <c r="H172" s="49">
        <f>IF(E172="","",$C$9)</f>
        <v/>
      </c>
      <c r="I172" s="49">
        <f>IF(E172="","",-IPMT($C$5/12,E172,$C$6,$C$4))</f>
        <v/>
      </c>
      <c r="J172" s="49">
        <f>IF(E172="","",-PPMT($C$5/12,E172,$C$6,$C$4))</f>
        <v/>
      </c>
      <c r="K172" s="49">
        <f>IF(E172="","",MAX(0,G172-J172))</f>
        <v/>
      </c>
    </row>
    <row r="173">
      <c r="E173" s="41">
        <f>IF(170&gt;$C$6,"",170)</f>
        <v/>
      </c>
      <c r="F173" s="48">
        <f>IF(E173="","",EDATE($C$7,E173-1))</f>
        <v/>
      </c>
      <c r="G173" s="49">
        <f>IF(E173="","",K172)</f>
        <v/>
      </c>
      <c r="H173" s="49">
        <f>IF(E173="","",$C$9)</f>
        <v/>
      </c>
      <c r="I173" s="49">
        <f>IF(E173="","",-IPMT($C$5/12,E173,$C$6,$C$4))</f>
        <v/>
      </c>
      <c r="J173" s="49">
        <f>IF(E173="","",-PPMT($C$5/12,E173,$C$6,$C$4))</f>
        <v/>
      </c>
      <c r="K173" s="49">
        <f>IF(E173="","",MAX(0,G173-J173))</f>
        <v/>
      </c>
    </row>
    <row r="174">
      <c r="E174" s="41">
        <f>IF(171&gt;$C$6,"",171)</f>
        <v/>
      </c>
      <c r="F174" s="48">
        <f>IF(E174="","",EDATE($C$7,E174-1))</f>
        <v/>
      </c>
      <c r="G174" s="49">
        <f>IF(E174="","",K173)</f>
        <v/>
      </c>
      <c r="H174" s="49">
        <f>IF(E174="","",$C$9)</f>
        <v/>
      </c>
      <c r="I174" s="49">
        <f>IF(E174="","",-IPMT($C$5/12,E174,$C$6,$C$4))</f>
        <v/>
      </c>
      <c r="J174" s="49">
        <f>IF(E174="","",-PPMT($C$5/12,E174,$C$6,$C$4))</f>
        <v/>
      </c>
      <c r="K174" s="49">
        <f>IF(E174="","",MAX(0,G174-J174))</f>
        <v/>
      </c>
    </row>
    <row r="175">
      <c r="E175" s="41">
        <f>IF(172&gt;$C$6,"",172)</f>
        <v/>
      </c>
      <c r="F175" s="48">
        <f>IF(E175="","",EDATE($C$7,E175-1))</f>
        <v/>
      </c>
      <c r="G175" s="49">
        <f>IF(E175="","",K174)</f>
        <v/>
      </c>
      <c r="H175" s="49">
        <f>IF(E175="","",$C$9)</f>
        <v/>
      </c>
      <c r="I175" s="49">
        <f>IF(E175="","",-IPMT($C$5/12,E175,$C$6,$C$4))</f>
        <v/>
      </c>
      <c r="J175" s="49">
        <f>IF(E175="","",-PPMT($C$5/12,E175,$C$6,$C$4))</f>
        <v/>
      </c>
      <c r="K175" s="49">
        <f>IF(E175="","",MAX(0,G175-J175))</f>
        <v/>
      </c>
    </row>
    <row r="176">
      <c r="E176" s="41">
        <f>IF(173&gt;$C$6,"",173)</f>
        <v/>
      </c>
      <c r="F176" s="48">
        <f>IF(E176="","",EDATE($C$7,E176-1))</f>
        <v/>
      </c>
      <c r="G176" s="49">
        <f>IF(E176="","",K175)</f>
        <v/>
      </c>
      <c r="H176" s="49">
        <f>IF(E176="","",$C$9)</f>
        <v/>
      </c>
      <c r="I176" s="49">
        <f>IF(E176="","",-IPMT($C$5/12,E176,$C$6,$C$4))</f>
        <v/>
      </c>
      <c r="J176" s="49">
        <f>IF(E176="","",-PPMT($C$5/12,E176,$C$6,$C$4))</f>
        <v/>
      </c>
      <c r="K176" s="49">
        <f>IF(E176="","",MAX(0,G176-J176))</f>
        <v/>
      </c>
    </row>
    <row r="177">
      <c r="E177" s="41">
        <f>IF(174&gt;$C$6,"",174)</f>
        <v/>
      </c>
      <c r="F177" s="48">
        <f>IF(E177="","",EDATE($C$7,E177-1))</f>
        <v/>
      </c>
      <c r="G177" s="49">
        <f>IF(E177="","",K176)</f>
        <v/>
      </c>
      <c r="H177" s="49">
        <f>IF(E177="","",$C$9)</f>
        <v/>
      </c>
      <c r="I177" s="49">
        <f>IF(E177="","",-IPMT($C$5/12,E177,$C$6,$C$4))</f>
        <v/>
      </c>
      <c r="J177" s="49">
        <f>IF(E177="","",-PPMT($C$5/12,E177,$C$6,$C$4))</f>
        <v/>
      </c>
      <c r="K177" s="49">
        <f>IF(E177="","",MAX(0,G177-J177))</f>
        <v/>
      </c>
    </row>
    <row r="178">
      <c r="E178" s="41">
        <f>IF(175&gt;$C$6,"",175)</f>
        <v/>
      </c>
      <c r="F178" s="48">
        <f>IF(E178="","",EDATE($C$7,E178-1))</f>
        <v/>
      </c>
      <c r="G178" s="49">
        <f>IF(E178="","",K177)</f>
        <v/>
      </c>
      <c r="H178" s="49">
        <f>IF(E178="","",$C$9)</f>
        <v/>
      </c>
      <c r="I178" s="49">
        <f>IF(E178="","",-IPMT($C$5/12,E178,$C$6,$C$4))</f>
        <v/>
      </c>
      <c r="J178" s="49">
        <f>IF(E178="","",-PPMT($C$5/12,E178,$C$6,$C$4))</f>
        <v/>
      </c>
      <c r="K178" s="49">
        <f>IF(E178="","",MAX(0,G178-J178))</f>
        <v/>
      </c>
    </row>
    <row r="179">
      <c r="E179" s="41">
        <f>IF(176&gt;$C$6,"",176)</f>
        <v/>
      </c>
      <c r="F179" s="48">
        <f>IF(E179="","",EDATE($C$7,E179-1))</f>
        <v/>
      </c>
      <c r="G179" s="49">
        <f>IF(E179="","",K178)</f>
        <v/>
      </c>
      <c r="H179" s="49">
        <f>IF(E179="","",$C$9)</f>
        <v/>
      </c>
      <c r="I179" s="49">
        <f>IF(E179="","",-IPMT($C$5/12,E179,$C$6,$C$4))</f>
        <v/>
      </c>
      <c r="J179" s="49">
        <f>IF(E179="","",-PPMT($C$5/12,E179,$C$6,$C$4))</f>
        <v/>
      </c>
      <c r="K179" s="49">
        <f>IF(E179="","",MAX(0,G179-J179))</f>
        <v/>
      </c>
    </row>
    <row r="180">
      <c r="E180" s="41">
        <f>IF(177&gt;$C$6,"",177)</f>
        <v/>
      </c>
      <c r="F180" s="48">
        <f>IF(E180="","",EDATE($C$7,E180-1))</f>
        <v/>
      </c>
      <c r="G180" s="49">
        <f>IF(E180="","",K179)</f>
        <v/>
      </c>
      <c r="H180" s="49">
        <f>IF(E180="","",$C$9)</f>
        <v/>
      </c>
      <c r="I180" s="49">
        <f>IF(E180="","",-IPMT($C$5/12,E180,$C$6,$C$4))</f>
        <v/>
      </c>
      <c r="J180" s="49">
        <f>IF(E180="","",-PPMT($C$5/12,E180,$C$6,$C$4))</f>
        <v/>
      </c>
      <c r="K180" s="49">
        <f>IF(E180="","",MAX(0,G180-J180))</f>
        <v/>
      </c>
    </row>
    <row r="181">
      <c r="E181" s="41">
        <f>IF(178&gt;$C$6,"",178)</f>
        <v/>
      </c>
      <c r="F181" s="48">
        <f>IF(E181="","",EDATE($C$7,E181-1))</f>
        <v/>
      </c>
      <c r="G181" s="49">
        <f>IF(E181="","",K180)</f>
        <v/>
      </c>
      <c r="H181" s="49">
        <f>IF(E181="","",$C$9)</f>
        <v/>
      </c>
      <c r="I181" s="49">
        <f>IF(E181="","",-IPMT($C$5/12,E181,$C$6,$C$4))</f>
        <v/>
      </c>
      <c r="J181" s="49">
        <f>IF(E181="","",-PPMT($C$5/12,E181,$C$6,$C$4))</f>
        <v/>
      </c>
      <c r="K181" s="49">
        <f>IF(E181="","",MAX(0,G181-J181))</f>
        <v/>
      </c>
    </row>
    <row r="182">
      <c r="E182" s="41">
        <f>IF(179&gt;$C$6,"",179)</f>
        <v/>
      </c>
      <c r="F182" s="48">
        <f>IF(E182="","",EDATE($C$7,E182-1))</f>
        <v/>
      </c>
      <c r="G182" s="49">
        <f>IF(E182="","",K181)</f>
        <v/>
      </c>
      <c r="H182" s="49">
        <f>IF(E182="","",$C$9)</f>
        <v/>
      </c>
      <c r="I182" s="49">
        <f>IF(E182="","",-IPMT($C$5/12,E182,$C$6,$C$4))</f>
        <v/>
      </c>
      <c r="J182" s="49">
        <f>IF(E182="","",-PPMT($C$5/12,E182,$C$6,$C$4))</f>
        <v/>
      </c>
      <c r="K182" s="49">
        <f>IF(E182="","",MAX(0,G182-J182))</f>
        <v/>
      </c>
    </row>
    <row r="183">
      <c r="E183" s="41">
        <f>IF(180&gt;$C$6,"",180)</f>
        <v/>
      </c>
      <c r="F183" s="48">
        <f>IF(E183="","",EDATE($C$7,E183-1))</f>
        <v/>
      </c>
      <c r="G183" s="49">
        <f>IF(E183="","",K182)</f>
        <v/>
      </c>
      <c r="H183" s="49">
        <f>IF(E183="","",$C$9)</f>
        <v/>
      </c>
      <c r="I183" s="49">
        <f>IF(E183="","",-IPMT($C$5/12,E183,$C$6,$C$4))</f>
        <v/>
      </c>
      <c r="J183" s="49">
        <f>IF(E183="","",-PPMT($C$5/12,E183,$C$6,$C$4))</f>
        <v/>
      </c>
      <c r="K183" s="49">
        <f>IF(E183="","",MAX(0,G183-J183))</f>
        <v/>
      </c>
    </row>
    <row r="184">
      <c r="E184" s="41">
        <f>IF(181&gt;$C$6,"",181)</f>
        <v/>
      </c>
      <c r="F184" s="48">
        <f>IF(E184="","",EDATE($C$7,E184-1))</f>
        <v/>
      </c>
      <c r="G184" s="49">
        <f>IF(E184="","",K183)</f>
        <v/>
      </c>
      <c r="H184" s="49">
        <f>IF(E184="","",$C$9)</f>
        <v/>
      </c>
      <c r="I184" s="49">
        <f>IF(E184="","",-IPMT($C$5/12,E184,$C$6,$C$4))</f>
        <v/>
      </c>
      <c r="J184" s="49">
        <f>IF(E184="","",-PPMT($C$5/12,E184,$C$6,$C$4))</f>
        <v/>
      </c>
      <c r="K184" s="49">
        <f>IF(E184="","",MAX(0,G184-J184))</f>
        <v/>
      </c>
    </row>
    <row r="185">
      <c r="E185" s="41">
        <f>IF(182&gt;$C$6,"",182)</f>
        <v/>
      </c>
      <c r="F185" s="48">
        <f>IF(E185="","",EDATE($C$7,E185-1))</f>
        <v/>
      </c>
      <c r="G185" s="49">
        <f>IF(E185="","",K184)</f>
        <v/>
      </c>
      <c r="H185" s="49">
        <f>IF(E185="","",$C$9)</f>
        <v/>
      </c>
      <c r="I185" s="49">
        <f>IF(E185="","",-IPMT($C$5/12,E185,$C$6,$C$4))</f>
        <v/>
      </c>
      <c r="J185" s="49">
        <f>IF(E185="","",-PPMT($C$5/12,E185,$C$6,$C$4))</f>
        <v/>
      </c>
      <c r="K185" s="49">
        <f>IF(E185="","",MAX(0,G185-J185))</f>
        <v/>
      </c>
    </row>
    <row r="186">
      <c r="E186" s="41">
        <f>IF(183&gt;$C$6,"",183)</f>
        <v/>
      </c>
      <c r="F186" s="48">
        <f>IF(E186="","",EDATE($C$7,E186-1))</f>
        <v/>
      </c>
      <c r="G186" s="49">
        <f>IF(E186="","",K185)</f>
        <v/>
      </c>
      <c r="H186" s="49">
        <f>IF(E186="","",$C$9)</f>
        <v/>
      </c>
      <c r="I186" s="49">
        <f>IF(E186="","",-IPMT($C$5/12,E186,$C$6,$C$4))</f>
        <v/>
      </c>
      <c r="J186" s="49">
        <f>IF(E186="","",-PPMT($C$5/12,E186,$C$6,$C$4))</f>
        <v/>
      </c>
      <c r="K186" s="49">
        <f>IF(E186="","",MAX(0,G186-J186))</f>
        <v/>
      </c>
    </row>
    <row r="187">
      <c r="E187" s="41">
        <f>IF(184&gt;$C$6,"",184)</f>
        <v/>
      </c>
      <c r="F187" s="48">
        <f>IF(E187="","",EDATE($C$7,E187-1))</f>
        <v/>
      </c>
      <c r="G187" s="49">
        <f>IF(E187="","",K186)</f>
        <v/>
      </c>
      <c r="H187" s="49">
        <f>IF(E187="","",$C$9)</f>
        <v/>
      </c>
      <c r="I187" s="49">
        <f>IF(E187="","",-IPMT($C$5/12,E187,$C$6,$C$4))</f>
        <v/>
      </c>
      <c r="J187" s="49">
        <f>IF(E187="","",-PPMT($C$5/12,E187,$C$6,$C$4))</f>
        <v/>
      </c>
      <c r="K187" s="49">
        <f>IF(E187="","",MAX(0,G187-J187))</f>
        <v/>
      </c>
    </row>
    <row r="188">
      <c r="E188" s="41">
        <f>IF(185&gt;$C$6,"",185)</f>
        <v/>
      </c>
      <c r="F188" s="48">
        <f>IF(E188="","",EDATE($C$7,E188-1))</f>
        <v/>
      </c>
      <c r="G188" s="49">
        <f>IF(E188="","",K187)</f>
        <v/>
      </c>
      <c r="H188" s="49">
        <f>IF(E188="","",$C$9)</f>
        <v/>
      </c>
      <c r="I188" s="49">
        <f>IF(E188="","",-IPMT($C$5/12,E188,$C$6,$C$4))</f>
        <v/>
      </c>
      <c r="J188" s="49">
        <f>IF(E188="","",-PPMT($C$5/12,E188,$C$6,$C$4))</f>
        <v/>
      </c>
      <c r="K188" s="49">
        <f>IF(E188="","",MAX(0,G188-J188))</f>
        <v/>
      </c>
    </row>
    <row r="189">
      <c r="E189" s="41">
        <f>IF(186&gt;$C$6,"",186)</f>
        <v/>
      </c>
      <c r="F189" s="48">
        <f>IF(E189="","",EDATE($C$7,E189-1))</f>
        <v/>
      </c>
      <c r="G189" s="49">
        <f>IF(E189="","",K188)</f>
        <v/>
      </c>
      <c r="H189" s="49">
        <f>IF(E189="","",$C$9)</f>
        <v/>
      </c>
      <c r="I189" s="49">
        <f>IF(E189="","",-IPMT($C$5/12,E189,$C$6,$C$4))</f>
        <v/>
      </c>
      <c r="J189" s="49">
        <f>IF(E189="","",-PPMT($C$5/12,E189,$C$6,$C$4))</f>
        <v/>
      </c>
      <c r="K189" s="49">
        <f>IF(E189="","",MAX(0,G189-J189))</f>
        <v/>
      </c>
    </row>
    <row r="190">
      <c r="E190" s="41">
        <f>IF(187&gt;$C$6,"",187)</f>
        <v/>
      </c>
      <c r="F190" s="48">
        <f>IF(E190="","",EDATE($C$7,E190-1))</f>
        <v/>
      </c>
      <c r="G190" s="49">
        <f>IF(E190="","",K189)</f>
        <v/>
      </c>
      <c r="H190" s="49">
        <f>IF(E190="","",$C$9)</f>
        <v/>
      </c>
      <c r="I190" s="49">
        <f>IF(E190="","",-IPMT($C$5/12,E190,$C$6,$C$4))</f>
        <v/>
      </c>
      <c r="J190" s="49">
        <f>IF(E190="","",-PPMT($C$5/12,E190,$C$6,$C$4))</f>
        <v/>
      </c>
      <c r="K190" s="49">
        <f>IF(E190="","",MAX(0,G190-J190))</f>
        <v/>
      </c>
    </row>
    <row r="191">
      <c r="E191" s="41">
        <f>IF(188&gt;$C$6,"",188)</f>
        <v/>
      </c>
      <c r="F191" s="48">
        <f>IF(E191="","",EDATE($C$7,E191-1))</f>
        <v/>
      </c>
      <c r="G191" s="49">
        <f>IF(E191="","",K190)</f>
        <v/>
      </c>
      <c r="H191" s="49">
        <f>IF(E191="","",$C$9)</f>
        <v/>
      </c>
      <c r="I191" s="49">
        <f>IF(E191="","",-IPMT($C$5/12,E191,$C$6,$C$4))</f>
        <v/>
      </c>
      <c r="J191" s="49">
        <f>IF(E191="","",-PPMT($C$5/12,E191,$C$6,$C$4))</f>
        <v/>
      </c>
      <c r="K191" s="49">
        <f>IF(E191="","",MAX(0,G191-J191))</f>
        <v/>
      </c>
    </row>
    <row r="192">
      <c r="E192" s="41">
        <f>IF(189&gt;$C$6,"",189)</f>
        <v/>
      </c>
      <c r="F192" s="48">
        <f>IF(E192="","",EDATE($C$7,E192-1))</f>
        <v/>
      </c>
      <c r="G192" s="49">
        <f>IF(E192="","",K191)</f>
        <v/>
      </c>
      <c r="H192" s="49">
        <f>IF(E192="","",$C$9)</f>
        <v/>
      </c>
      <c r="I192" s="49">
        <f>IF(E192="","",-IPMT($C$5/12,E192,$C$6,$C$4))</f>
        <v/>
      </c>
      <c r="J192" s="49">
        <f>IF(E192="","",-PPMT($C$5/12,E192,$C$6,$C$4))</f>
        <v/>
      </c>
      <c r="K192" s="49">
        <f>IF(E192="","",MAX(0,G192-J192))</f>
        <v/>
      </c>
    </row>
    <row r="193">
      <c r="E193" s="41">
        <f>IF(190&gt;$C$6,"",190)</f>
        <v/>
      </c>
      <c r="F193" s="48">
        <f>IF(E193="","",EDATE($C$7,E193-1))</f>
        <v/>
      </c>
      <c r="G193" s="49">
        <f>IF(E193="","",K192)</f>
        <v/>
      </c>
      <c r="H193" s="49">
        <f>IF(E193="","",$C$9)</f>
        <v/>
      </c>
      <c r="I193" s="49">
        <f>IF(E193="","",-IPMT($C$5/12,E193,$C$6,$C$4))</f>
        <v/>
      </c>
      <c r="J193" s="49">
        <f>IF(E193="","",-PPMT($C$5/12,E193,$C$6,$C$4))</f>
        <v/>
      </c>
      <c r="K193" s="49">
        <f>IF(E193="","",MAX(0,G193-J193))</f>
        <v/>
      </c>
    </row>
    <row r="194">
      <c r="E194" s="41">
        <f>IF(191&gt;$C$6,"",191)</f>
        <v/>
      </c>
      <c r="F194" s="48">
        <f>IF(E194="","",EDATE($C$7,E194-1))</f>
        <v/>
      </c>
      <c r="G194" s="49">
        <f>IF(E194="","",K193)</f>
        <v/>
      </c>
      <c r="H194" s="49">
        <f>IF(E194="","",$C$9)</f>
        <v/>
      </c>
      <c r="I194" s="49">
        <f>IF(E194="","",-IPMT($C$5/12,E194,$C$6,$C$4))</f>
        <v/>
      </c>
      <c r="J194" s="49">
        <f>IF(E194="","",-PPMT($C$5/12,E194,$C$6,$C$4))</f>
        <v/>
      </c>
      <c r="K194" s="49">
        <f>IF(E194="","",MAX(0,G194-J194))</f>
        <v/>
      </c>
    </row>
    <row r="195">
      <c r="E195" s="41">
        <f>IF(192&gt;$C$6,"",192)</f>
        <v/>
      </c>
      <c r="F195" s="48">
        <f>IF(E195="","",EDATE($C$7,E195-1))</f>
        <v/>
      </c>
      <c r="G195" s="49">
        <f>IF(E195="","",K194)</f>
        <v/>
      </c>
      <c r="H195" s="49">
        <f>IF(E195="","",$C$9)</f>
        <v/>
      </c>
      <c r="I195" s="49">
        <f>IF(E195="","",-IPMT($C$5/12,E195,$C$6,$C$4))</f>
        <v/>
      </c>
      <c r="J195" s="49">
        <f>IF(E195="","",-PPMT($C$5/12,E195,$C$6,$C$4))</f>
        <v/>
      </c>
      <c r="K195" s="49">
        <f>IF(E195="","",MAX(0,G195-J195))</f>
        <v/>
      </c>
    </row>
    <row r="196">
      <c r="E196" s="41">
        <f>IF(193&gt;$C$6,"",193)</f>
        <v/>
      </c>
      <c r="F196" s="48">
        <f>IF(E196="","",EDATE($C$7,E196-1))</f>
        <v/>
      </c>
      <c r="G196" s="49">
        <f>IF(E196="","",K195)</f>
        <v/>
      </c>
      <c r="H196" s="49">
        <f>IF(E196="","",$C$9)</f>
        <v/>
      </c>
      <c r="I196" s="49">
        <f>IF(E196="","",-IPMT($C$5/12,E196,$C$6,$C$4))</f>
        <v/>
      </c>
      <c r="J196" s="49">
        <f>IF(E196="","",-PPMT($C$5/12,E196,$C$6,$C$4))</f>
        <v/>
      </c>
      <c r="K196" s="49">
        <f>IF(E196="","",MAX(0,G196-J196))</f>
        <v/>
      </c>
    </row>
    <row r="197">
      <c r="E197" s="41">
        <f>IF(194&gt;$C$6,"",194)</f>
        <v/>
      </c>
      <c r="F197" s="48">
        <f>IF(E197="","",EDATE($C$7,E197-1))</f>
        <v/>
      </c>
      <c r="G197" s="49">
        <f>IF(E197="","",K196)</f>
        <v/>
      </c>
      <c r="H197" s="49">
        <f>IF(E197="","",$C$9)</f>
        <v/>
      </c>
      <c r="I197" s="49">
        <f>IF(E197="","",-IPMT($C$5/12,E197,$C$6,$C$4))</f>
        <v/>
      </c>
      <c r="J197" s="49">
        <f>IF(E197="","",-PPMT($C$5/12,E197,$C$6,$C$4))</f>
        <v/>
      </c>
      <c r="K197" s="49">
        <f>IF(E197="","",MAX(0,G197-J197))</f>
        <v/>
      </c>
    </row>
    <row r="198">
      <c r="E198" s="41">
        <f>IF(195&gt;$C$6,"",195)</f>
        <v/>
      </c>
      <c r="F198" s="48">
        <f>IF(E198="","",EDATE($C$7,E198-1))</f>
        <v/>
      </c>
      <c r="G198" s="49">
        <f>IF(E198="","",K197)</f>
        <v/>
      </c>
      <c r="H198" s="49">
        <f>IF(E198="","",$C$9)</f>
        <v/>
      </c>
      <c r="I198" s="49">
        <f>IF(E198="","",-IPMT($C$5/12,E198,$C$6,$C$4))</f>
        <v/>
      </c>
      <c r="J198" s="49">
        <f>IF(E198="","",-PPMT($C$5/12,E198,$C$6,$C$4))</f>
        <v/>
      </c>
      <c r="K198" s="49">
        <f>IF(E198="","",MAX(0,G198-J198))</f>
        <v/>
      </c>
    </row>
    <row r="199">
      <c r="E199" s="41">
        <f>IF(196&gt;$C$6,"",196)</f>
        <v/>
      </c>
      <c r="F199" s="48">
        <f>IF(E199="","",EDATE($C$7,E199-1))</f>
        <v/>
      </c>
      <c r="G199" s="49">
        <f>IF(E199="","",K198)</f>
        <v/>
      </c>
      <c r="H199" s="49">
        <f>IF(E199="","",$C$9)</f>
        <v/>
      </c>
      <c r="I199" s="49">
        <f>IF(E199="","",-IPMT($C$5/12,E199,$C$6,$C$4))</f>
        <v/>
      </c>
      <c r="J199" s="49">
        <f>IF(E199="","",-PPMT($C$5/12,E199,$C$6,$C$4))</f>
        <v/>
      </c>
      <c r="K199" s="49">
        <f>IF(E199="","",MAX(0,G199-J199))</f>
        <v/>
      </c>
    </row>
    <row r="200">
      <c r="E200" s="41">
        <f>IF(197&gt;$C$6,"",197)</f>
        <v/>
      </c>
      <c r="F200" s="48">
        <f>IF(E200="","",EDATE($C$7,E200-1))</f>
        <v/>
      </c>
      <c r="G200" s="49">
        <f>IF(E200="","",K199)</f>
        <v/>
      </c>
      <c r="H200" s="49">
        <f>IF(E200="","",$C$9)</f>
        <v/>
      </c>
      <c r="I200" s="49">
        <f>IF(E200="","",-IPMT($C$5/12,E200,$C$6,$C$4))</f>
        <v/>
      </c>
      <c r="J200" s="49">
        <f>IF(E200="","",-PPMT($C$5/12,E200,$C$6,$C$4))</f>
        <v/>
      </c>
      <c r="K200" s="49">
        <f>IF(E200="","",MAX(0,G200-J200))</f>
        <v/>
      </c>
    </row>
    <row r="201">
      <c r="E201" s="41">
        <f>IF(198&gt;$C$6,"",198)</f>
        <v/>
      </c>
      <c r="F201" s="48">
        <f>IF(E201="","",EDATE($C$7,E201-1))</f>
        <v/>
      </c>
      <c r="G201" s="49">
        <f>IF(E201="","",K200)</f>
        <v/>
      </c>
      <c r="H201" s="49">
        <f>IF(E201="","",$C$9)</f>
        <v/>
      </c>
      <c r="I201" s="49">
        <f>IF(E201="","",-IPMT($C$5/12,E201,$C$6,$C$4))</f>
        <v/>
      </c>
      <c r="J201" s="49">
        <f>IF(E201="","",-PPMT($C$5/12,E201,$C$6,$C$4))</f>
        <v/>
      </c>
      <c r="K201" s="49">
        <f>IF(E201="","",MAX(0,G201-J201))</f>
        <v/>
      </c>
    </row>
    <row r="202">
      <c r="E202" s="41">
        <f>IF(199&gt;$C$6,"",199)</f>
        <v/>
      </c>
      <c r="F202" s="48">
        <f>IF(E202="","",EDATE($C$7,E202-1))</f>
        <v/>
      </c>
      <c r="G202" s="49">
        <f>IF(E202="","",K201)</f>
        <v/>
      </c>
      <c r="H202" s="49">
        <f>IF(E202="","",$C$9)</f>
        <v/>
      </c>
      <c r="I202" s="49">
        <f>IF(E202="","",-IPMT($C$5/12,E202,$C$6,$C$4))</f>
        <v/>
      </c>
      <c r="J202" s="49">
        <f>IF(E202="","",-PPMT($C$5/12,E202,$C$6,$C$4))</f>
        <v/>
      </c>
      <c r="K202" s="49">
        <f>IF(E202="","",MAX(0,G202-J202))</f>
        <v/>
      </c>
    </row>
    <row r="203">
      <c r="E203" s="41">
        <f>IF(200&gt;$C$6,"",200)</f>
        <v/>
      </c>
      <c r="F203" s="48">
        <f>IF(E203="","",EDATE($C$7,E203-1))</f>
        <v/>
      </c>
      <c r="G203" s="49">
        <f>IF(E203="","",K202)</f>
        <v/>
      </c>
      <c r="H203" s="49">
        <f>IF(E203="","",$C$9)</f>
        <v/>
      </c>
      <c r="I203" s="49">
        <f>IF(E203="","",-IPMT($C$5/12,E203,$C$6,$C$4))</f>
        <v/>
      </c>
      <c r="J203" s="49">
        <f>IF(E203="","",-PPMT($C$5/12,E203,$C$6,$C$4))</f>
        <v/>
      </c>
      <c r="K203" s="49">
        <f>IF(E203="","",MAX(0,G203-J203))</f>
        <v/>
      </c>
    </row>
    <row r="204">
      <c r="E204" s="41">
        <f>IF(201&gt;$C$6,"",201)</f>
        <v/>
      </c>
      <c r="F204" s="48">
        <f>IF(E204="","",EDATE($C$7,E204-1))</f>
        <v/>
      </c>
      <c r="G204" s="49">
        <f>IF(E204="","",K203)</f>
        <v/>
      </c>
      <c r="H204" s="49">
        <f>IF(E204="","",$C$9)</f>
        <v/>
      </c>
      <c r="I204" s="49">
        <f>IF(E204="","",-IPMT($C$5/12,E204,$C$6,$C$4))</f>
        <v/>
      </c>
      <c r="J204" s="49">
        <f>IF(E204="","",-PPMT($C$5/12,E204,$C$6,$C$4))</f>
        <v/>
      </c>
      <c r="K204" s="49">
        <f>IF(E204="","",MAX(0,G204-J204))</f>
        <v/>
      </c>
    </row>
    <row r="205">
      <c r="E205" s="41">
        <f>IF(202&gt;$C$6,"",202)</f>
        <v/>
      </c>
      <c r="F205" s="48">
        <f>IF(E205="","",EDATE($C$7,E205-1))</f>
        <v/>
      </c>
      <c r="G205" s="49">
        <f>IF(E205="","",K204)</f>
        <v/>
      </c>
      <c r="H205" s="49">
        <f>IF(E205="","",$C$9)</f>
        <v/>
      </c>
      <c r="I205" s="49">
        <f>IF(E205="","",-IPMT($C$5/12,E205,$C$6,$C$4))</f>
        <v/>
      </c>
      <c r="J205" s="49">
        <f>IF(E205="","",-PPMT($C$5/12,E205,$C$6,$C$4))</f>
        <v/>
      </c>
      <c r="K205" s="49">
        <f>IF(E205="","",MAX(0,G205-J205))</f>
        <v/>
      </c>
    </row>
    <row r="206">
      <c r="E206" s="41">
        <f>IF(203&gt;$C$6,"",203)</f>
        <v/>
      </c>
      <c r="F206" s="48">
        <f>IF(E206="","",EDATE($C$7,E206-1))</f>
        <v/>
      </c>
      <c r="G206" s="49">
        <f>IF(E206="","",K205)</f>
        <v/>
      </c>
      <c r="H206" s="49">
        <f>IF(E206="","",$C$9)</f>
        <v/>
      </c>
      <c r="I206" s="49">
        <f>IF(E206="","",-IPMT($C$5/12,E206,$C$6,$C$4))</f>
        <v/>
      </c>
      <c r="J206" s="49">
        <f>IF(E206="","",-PPMT($C$5/12,E206,$C$6,$C$4))</f>
        <v/>
      </c>
      <c r="K206" s="49">
        <f>IF(E206="","",MAX(0,G206-J206))</f>
        <v/>
      </c>
    </row>
    <row r="207">
      <c r="E207" s="41">
        <f>IF(204&gt;$C$6,"",204)</f>
        <v/>
      </c>
      <c r="F207" s="48">
        <f>IF(E207="","",EDATE($C$7,E207-1))</f>
        <v/>
      </c>
      <c r="G207" s="49">
        <f>IF(E207="","",K206)</f>
        <v/>
      </c>
      <c r="H207" s="49">
        <f>IF(E207="","",$C$9)</f>
        <v/>
      </c>
      <c r="I207" s="49">
        <f>IF(E207="","",-IPMT($C$5/12,E207,$C$6,$C$4))</f>
        <v/>
      </c>
      <c r="J207" s="49">
        <f>IF(E207="","",-PPMT($C$5/12,E207,$C$6,$C$4))</f>
        <v/>
      </c>
      <c r="K207" s="49">
        <f>IF(E207="","",MAX(0,G207-J207))</f>
        <v/>
      </c>
    </row>
    <row r="208">
      <c r="E208" s="41">
        <f>IF(205&gt;$C$6,"",205)</f>
        <v/>
      </c>
      <c r="F208" s="48">
        <f>IF(E208="","",EDATE($C$7,E208-1))</f>
        <v/>
      </c>
      <c r="G208" s="49">
        <f>IF(E208="","",K207)</f>
        <v/>
      </c>
      <c r="H208" s="49">
        <f>IF(E208="","",$C$9)</f>
        <v/>
      </c>
      <c r="I208" s="49">
        <f>IF(E208="","",-IPMT($C$5/12,E208,$C$6,$C$4))</f>
        <v/>
      </c>
      <c r="J208" s="49">
        <f>IF(E208="","",-PPMT($C$5/12,E208,$C$6,$C$4))</f>
        <v/>
      </c>
      <c r="K208" s="49">
        <f>IF(E208="","",MAX(0,G208-J208))</f>
        <v/>
      </c>
    </row>
    <row r="209">
      <c r="E209" s="41">
        <f>IF(206&gt;$C$6,"",206)</f>
        <v/>
      </c>
      <c r="F209" s="48">
        <f>IF(E209="","",EDATE($C$7,E209-1))</f>
        <v/>
      </c>
      <c r="G209" s="49">
        <f>IF(E209="","",K208)</f>
        <v/>
      </c>
      <c r="H209" s="49">
        <f>IF(E209="","",$C$9)</f>
        <v/>
      </c>
      <c r="I209" s="49">
        <f>IF(E209="","",-IPMT($C$5/12,E209,$C$6,$C$4))</f>
        <v/>
      </c>
      <c r="J209" s="49">
        <f>IF(E209="","",-PPMT($C$5/12,E209,$C$6,$C$4))</f>
        <v/>
      </c>
      <c r="K209" s="49">
        <f>IF(E209="","",MAX(0,G209-J209))</f>
        <v/>
      </c>
    </row>
    <row r="210">
      <c r="E210" s="41">
        <f>IF(207&gt;$C$6,"",207)</f>
        <v/>
      </c>
      <c r="F210" s="48">
        <f>IF(E210="","",EDATE($C$7,E210-1))</f>
        <v/>
      </c>
      <c r="G210" s="49">
        <f>IF(E210="","",K209)</f>
        <v/>
      </c>
      <c r="H210" s="49">
        <f>IF(E210="","",$C$9)</f>
        <v/>
      </c>
      <c r="I210" s="49">
        <f>IF(E210="","",-IPMT($C$5/12,E210,$C$6,$C$4))</f>
        <v/>
      </c>
      <c r="J210" s="49">
        <f>IF(E210="","",-PPMT($C$5/12,E210,$C$6,$C$4))</f>
        <v/>
      </c>
      <c r="K210" s="49">
        <f>IF(E210="","",MAX(0,G210-J210))</f>
        <v/>
      </c>
    </row>
    <row r="211">
      <c r="E211" s="41">
        <f>IF(208&gt;$C$6,"",208)</f>
        <v/>
      </c>
      <c r="F211" s="48">
        <f>IF(E211="","",EDATE($C$7,E211-1))</f>
        <v/>
      </c>
      <c r="G211" s="49">
        <f>IF(E211="","",K210)</f>
        <v/>
      </c>
      <c r="H211" s="49">
        <f>IF(E211="","",$C$9)</f>
        <v/>
      </c>
      <c r="I211" s="49">
        <f>IF(E211="","",-IPMT($C$5/12,E211,$C$6,$C$4))</f>
        <v/>
      </c>
      <c r="J211" s="49">
        <f>IF(E211="","",-PPMT($C$5/12,E211,$C$6,$C$4))</f>
        <v/>
      </c>
      <c r="K211" s="49">
        <f>IF(E211="","",MAX(0,G211-J211))</f>
        <v/>
      </c>
    </row>
    <row r="212">
      <c r="E212" s="41">
        <f>IF(209&gt;$C$6,"",209)</f>
        <v/>
      </c>
      <c r="F212" s="48">
        <f>IF(E212="","",EDATE($C$7,E212-1))</f>
        <v/>
      </c>
      <c r="G212" s="49">
        <f>IF(E212="","",K211)</f>
        <v/>
      </c>
      <c r="H212" s="49">
        <f>IF(E212="","",$C$9)</f>
        <v/>
      </c>
      <c r="I212" s="49">
        <f>IF(E212="","",-IPMT($C$5/12,E212,$C$6,$C$4))</f>
        <v/>
      </c>
      <c r="J212" s="49">
        <f>IF(E212="","",-PPMT($C$5/12,E212,$C$6,$C$4))</f>
        <v/>
      </c>
      <c r="K212" s="49">
        <f>IF(E212="","",MAX(0,G212-J212))</f>
        <v/>
      </c>
    </row>
    <row r="213">
      <c r="E213" s="41">
        <f>IF(210&gt;$C$6,"",210)</f>
        <v/>
      </c>
      <c r="F213" s="48">
        <f>IF(E213="","",EDATE($C$7,E213-1))</f>
        <v/>
      </c>
      <c r="G213" s="49">
        <f>IF(E213="","",K212)</f>
        <v/>
      </c>
      <c r="H213" s="49">
        <f>IF(E213="","",$C$9)</f>
        <v/>
      </c>
      <c r="I213" s="49">
        <f>IF(E213="","",-IPMT($C$5/12,E213,$C$6,$C$4))</f>
        <v/>
      </c>
      <c r="J213" s="49">
        <f>IF(E213="","",-PPMT($C$5/12,E213,$C$6,$C$4))</f>
        <v/>
      </c>
      <c r="K213" s="49">
        <f>IF(E213="","",MAX(0,G213-J213))</f>
        <v/>
      </c>
    </row>
    <row r="214">
      <c r="E214" s="41">
        <f>IF(211&gt;$C$6,"",211)</f>
        <v/>
      </c>
      <c r="F214" s="48">
        <f>IF(E214="","",EDATE($C$7,E214-1))</f>
        <v/>
      </c>
      <c r="G214" s="49">
        <f>IF(E214="","",K213)</f>
        <v/>
      </c>
      <c r="H214" s="49">
        <f>IF(E214="","",$C$9)</f>
        <v/>
      </c>
      <c r="I214" s="49">
        <f>IF(E214="","",-IPMT($C$5/12,E214,$C$6,$C$4))</f>
        <v/>
      </c>
      <c r="J214" s="49">
        <f>IF(E214="","",-PPMT($C$5/12,E214,$C$6,$C$4))</f>
        <v/>
      </c>
      <c r="K214" s="49">
        <f>IF(E214="","",MAX(0,G214-J214))</f>
        <v/>
      </c>
    </row>
    <row r="215">
      <c r="E215" s="41">
        <f>IF(212&gt;$C$6,"",212)</f>
        <v/>
      </c>
      <c r="F215" s="48">
        <f>IF(E215="","",EDATE($C$7,E215-1))</f>
        <v/>
      </c>
      <c r="G215" s="49">
        <f>IF(E215="","",K214)</f>
        <v/>
      </c>
      <c r="H215" s="49">
        <f>IF(E215="","",$C$9)</f>
        <v/>
      </c>
      <c r="I215" s="49">
        <f>IF(E215="","",-IPMT($C$5/12,E215,$C$6,$C$4))</f>
        <v/>
      </c>
      <c r="J215" s="49">
        <f>IF(E215="","",-PPMT($C$5/12,E215,$C$6,$C$4))</f>
        <v/>
      </c>
      <c r="K215" s="49">
        <f>IF(E215="","",MAX(0,G215-J215))</f>
        <v/>
      </c>
    </row>
    <row r="216">
      <c r="E216" s="41">
        <f>IF(213&gt;$C$6,"",213)</f>
        <v/>
      </c>
      <c r="F216" s="48">
        <f>IF(E216="","",EDATE($C$7,E216-1))</f>
        <v/>
      </c>
      <c r="G216" s="49">
        <f>IF(E216="","",K215)</f>
        <v/>
      </c>
      <c r="H216" s="49">
        <f>IF(E216="","",$C$9)</f>
        <v/>
      </c>
      <c r="I216" s="49">
        <f>IF(E216="","",-IPMT($C$5/12,E216,$C$6,$C$4))</f>
        <v/>
      </c>
      <c r="J216" s="49">
        <f>IF(E216="","",-PPMT($C$5/12,E216,$C$6,$C$4))</f>
        <v/>
      </c>
      <c r="K216" s="49">
        <f>IF(E216="","",MAX(0,G216-J216))</f>
        <v/>
      </c>
    </row>
    <row r="217">
      <c r="E217" s="41">
        <f>IF(214&gt;$C$6,"",214)</f>
        <v/>
      </c>
      <c r="F217" s="48">
        <f>IF(E217="","",EDATE($C$7,E217-1))</f>
        <v/>
      </c>
      <c r="G217" s="49">
        <f>IF(E217="","",K216)</f>
        <v/>
      </c>
      <c r="H217" s="49">
        <f>IF(E217="","",$C$9)</f>
        <v/>
      </c>
      <c r="I217" s="49">
        <f>IF(E217="","",-IPMT($C$5/12,E217,$C$6,$C$4))</f>
        <v/>
      </c>
      <c r="J217" s="49">
        <f>IF(E217="","",-PPMT($C$5/12,E217,$C$6,$C$4))</f>
        <v/>
      </c>
      <c r="K217" s="49">
        <f>IF(E217="","",MAX(0,G217-J217))</f>
        <v/>
      </c>
    </row>
    <row r="218">
      <c r="E218" s="41">
        <f>IF(215&gt;$C$6,"",215)</f>
        <v/>
      </c>
      <c r="F218" s="48">
        <f>IF(E218="","",EDATE($C$7,E218-1))</f>
        <v/>
      </c>
      <c r="G218" s="49">
        <f>IF(E218="","",K217)</f>
        <v/>
      </c>
      <c r="H218" s="49">
        <f>IF(E218="","",$C$9)</f>
        <v/>
      </c>
      <c r="I218" s="49">
        <f>IF(E218="","",-IPMT($C$5/12,E218,$C$6,$C$4))</f>
        <v/>
      </c>
      <c r="J218" s="49">
        <f>IF(E218="","",-PPMT($C$5/12,E218,$C$6,$C$4))</f>
        <v/>
      </c>
      <c r="K218" s="49">
        <f>IF(E218="","",MAX(0,G218-J218))</f>
        <v/>
      </c>
    </row>
    <row r="219">
      <c r="E219" s="41">
        <f>IF(216&gt;$C$6,"",216)</f>
        <v/>
      </c>
      <c r="F219" s="48">
        <f>IF(E219="","",EDATE($C$7,E219-1))</f>
        <v/>
      </c>
      <c r="G219" s="49">
        <f>IF(E219="","",K218)</f>
        <v/>
      </c>
      <c r="H219" s="49">
        <f>IF(E219="","",$C$9)</f>
        <v/>
      </c>
      <c r="I219" s="49">
        <f>IF(E219="","",-IPMT($C$5/12,E219,$C$6,$C$4))</f>
        <v/>
      </c>
      <c r="J219" s="49">
        <f>IF(E219="","",-PPMT($C$5/12,E219,$C$6,$C$4))</f>
        <v/>
      </c>
      <c r="K219" s="49">
        <f>IF(E219="","",MAX(0,G219-J219))</f>
        <v/>
      </c>
    </row>
    <row r="220">
      <c r="E220" s="41">
        <f>IF(217&gt;$C$6,"",217)</f>
        <v/>
      </c>
      <c r="F220" s="48">
        <f>IF(E220="","",EDATE($C$7,E220-1))</f>
        <v/>
      </c>
      <c r="G220" s="49">
        <f>IF(E220="","",K219)</f>
        <v/>
      </c>
      <c r="H220" s="49">
        <f>IF(E220="","",$C$9)</f>
        <v/>
      </c>
      <c r="I220" s="49">
        <f>IF(E220="","",-IPMT($C$5/12,E220,$C$6,$C$4))</f>
        <v/>
      </c>
      <c r="J220" s="49">
        <f>IF(E220="","",-PPMT($C$5/12,E220,$C$6,$C$4))</f>
        <v/>
      </c>
      <c r="K220" s="49">
        <f>IF(E220="","",MAX(0,G220-J220))</f>
        <v/>
      </c>
    </row>
    <row r="221">
      <c r="E221" s="41">
        <f>IF(218&gt;$C$6,"",218)</f>
        <v/>
      </c>
      <c r="F221" s="48">
        <f>IF(E221="","",EDATE($C$7,E221-1))</f>
        <v/>
      </c>
      <c r="G221" s="49">
        <f>IF(E221="","",K220)</f>
        <v/>
      </c>
      <c r="H221" s="49">
        <f>IF(E221="","",$C$9)</f>
        <v/>
      </c>
      <c r="I221" s="49">
        <f>IF(E221="","",-IPMT($C$5/12,E221,$C$6,$C$4))</f>
        <v/>
      </c>
      <c r="J221" s="49">
        <f>IF(E221="","",-PPMT($C$5/12,E221,$C$6,$C$4))</f>
        <v/>
      </c>
      <c r="K221" s="49">
        <f>IF(E221="","",MAX(0,G221-J221))</f>
        <v/>
      </c>
    </row>
    <row r="222">
      <c r="E222" s="41">
        <f>IF(219&gt;$C$6,"",219)</f>
        <v/>
      </c>
      <c r="F222" s="48">
        <f>IF(E222="","",EDATE($C$7,E222-1))</f>
        <v/>
      </c>
      <c r="G222" s="49">
        <f>IF(E222="","",K221)</f>
        <v/>
      </c>
      <c r="H222" s="49">
        <f>IF(E222="","",$C$9)</f>
        <v/>
      </c>
      <c r="I222" s="49">
        <f>IF(E222="","",-IPMT($C$5/12,E222,$C$6,$C$4))</f>
        <v/>
      </c>
      <c r="J222" s="49">
        <f>IF(E222="","",-PPMT($C$5/12,E222,$C$6,$C$4))</f>
        <v/>
      </c>
      <c r="K222" s="49">
        <f>IF(E222="","",MAX(0,G222-J222))</f>
        <v/>
      </c>
    </row>
    <row r="223">
      <c r="E223" s="41">
        <f>IF(220&gt;$C$6,"",220)</f>
        <v/>
      </c>
      <c r="F223" s="48">
        <f>IF(E223="","",EDATE($C$7,E223-1))</f>
        <v/>
      </c>
      <c r="G223" s="49">
        <f>IF(E223="","",K222)</f>
        <v/>
      </c>
      <c r="H223" s="49">
        <f>IF(E223="","",$C$9)</f>
        <v/>
      </c>
      <c r="I223" s="49">
        <f>IF(E223="","",-IPMT($C$5/12,E223,$C$6,$C$4))</f>
        <v/>
      </c>
      <c r="J223" s="49">
        <f>IF(E223="","",-PPMT($C$5/12,E223,$C$6,$C$4))</f>
        <v/>
      </c>
      <c r="K223" s="49">
        <f>IF(E223="","",MAX(0,G223-J223))</f>
        <v/>
      </c>
    </row>
    <row r="224">
      <c r="E224" s="41">
        <f>IF(221&gt;$C$6,"",221)</f>
        <v/>
      </c>
      <c r="F224" s="48">
        <f>IF(E224="","",EDATE($C$7,E224-1))</f>
        <v/>
      </c>
      <c r="G224" s="49">
        <f>IF(E224="","",K223)</f>
        <v/>
      </c>
      <c r="H224" s="49">
        <f>IF(E224="","",$C$9)</f>
        <v/>
      </c>
      <c r="I224" s="49">
        <f>IF(E224="","",-IPMT($C$5/12,E224,$C$6,$C$4))</f>
        <v/>
      </c>
      <c r="J224" s="49">
        <f>IF(E224="","",-PPMT($C$5/12,E224,$C$6,$C$4))</f>
        <v/>
      </c>
      <c r="K224" s="49">
        <f>IF(E224="","",MAX(0,G224-J224))</f>
        <v/>
      </c>
    </row>
    <row r="225">
      <c r="E225" s="41">
        <f>IF(222&gt;$C$6,"",222)</f>
        <v/>
      </c>
      <c r="F225" s="48">
        <f>IF(E225="","",EDATE($C$7,E225-1))</f>
        <v/>
      </c>
      <c r="G225" s="49">
        <f>IF(E225="","",K224)</f>
        <v/>
      </c>
      <c r="H225" s="49">
        <f>IF(E225="","",$C$9)</f>
        <v/>
      </c>
      <c r="I225" s="49">
        <f>IF(E225="","",-IPMT($C$5/12,E225,$C$6,$C$4))</f>
        <v/>
      </c>
      <c r="J225" s="49">
        <f>IF(E225="","",-PPMT($C$5/12,E225,$C$6,$C$4))</f>
        <v/>
      </c>
      <c r="K225" s="49">
        <f>IF(E225="","",MAX(0,G225-J225))</f>
        <v/>
      </c>
    </row>
    <row r="226">
      <c r="E226" s="41">
        <f>IF(223&gt;$C$6,"",223)</f>
        <v/>
      </c>
      <c r="F226" s="48">
        <f>IF(E226="","",EDATE($C$7,E226-1))</f>
        <v/>
      </c>
      <c r="G226" s="49">
        <f>IF(E226="","",K225)</f>
        <v/>
      </c>
      <c r="H226" s="49">
        <f>IF(E226="","",$C$9)</f>
        <v/>
      </c>
      <c r="I226" s="49">
        <f>IF(E226="","",-IPMT($C$5/12,E226,$C$6,$C$4))</f>
        <v/>
      </c>
      <c r="J226" s="49">
        <f>IF(E226="","",-PPMT($C$5/12,E226,$C$6,$C$4))</f>
        <v/>
      </c>
      <c r="K226" s="49">
        <f>IF(E226="","",MAX(0,G226-J226))</f>
        <v/>
      </c>
    </row>
    <row r="227">
      <c r="E227" s="41">
        <f>IF(224&gt;$C$6,"",224)</f>
        <v/>
      </c>
      <c r="F227" s="48">
        <f>IF(E227="","",EDATE($C$7,E227-1))</f>
        <v/>
      </c>
      <c r="G227" s="49">
        <f>IF(E227="","",K226)</f>
        <v/>
      </c>
      <c r="H227" s="49">
        <f>IF(E227="","",$C$9)</f>
        <v/>
      </c>
      <c r="I227" s="49">
        <f>IF(E227="","",-IPMT($C$5/12,E227,$C$6,$C$4))</f>
        <v/>
      </c>
      <c r="J227" s="49">
        <f>IF(E227="","",-PPMT($C$5/12,E227,$C$6,$C$4))</f>
        <v/>
      </c>
      <c r="K227" s="49">
        <f>IF(E227="","",MAX(0,G227-J227))</f>
        <v/>
      </c>
    </row>
    <row r="228">
      <c r="E228" s="41">
        <f>IF(225&gt;$C$6,"",225)</f>
        <v/>
      </c>
      <c r="F228" s="48">
        <f>IF(E228="","",EDATE($C$7,E228-1))</f>
        <v/>
      </c>
      <c r="G228" s="49">
        <f>IF(E228="","",K227)</f>
        <v/>
      </c>
      <c r="H228" s="49">
        <f>IF(E228="","",$C$9)</f>
        <v/>
      </c>
      <c r="I228" s="49">
        <f>IF(E228="","",-IPMT($C$5/12,E228,$C$6,$C$4))</f>
        <v/>
      </c>
      <c r="J228" s="49">
        <f>IF(E228="","",-PPMT($C$5/12,E228,$C$6,$C$4))</f>
        <v/>
      </c>
      <c r="K228" s="49">
        <f>IF(E228="","",MAX(0,G228-J228))</f>
        <v/>
      </c>
    </row>
    <row r="229">
      <c r="E229" s="41">
        <f>IF(226&gt;$C$6,"",226)</f>
        <v/>
      </c>
      <c r="F229" s="48">
        <f>IF(E229="","",EDATE($C$7,E229-1))</f>
        <v/>
      </c>
      <c r="G229" s="49">
        <f>IF(E229="","",K228)</f>
        <v/>
      </c>
      <c r="H229" s="49">
        <f>IF(E229="","",$C$9)</f>
        <v/>
      </c>
      <c r="I229" s="49">
        <f>IF(E229="","",-IPMT($C$5/12,E229,$C$6,$C$4))</f>
        <v/>
      </c>
      <c r="J229" s="49">
        <f>IF(E229="","",-PPMT($C$5/12,E229,$C$6,$C$4))</f>
        <v/>
      </c>
      <c r="K229" s="49">
        <f>IF(E229="","",MAX(0,G229-J229))</f>
        <v/>
      </c>
    </row>
    <row r="230">
      <c r="E230" s="41">
        <f>IF(227&gt;$C$6,"",227)</f>
        <v/>
      </c>
      <c r="F230" s="48">
        <f>IF(E230="","",EDATE($C$7,E230-1))</f>
        <v/>
      </c>
      <c r="G230" s="49">
        <f>IF(E230="","",K229)</f>
        <v/>
      </c>
      <c r="H230" s="49">
        <f>IF(E230="","",$C$9)</f>
        <v/>
      </c>
      <c r="I230" s="49">
        <f>IF(E230="","",-IPMT($C$5/12,E230,$C$6,$C$4))</f>
        <v/>
      </c>
      <c r="J230" s="49">
        <f>IF(E230="","",-PPMT($C$5/12,E230,$C$6,$C$4))</f>
        <v/>
      </c>
      <c r="K230" s="49">
        <f>IF(E230="","",MAX(0,G230-J230))</f>
        <v/>
      </c>
    </row>
    <row r="231">
      <c r="E231" s="41">
        <f>IF(228&gt;$C$6,"",228)</f>
        <v/>
      </c>
      <c r="F231" s="48">
        <f>IF(E231="","",EDATE($C$7,E231-1))</f>
        <v/>
      </c>
      <c r="G231" s="49">
        <f>IF(E231="","",K230)</f>
        <v/>
      </c>
      <c r="H231" s="49">
        <f>IF(E231="","",$C$9)</f>
        <v/>
      </c>
      <c r="I231" s="49">
        <f>IF(E231="","",-IPMT($C$5/12,E231,$C$6,$C$4))</f>
        <v/>
      </c>
      <c r="J231" s="49">
        <f>IF(E231="","",-PPMT($C$5/12,E231,$C$6,$C$4))</f>
        <v/>
      </c>
      <c r="K231" s="49">
        <f>IF(E231="","",MAX(0,G231-J231))</f>
        <v/>
      </c>
    </row>
    <row r="232">
      <c r="E232" s="41">
        <f>IF(229&gt;$C$6,"",229)</f>
        <v/>
      </c>
      <c r="F232" s="48">
        <f>IF(E232="","",EDATE($C$7,E232-1))</f>
        <v/>
      </c>
      <c r="G232" s="49">
        <f>IF(E232="","",K231)</f>
        <v/>
      </c>
      <c r="H232" s="49">
        <f>IF(E232="","",$C$9)</f>
        <v/>
      </c>
      <c r="I232" s="49">
        <f>IF(E232="","",-IPMT($C$5/12,E232,$C$6,$C$4))</f>
        <v/>
      </c>
      <c r="J232" s="49">
        <f>IF(E232="","",-PPMT($C$5/12,E232,$C$6,$C$4))</f>
        <v/>
      </c>
      <c r="K232" s="49">
        <f>IF(E232="","",MAX(0,G232-J232))</f>
        <v/>
      </c>
    </row>
    <row r="233">
      <c r="E233" s="41">
        <f>IF(230&gt;$C$6,"",230)</f>
        <v/>
      </c>
      <c r="F233" s="48">
        <f>IF(E233="","",EDATE($C$7,E233-1))</f>
        <v/>
      </c>
      <c r="G233" s="49">
        <f>IF(E233="","",K232)</f>
        <v/>
      </c>
      <c r="H233" s="49">
        <f>IF(E233="","",$C$9)</f>
        <v/>
      </c>
      <c r="I233" s="49">
        <f>IF(E233="","",-IPMT($C$5/12,E233,$C$6,$C$4))</f>
        <v/>
      </c>
      <c r="J233" s="49">
        <f>IF(E233="","",-PPMT($C$5/12,E233,$C$6,$C$4))</f>
        <v/>
      </c>
      <c r="K233" s="49">
        <f>IF(E233="","",MAX(0,G233-J233))</f>
        <v/>
      </c>
    </row>
    <row r="234">
      <c r="E234" s="41">
        <f>IF(231&gt;$C$6,"",231)</f>
        <v/>
      </c>
      <c r="F234" s="48">
        <f>IF(E234="","",EDATE($C$7,E234-1))</f>
        <v/>
      </c>
      <c r="G234" s="49">
        <f>IF(E234="","",K233)</f>
        <v/>
      </c>
      <c r="H234" s="49">
        <f>IF(E234="","",$C$9)</f>
        <v/>
      </c>
      <c r="I234" s="49">
        <f>IF(E234="","",-IPMT($C$5/12,E234,$C$6,$C$4))</f>
        <v/>
      </c>
      <c r="J234" s="49">
        <f>IF(E234="","",-PPMT($C$5/12,E234,$C$6,$C$4))</f>
        <v/>
      </c>
      <c r="K234" s="49">
        <f>IF(E234="","",MAX(0,G234-J234))</f>
        <v/>
      </c>
    </row>
    <row r="235">
      <c r="E235" s="41">
        <f>IF(232&gt;$C$6,"",232)</f>
        <v/>
      </c>
      <c r="F235" s="48">
        <f>IF(E235="","",EDATE($C$7,E235-1))</f>
        <v/>
      </c>
      <c r="G235" s="49">
        <f>IF(E235="","",K234)</f>
        <v/>
      </c>
      <c r="H235" s="49">
        <f>IF(E235="","",$C$9)</f>
        <v/>
      </c>
      <c r="I235" s="49">
        <f>IF(E235="","",-IPMT($C$5/12,E235,$C$6,$C$4))</f>
        <v/>
      </c>
      <c r="J235" s="49">
        <f>IF(E235="","",-PPMT($C$5/12,E235,$C$6,$C$4))</f>
        <v/>
      </c>
      <c r="K235" s="49">
        <f>IF(E235="","",MAX(0,G235-J235))</f>
        <v/>
      </c>
    </row>
    <row r="236">
      <c r="E236" s="41">
        <f>IF(233&gt;$C$6,"",233)</f>
        <v/>
      </c>
      <c r="F236" s="48">
        <f>IF(E236="","",EDATE($C$7,E236-1))</f>
        <v/>
      </c>
      <c r="G236" s="49">
        <f>IF(E236="","",K235)</f>
        <v/>
      </c>
      <c r="H236" s="49">
        <f>IF(E236="","",$C$9)</f>
        <v/>
      </c>
      <c r="I236" s="49">
        <f>IF(E236="","",-IPMT($C$5/12,E236,$C$6,$C$4))</f>
        <v/>
      </c>
      <c r="J236" s="49">
        <f>IF(E236="","",-PPMT($C$5/12,E236,$C$6,$C$4))</f>
        <v/>
      </c>
      <c r="K236" s="49">
        <f>IF(E236="","",MAX(0,G236-J236))</f>
        <v/>
      </c>
    </row>
    <row r="237">
      <c r="E237" s="41">
        <f>IF(234&gt;$C$6,"",234)</f>
        <v/>
      </c>
      <c r="F237" s="48">
        <f>IF(E237="","",EDATE($C$7,E237-1))</f>
        <v/>
      </c>
      <c r="G237" s="49">
        <f>IF(E237="","",K236)</f>
        <v/>
      </c>
      <c r="H237" s="49">
        <f>IF(E237="","",$C$9)</f>
        <v/>
      </c>
      <c r="I237" s="49">
        <f>IF(E237="","",-IPMT($C$5/12,E237,$C$6,$C$4))</f>
        <v/>
      </c>
      <c r="J237" s="49">
        <f>IF(E237="","",-PPMT($C$5/12,E237,$C$6,$C$4))</f>
        <v/>
      </c>
      <c r="K237" s="49">
        <f>IF(E237="","",MAX(0,G237-J237))</f>
        <v/>
      </c>
    </row>
    <row r="238">
      <c r="E238" s="41">
        <f>IF(235&gt;$C$6,"",235)</f>
        <v/>
      </c>
      <c r="F238" s="48">
        <f>IF(E238="","",EDATE($C$7,E238-1))</f>
        <v/>
      </c>
      <c r="G238" s="49">
        <f>IF(E238="","",K237)</f>
        <v/>
      </c>
      <c r="H238" s="49">
        <f>IF(E238="","",$C$9)</f>
        <v/>
      </c>
      <c r="I238" s="49">
        <f>IF(E238="","",-IPMT($C$5/12,E238,$C$6,$C$4))</f>
        <v/>
      </c>
      <c r="J238" s="49">
        <f>IF(E238="","",-PPMT($C$5/12,E238,$C$6,$C$4))</f>
        <v/>
      </c>
      <c r="K238" s="49">
        <f>IF(E238="","",MAX(0,G238-J238))</f>
        <v/>
      </c>
    </row>
    <row r="239">
      <c r="E239" s="41">
        <f>IF(236&gt;$C$6,"",236)</f>
        <v/>
      </c>
      <c r="F239" s="48">
        <f>IF(E239="","",EDATE($C$7,E239-1))</f>
        <v/>
      </c>
      <c r="G239" s="49">
        <f>IF(E239="","",K238)</f>
        <v/>
      </c>
      <c r="H239" s="49">
        <f>IF(E239="","",$C$9)</f>
        <v/>
      </c>
      <c r="I239" s="49">
        <f>IF(E239="","",-IPMT($C$5/12,E239,$C$6,$C$4))</f>
        <v/>
      </c>
      <c r="J239" s="49">
        <f>IF(E239="","",-PPMT($C$5/12,E239,$C$6,$C$4))</f>
        <v/>
      </c>
      <c r="K239" s="49">
        <f>IF(E239="","",MAX(0,G239-J239))</f>
        <v/>
      </c>
    </row>
    <row r="240">
      <c r="E240" s="41">
        <f>IF(237&gt;$C$6,"",237)</f>
        <v/>
      </c>
      <c r="F240" s="48">
        <f>IF(E240="","",EDATE($C$7,E240-1))</f>
        <v/>
      </c>
      <c r="G240" s="49">
        <f>IF(E240="","",K239)</f>
        <v/>
      </c>
      <c r="H240" s="49">
        <f>IF(E240="","",$C$9)</f>
        <v/>
      </c>
      <c r="I240" s="49">
        <f>IF(E240="","",-IPMT($C$5/12,E240,$C$6,$C$4))</f>
        <v/>
      </c>
      <c r="J240" s="49">
        <f>IF(E240="","",-PPMT($C$5/12,E240,$C$6,$C$4))</f>
        <v/>
      </c>
      <c r="K240" s="49">
        <f>IF(E240="","",MAX(0,G240-J240))</f>
        <v/>
      </c>
    </row>
    <row r="241">
      <c r="E241" s="41">
        <f>IF(238&gt;$C$6,"",238)</f>
        <v/>
      </c>
      <c r="F241" s="48">
        <f>IF(E241="","",EDATE($C$7,E241-1))</f>
        <v/>
      </c>
      <c r="G241" s="49">
        <f>IF(E241="","",K240)</f>
        <v/>
      </c>
      <c r="H241" s="49">
        <f>IF(E241="","",$C$9)</f>
        <v/>
      </c>
      <c r="I241" s="49">
        <f>IF(E241="","",-IPMT($C$5/12,E241,$C$6,$C$4))</f>
        <v/>
      </c>
      <c r="J241" s="49">
        <f>IF(E241="","",-PPMT($C$5/12,E241,$C$6,$C$4))</f>
        <v/>
      </c>
      <c r="K241" s="49">
        <f>IF(E241="","",MAX(0,G241-J241))</f>
        <v/>
      </c>
    </row>
    <row r="242">
      <c r="E242" s="41">
        <f>IF(239&gt;$C$6,"",239)</f>
        <v/>
      </c>
      <c r="F242" s="48">
        <f>IF(E242="","",EDATE($C$7,E242-1))</f>
        <v/>
      </c>
      <c r="G242" s="49">
        <f>IF(E242="","",K241)</f>
        <v/>
      </c>
      <c r="H242" s="49">
        <f>IF(E242="","",$C$9)</f>
        <v/>
      </c>
      <c r="I242" s="49">
        <f>IF(E242="","",-IPMT($C$5/12,E242,$C$6,$C$4))</f>
        <v/>
      </c>
      <c r="J242" s="49">
        <f>IF(E242="","",-PPMT($C$5/12,E242,$C$6,$C$4))</f>
        <v/>
      </c>
      <c r="K242" s="49">
        <f>IF(E242="","",MAX(0,G242-J242))</f>
        <v/>
      </c>
    </row>
    <row r="243">
      <c r="E243" s="41">
        <f>IF(240&gt;$C$6,"",240)</f>
        <v/>
      </c>
      <c r="F243" s="48">
        <f>IF(E243="","",EDATE($C$7,E243-1))</f>
        <v/>
      </c>
      <c r="G243" s="49">
        <f>IF(E243="","",K242)</f>
        <v/>
      </c>
      <c r="H243" s="49">
        <f>IF(E243="","",$C$9)</f>
        <v/>
      </c>
      <c r="I243" s="49">
        <f>IF(E243="","",-IPMT($C$5/12,E243,$C$6,$C$4))</f>
        <v/>
      </c>
      <c r="J243" s="49">
        <f>IF(E243="","",-PPMT($C$5/12,E243,$C$6,$C$4))</f>
        <v/>
      </c>
      <c r="K243" s="49">
        <f>IF(E243="","",MAX(0,G243-J243))</f>
        <v/>
      </c>
    </row>
    <row r="244">
      <c r="E244" s="41">
        <f>IF(241&gt;$C$6,"",241)</f>
        <v/>
      </c>
      <c r="F244" s="48">
        <f>IF(E244="","",EDATE($C$7,E244-1))</f>
        <v/>
      </c>
      <c r="G244" s="49">
        <f>IF(E244="","",K243)</f>
        <v/>
      </c>
      <c r="H244" s="49">
        <f>IF(E244="","",$C$9)</f>
        <v/>
      </c>
      <c r="I244" s="49">
        <f>IF(E244="","",-IPMT($C$5/12,E244,$C$6,$C$4))</f>
        <v/>
      </c>
      <c r="J244" s="49">
        <f>IF(E244="","",-PPMT($C$5/12,E244,$C$6,$C$4))</f>
        <v/>
      </c>
      <c r="K244" s="49">
        <f>IF(E244="","",MAX(0,G244-J244))</f>
        <v/>
      </c>
    </row>
    <row r="245">
      <c r="E245" s="41">
        <f>IF(242&gt;$C$6,"",242)</f>
        <v/>
      </c>
      <c r="F245" s="48">
        <f>IF(E245="","",EDATE($C$7,E245-1))</f>
        <v/>
      </c>
      <c r="G245" s="49">
        <f>IF(E245="","",K244)</f>
        <v/>
      </c>
      <c r="H245" s="49">
        <f>IF(E245="","",$C$9)</f>
        <v/>
      </c>
      <c r="I245" s="49">
        <f>IF(E245="","",-IPMT($C$5/12,E245,$C$6,$C$4))</f>
        <v/>
      </c>
      <c r="J245" s="49">
        <f>IF(E245="","",-PPMT($C$5/12,E245,$C$6,$C$4))</f>
        <v/>
      </c>
      <c r="K245" s="49">
        <f>IF(E245="","",MAX(0,G245-J245))</f>
        <v/>
      </c>
    </row>
    <row r="246">
      <c r="E246" s="41">
        <f>IF(243&gt;$C$6,"",243)</f>
        <v/>
      </c>
      <c r="F246" s="48">
        <f>IF(E246="","",EDATE($C$7,E246-1))</f>
        <v/>
      </c>
      <c r="G246" s="49">
        <f>IF(E246="","",K245)</f>
        <v/>
      </c>
      <c r="H246" s="49">
        <f>IF(E246="","",$C$9)</f>
        <v/>
      </c>
      <c r="I246" s="49">
        <f>IF(E246="","",-IPMT($C$5/12,E246,$C$6,$C$4))</f>
        <v/>
      </c>
      <c r="J246" s="49">
        <f>IF(E246="","",-PPMT($C$5/12,E246,$C$6,$C$4))</f>
        <v/>
      </c>
      <c r="K246" s="49">
        <f>IF(E246="","",MAX(0,G246-J246))</f>
        <v/>
      </c>
    </row>
    <row r="247">
      <c r="E247" s="41">
        <f>IF(244&gt;$C$6,"",244)</f>
        <v/>
      </c>
      <c r="F247" s="48">
        <f>IF(E247="","",EDATE($C$7,E247-1))</f>
        <v/>
      </c>
      <c r="G247" s="49">
        <f>IF(E247="","",K246)</f>
        <v/>
      </c>
      <c r="H247" s="49">
        <f>IF(E247="","",$C$9)</f>
        <v/>
      </c>
      <c r="I247" s="49">
        <f>IF(E247="","",-IPMT($C$5/12,E247,$C$6,$C$4))</f>
        <v/>
      </c>
      <c r="J247" s="49">
        <f>IF(E247="","",-PPMT($C$5/12,E247,$C$6,$C$4))</f>
        <v/>
      </c>
      <c r="K247" s="49">
        <f>IF(E247="","",MAX(0,G247-J247))</f>
        <v/>
      </c>
    </row>
    <row r="248">
      <c r="E248" s="41">
        <f>IF(245&gt;$C$6,"",245)</f>
        <v/>
      </c>
      <c r="F248" s="48">
        <f>IF(E248="","",EDATE($C$7,E248-1))</f>
        <v/>
      </c>
      <c r="G248" s="49">
        <f>IF(E248="","",K247)</f>
        <v/>
      </c>
      <c r="H248" s="49">
        <f>IF(E248="","",$C$9)</f>
        <v/>
      </c>
      <c r="I248" s="49">
        <f>IF(E248="","",-IPMT($C$5/12,E248,$C$6,$C$4))</f>
        <v/>
      </c>
      <c r="J248" s="49">
        <f>IF(E248="","",-PPMT($C$5/12,E248,$C$6,$C$4))</f>
        <v/>
      </c>
      <c r="K248" s="49">
        <f>IF(E248="","",MAX(0,G248-J248))</f>
        <v/>
      </c>
    </row>
    <row r="249">
      <c r="E249" s="41">
        <f>IF(246&gt;$C$6,"",246)</f>
        <v/>
      </c>
      <c r="F249" s="48">
        <f>IF(E249="","",EDATE($C$7,E249-1))</f>
        <v/>
      </c>
      <c r="G249" s="49">
        <f>IF(E249="","",K248)</f>
        <v/>
      </c>
      <c r="H249" s="49">
        <f>IF(E249="","",$C$9)</f>
        <v/>
      </c>
      <c r="I249" s="49">
        <f>IF(E249="","",-IPMT($C$5/12,E249,$C$6,$C$4))</f>
        <v/>
      </c>
      <c r="J249" s="49">
        <f>IF(E249="","",-PPMT($C$5/12,E249,$C$6,$C$4))</f>
        <v/>
      </c>
      <c r="K249" s="49">
        <f>IF(E249="","",MAX(0,G249-J249))</f>
        <v/>
      </c>
    </row>
    <row r="250">
      <c r="E250" s="41">
        <f>IF(247&gt;$C$6,"",247)</f>
        <v/>
      </c>
      <c r="F250" s="48">
        <f>IF(E250="","",EDATE($C$7,E250-1))</f>
        <v/>
      </c>
      <c r="G250" s="49">
        <f>IF(E250="","",K249)</f>
        <v/>
      </c>
      <c r="H250" s="49">
        <f>IF(E250="","",$C$9)</f>
        <v/>
      </c>
      <c r="I250" s="49">
        <f>IF(E250="","",-IPMT($C$5/12,E250,$C$6,$C$4))</f>
        <v/>
      </c>
      <c r="J250" s="49">
        <f>IF(E250="","",-PPMT($C$5/12,E250,$C$6,$C$4))</f>
        <v/>
      </c>
      <c r="K250" s="49">
        <f>IF(E250="","",MAX(0,G250-J250))</f>
        <v/>
      </c>
    </row>
    <row r="251">
      <c r="E251" s="41">
        <f>IF(248&gt;$C$6,"",248)</f>
        <v/>
      </c>
      <c r="F251" s="48">
        <f>IF(E251="","",EDATE($C$7,E251-1))</f>
        <v/>
      </c>
      <c r="G251" s="49">
        <f>IF(E251="","",K250)</f>
        <v/>
      </c>
      <c r="H251" s="49">
        <f>IF(E251="","",$C$9)</f>
        <v/>
      </c>
      <c r="I251" s="49">
        <f>IF(E251="","",-IPMT($C$5/12,E251,$C$6,$C$4))</f>
        <v/>
      </c>
      <c r="J251" s="49">
        <f>IF(E251="","",-PPMT($C$5/12,E251,$C$6,$C$4))</f>
        <v/>
      </c>
      <c r="K251" s="49">
        <f>IF(E251="","",MAX(0,G251-J251))</f>
        <v/>
      </c>
    </row>
    <row r="252">
      <c r="E252" s="41">
        <f>IF(249&gt;$C$6,"",249)</f>
        <v/>
      </c>
      <c r="F252" s="48">
        <f>IF(E252="","",EDATE($C$7,E252-1))</f>
        <v/>
      </c>
      <c r="G252" s="49">
        <f>IF(E252="","",K251)</f>
        <v/>
      </c>
      <c r="H252" s="49">
        <f>IF(E252="","",$C$9)</f>
        <v/>
      </c>
      <c r="I252" s="49">
        <f>IF(E252="","",-IPMT($C$5/12,E252,$C$6,$C$4))</f>
        <v/>
      </c>
      <c r="J252" s="49">
        <f>IF(E252="","",-PPMT($C$5/12,E252,$C$6,$C$4))</f>
        <v/>
      </c>
      <c r="K252" s="49">
        <f>IF(E252="","",MAX(0,G252-J252))</f>
        <v/>
      </c>
    </row>
    <row r="253">
      <c r="E253" s="41">
        <f>IF(250&gt;$C$6,"",250)</f>
        <v/>
      </c>
      <c r="F253" s="48">
        <f>IF(E253="","",EDATE($C$7,E253-1))</f>
        <v/>
      </c>
      <c r="G253" s="49">
        <f>IF(E253="","",K252)</f>
        <v/>
      </c>
      <c r="H253" s="49">
        <f>IF(E253="","",$C$9)</f>
        <v/>
      </c>
      <c r="I253" s="49">
        <f>IF(E253="","",-IPMT($C$5/12,E253,$C$6,$C$4))</f>
        <v/>
      </c>
      <c r="J253" s="49">
        <f>IF(E253="","",-PPMT($C$5/12,E253,$C$6,$C$4))</f>
        <v/>
      </c>
      <c r="K253" s="49">
        <f>IF(E253="","",MAX(0,G253-J253))</f>
        <v/>
      </c>
    </row>
    <row r="254">
      <c r="E254" s="41">
        <f>IF(251&gt;$C$6,"",251)</f>
        <v/>
      </c>
      <c r="F254" s="48">
        <f>IF(E254="","",EDATE($C$7,E254-1))</f>
        <v/>
      </c>
      <c r="G254" s="49">
        <f>IF(E254="","",K253)</f>
        <v/>
      </c>
      <c r="H254" s="49">
        <f>IF(E254="","",$C$9)</f>
        <v/>
      </c>
      <c r="I254" s="49">
        <f>IF(E254="","",-IPMT($C$5/12,E254,$C$6,$C$4))</f>
        <v/>
      </c>
      <c r="J254" s="49">
        <f>IF(E254="","",-PPMT($C$5/12,E254,$C$6,$C$4))</f>
        <v/>
      </c>
      <c r="K254" s="49">
        <f>IF(E254="","",MAX(0,G254-J254))</f>
        <v/>
      </c>
    </row>
    <row r="255">
      <c r="E255" s="41">
        <f>IF(252&gt;$C$6,"",252)</f>
        <v/>
      </c>
      <c r="F255" s="48">
        <f>IF(E255="","",EDATE($C$7,E255-1))</f>
        <v/>
      </c>
      <c r="G255" s="49">
        <f>IF(E255="","",K254)</f>
        <v/>
      </c>
      <c r="H255" s="49">
        <f>IF(E255="","",$C$9)</f>
        <v/>
      </c>
      <c r="I255" s="49">
        <f>IF(E255="","",-IPMT($C$5/12,E255,$C$6,$C$4))</f>
        <v/>
      </c>
      <c r="J255" s="49">
        <f>IF(E255="","",-PPMT($C$5/12,E255,$C$6,$C$4))</f>
        <v/>
      </c>
      <c r="K255" s="49">
        <f>IF(E255="","",MAX(0,G255-J255))</f>
        <v/>
      </c>
    </row>
    <row r="256">
      <c r="E256" s="41">
        <f>IF(253&gt;$C$6,"",253)</f>
        <v/>
      </c>
      <c r="F256" s="48">
        <f>IF(E256="","",EDATE($C$7,E256-1))</f>
        <v/>
      </c>
      <c r="G256" s="49">
        <f>IF(E256="","",K255)</f>
        <v/>
      </c>
      <c r="H256" s="49">
        <f>IF(E256="","",$C$9)</f>
        <v/>
      </c>
      <c r="I256" s="49">
        <f>IF(E256="","",-IPMT($C$5/12,E256,$C$6,$C$4))</f>
        <v/>
      </c>
      <c r="J256" s="49">
        <f>IF(E256="","",-PPMT($C$5/12,E256,$C$6,$C$4))</f>
        <v/>
      </c>
      <c r="K256" s="49">
        <f>IF(E256="","",MAX(0,G256-J256))</f>
        <v/>
      </c>
    </row>
    <row r="257">
      <c r="E257" s="41">
        <f>IF(254&gt;$C$6,"",254)</f>
        <v/>
      </c>
      <c r="F257" s="48">
        <f>IF(E257="","",EDATE($C$7,E257-1))</f>
        <v/>
      </c>
      <c r="G257" s="49">
        <f>IF(E257="","",K256)</f>
        <v/>
      </c>
      <c r="H257" s="49">
        <f>IF(E257="","",$C$9)</f>
        <v/>
      </c>
      <c r="I257" s="49">
        <f>IF(E257="","",-IPMT($C$5/12,E257,$C$6,$C$4))</f>
        <v/>
      </c>
      <c r="J257" s="49">
        <f>IF(E257="","",-PPMT($C$5/12,E257,$C$6,$C$4))</f>
        <v/>
      </c>
      <c r="K257" s="49">
        <f>IF(E257="","",MAX(0,G257-J257))</f>
        <v/>
      </c>
    </row>
    <row r="258">
      <c r="E258" s="41">
        <f>IF(255&gt;$C$6,"",255)</f>
        <v/>
      </c>
      <c r="F258" s="48">
        <f>IF(E258="","",EDATE($C$7,E258-1))</f>
        <v/>
      </c>
      <c r="G258" s="49">
        <f>IF(E258="","",K257)</f>
        <v/>
      </c>
      <c r="H258" s="49">
        <f>IF(E258="","",$C$9)</f>
        <v/>
      </c>
      <c r="I258" s="49">
        <f>IF(E258="","",-IPMT($C$5/12,E258,$C$6,$C$4))</f>
        <v/>
      </c>
      <c r="J258" s="49">
        <f>IF(E258="","",-PPMT($C$5/12,E258,$C$6,$C$4))</f>
        <v/>
      </c>
      <c r="K258" s="49">
        <f>IF(E258="","",MAX(0,G258-J258))</f>
        <v/>
      </c>
    </row>
    <row r="259">
      <c r="E259" s="41">
        <f>IF(256&gt;$C$6,"",256)</f>
        <v/>
      </c>
      <c r="F259" s="48">
        <f>IF(E259="","",EDATE($C$7,E259-1))</f>
        <v/>
      </c>
      <c r="G259" s="49">
        <f>IF(E259="","",K258)</f>
        <v/>
      </c>
      <c r="H259" s="49">
        <f>IF(E259="","",$C$9)</f>
        <v/>
      </c>
      <c r="I259" s="49">
        <f>IF(E259="","",-IPMT($C$5/12,E259,$C$6,$C$4))</f>
        <v/>
      </c>
      <c r="J259" s="49">
        <f>IF(E259="","",-PPMT($C$5/12,E259,$C$6,$C$4))</f>
        <v/>
      </c>
      <c r="K259" s="49">
        <f>IF(E259="","",MAX(0,G259-J259))</f>
        <v/>
      </c>
    </row>
    <row r="260">
      <c r="E260" s="41">
        <f>IF(257&gt;$C$6,"",257)</f>
        <v/>
      </c>
      <c r="F260" s="48">
        <f>IF(E260="","",EDATE($C$7,E260-1))</f>
        <v/>
      </c>
      <c r="G260" s="49">
        <f>IF(E260="","",K259)</f>
        <v/>
      </c>
      <c r="H260" s="49">
        <f>IF(E260="","",$C$9)</f>
        <v/>
      </c>
      <c r="I260" s="49">
        <f>IF(E260="","",-IPMT($C$5/12,E260,$C$6,$C$4))</f>
        <v/>
      </c>
      <c r="J260" s="49">
        <f>IF(E260="","",-PPMT($C$5/12,E260,$C$6,$C$4))</f>
        <v/>
      </c>
      <c r="K260" s="49">
        <f>IF(E260="","",MAX(0,G260-J260))</f>
        <v/>
      </c>
    </row>
    <row r="261">
      <c r="E261" s="41">
        <f>IF(258&gt;$C$6,"",258)</f>
        <v/>
      </c>
      <c r="F261" s="48">
        <f>IF(E261="","",EDATE($C$7,E261-1))</f>
        <v/>
      </c>
      <c r="G261" s="49">
        <f>IF(E261="","",K260)</f>
        <v/>
      </c>
      <c r="H261" s="49">
        <f>IF(E261="","",$C$9)</f>
        <v/>
      </c>
      <c r="I261" s="49">
        <f>IF(E261="","",-IPMT($C$5/12,E261,$C$6,$C$4))</f>
        <v/>
      </c>
      <c r="J261" s="49">
        <f>IF(E261="","",-PPMT($C$5/12,E261,$C$6,$C$4))</f>
        <v/>
      </c>
      <c r="K261" s="49">
        <f>IF(E261="","",MAX(0,G261-J261))</f>
        <v/>
      </c>
    </row>
    <row r="262">
      <c r="E262" s="41">
        <f>IF(259&gt;$C$6,"",259)</f>
        <v/>
      </c>
      <c r="F262" s="48">
        <f>IF(E262="","",EDATE($C$7,E262-1))</f>
        <v/>
      </c>
      <c r="G262" s="49">
        <f>IF(E262="","",K261)</f>
        <v/>
      </c>
      <c r="H262" s="49">
        <f>IF(E262="","",$C$9)</f>
        <v/>
      </c>
      <c r="I262" s="49">
        <f>IF(E262="","",-IPMT($C$5/12,E262,$C$6,$C$4))</f>
        <v/>
      </c>
      <c r="J262" s="49">
        <f>IF(E262="","",-PPMT($C$5/12,E262,$C$6,$C$4))</f>
        <v/>
      </c>
      <c r="K262" s="49">
        <f>IF(E262="","",MAX(0,G262-J262))</f>
        <v/>
      </c>
    </row>
    <row r="263">
      <c r="E263" s="41">
        <f>IF(260&gt;$C$6,"",260)</f>
        <v/>
      </c>
      <c r="F263" s="48">
        <f>IF(E263="","",EDATE($C$7,E263-1))</f>
        <v/>
      </c>
      <c r="G263" s="49">
        <f>IF(E263="","",K262)</f>
        <v/>
      </c>
      <c r="H263" s="49">
        <f>IF(E263="","",$C$9)</f>
        <v/>
      </c>
      <c r="I263" s="49">
        <f>IF(E263="","",-IPMT($C$5/12,E263,$C$6,$C$4))</f>
        <v/>
      </c>
      <c r="J263" s="49">
        <f>IF(E263="","",-PPMT($C$5/12,E263,$C$6,$C$4))</f>
        <v/>
      </c>
      <c r="K263" s="49">
        <f>IF(E263="","",MAX(0,G263-J263))</f>
        <v/>
      </c>
    </row>
    <row r="264">
      <c r="E264" s="41">
        <f>IF(261&gt;$C$6,"",261)</f>
        <v/>
      </c>
      <c r="F264" s="48">
        <f>IF(E264="","",EDATE($C$7,E264-1))</f>
        <v/>
      </c>
      <c r="G264" s="49">
        <f>IF(E264="","",K263)</f>
        <v/>
      </c>
      <c r="H264" s="49">
        <f>IF(E264="","",$C$9)</f>
        <v/>
      </c>
      <c r="I264" s="49">
        <f>IF(E264="","",-IPMT($C$5/12,E264,$C$6,$C$4))</f>
        <v/>
      </c>
      <c r="J264" s="49">
        <f>IF(E264="","",-PPMT($C$5/12,E264,$C$6,$C$4))</f>
        <v/>
      </c>
      <c r="K264" s="49">
        <f>IF(E264="","",MAX(0,G264-J264))</f>
        <v/>
      </c>
    </row>
    <row r="265">
      <c r="E265" s="41">
        <f>IF(262&gt;$C$6,"",262)</f>
        <v/>
      </c>
      <c r="F265" s="48">
        <f>IF(E265="","",EDATE($C$7,E265-1))</f>
        <v/>
      </c>
      <c r="G265" s="49">
        <f>IF(E265="","",K264)</f>
        <v/>
      </c>
      <c r="H265" s="49">
        <f>IF(E265="","",$C$9)</f>
        <v/>
      </c>
      <c r="I265" s="49">
        <f>IF(E265="","",-IPMT($C$5/12,E265,$C$6,$C$4))</f>
        <v/>
      </c>
      <c r="J265" s="49">
        <f>IF(E265="","",-PPMT($C$5/12,E265,$C$6,$C$4))</f>
        <v/>
      </c>
      <c r="K265" s="49">
        <f>IF(E265="","",MAX(0,G265-J265))</f>
        <v/>
      </c>
    </row>
    <row r="266">
      <c r="E266" s="41">
        <f>IF(263&gt;$C$6,"",263)</f>
        <v/>
      </c>
      <c r="F266" s="48">
        <f>IF(E266="","",EDATE($C$7,E266-1))</f>
        <v/>
      </c>
      <c r="G266" s="49">
        <f>IF(E266="","",K265)</f>
        <v/>
      </c>
      <c r="H266" s="49">
        <f>IF(E266="","",$C$9)</f>
        <v/>
      </c>
      <c r="I266" s="49">
        <f>IF(E266="","",-IPMT($C$5/12,E266,$C$6,$C$4))</f>
        <v/>
      </c>
      <c r="J266" s="49">
        <f>IF(E266="","",-PPMT($C$5/12,E266,$C$6,$C$4))</f>
        <v/>
      </c>
      <c r="K266" s="49">
        <f>IF(E266="","",MAX(0,G266-J266))</f>
        <v/>
      </c>
    </row>
    <row r="267">
      <c r="E267" s="41">
        <f>IF(264&gt;$C$6,"",264)</f>
        <v/>
      </c>
      <c r="F267" s="48">
        <f>IF(E267="","",EDATE($C$7,E267-1))</f>
        <v/>
      </c>
      <c r="G267" s="49">
        <f>IF(E267="","",K266)</f>
        <v/>
      </c>
      <c r="H267" s="49">
        <f>IF(E267="","",$C$9)</f>
        <v/>
      </c>
      <c r="I267" s="49">
        <f>IF(E267="","",-IPMT($C$5/12,E267,$C$6,$C$4))</f>
        <v/>
      </c>
      <c r="J267" s="49">
        <f>IF(E267="","",-PPMT($C$5/12,E267,$C$6,$C$4))</f>
        <v/>
      </c>
      <c r="K267" s="49">
        <f>IF(E267="","",MAX(0,G267-J267))</f>
        <v/>
      </c>
    </row>
    <row r="268">
      <c r="E268" s="41">
        <f>IF(265&gt;$C$6,"",265)</f>
        <v/>
      </c>
      <c r="F268" s="48">
        <f>IF(E268="","",EDATE($C$7,E268-1))</f>
        <v/>
      </c>
      <c r="G268" s="49">
        <f>IF(E268="","",K267)</f>
        <v/>
      </c>
      <c r="H268" s="49">
        <f>IF(E268="","",$C$9)</f>
        <v/>
      </c>
      <c r="I268" s="49">
        <f>IF(E268="","",-IPMT($C$5/12,E268,$C$6,$C$4))</f>
        <v/>
      </c>
      <c r="J268" s="49">
        <f>IF(E268="","",-PPMT($C$5/12,E268,$C$6,$C$4))</f>
        <v/>
      </c>
      <c r="K268" s="49">
        <f>IF(E268="","",MAX(0,G268-J268))</f>
        <v/>
      </c>
    </row>
    <row r="269">
      <c r="E269" s="41">
        <f>IF(266&gt;$C$6,"",266)</f>
        <v/>
      </c>
      <c r="F269" s="48">
        <f>IF(E269="","",EDATE($C$7,E269-1))</f>
        <v/>
      </c>
      <c r="G269" s="49">
        <f>IF(E269="","",K268)</f>
        <v/>
      </c>
      <c r="H269" s="49">
        <f>IF(E269="","",$C$9)</f>
        <v/>
      </c>
      <c r="I269" s="49">
        <f>IF(E269="","",-IPMT($C$5/12,E269,$C$6,$C$4))</f>
        <v/>
      </c>
      <c r="J269" s="49">
        <f>IF(E269="","",-PPMT($C$5/12,E269,$C$6,$C$4))</f>
        <v/>
      </c>
      <c r="K269" s="49">
        <f>IF(E269="","",MAX(0,G269-J269))</f>
        <v/>
      </c>
    </row>
    <row r="270">
      <c r="E270" s="41">
        <f>IF(267&gt;$C$6,"",267)</f>
        <v/>
      </c>
      <c r="F270" s="48">
        <f>IF(E270="","",EDATE($C$7,E270-1))</f>
        <v/>
      </c>
      <c r="G270" s="49">
        <f>IF(E270="","",K269)</f>
        <v/>
      </c>
      <c r="H270" s="49">
        <f>IF(E270="","",$C$9)</f>
        <v/>
      </c>
      <c r="I270" s="49">
        <f>IF(E270="","",-IPMT($C$5/12,E270,$C$6,$C$4))</f>
        <v/>
      </c>
      <c r="J270" s="49">
        <f>IF(E270="","",-PPMT($C$5/12,E270,$C$6,$C$4))</f>
        <v/>
      </c>
      <c r="K270" s="49">
        <f>IF(E270="","",MAX(0,G270-J270))</f>
        <v/>
      </c>
    </row>
    <row r="271">
      <c r="E271" s="41">
        <f>IF(268&gt;$C$6,"",268)</f>
        <v/>
      </c>
      <c r="F271" s="48">
        <f>IF(E271="","",EDATE($C$7,E271-1))</f>
        <v/>
      </c>
      <c r="G271" s="49">
        <f>IF(E271="","",K270)</f>
        <v/>
      </c>
      <c r="H271" s="49">
        <f>IF(E271="","",$C$9)</f>
        <v/>
      </c>
      <c r="I271" s="49">
        <f>IF(E271="","",-IPMT($C$5/12,E271,$C$6,$C$4))</f>
        <v/>
      </c>
      <c r="J271" s="49">
        <f>IF(E271="","",-PPMT($C$5/12,E271,$C$6,$C$4))</f>
        <v/>
      </c>
      <c r="K271" s="49">
        <f>IF(E271="","",MAX(0,G271-J271))</f>
        <v/>
      </c>
    </row>
    <row r="272">
      <c r="E272" s="41">
        <f>IF(269&gt;$C$6,"",269)</f>
        <v/>
      </c>
      <c r="F272" s="48">
        <f>IF(E272="","",EDATE($C$7,E272-1))</f>
        <v/>
      </c>
      <c r="G272" s="49">
        <f>IF(E272="","",K271)</f>
        <v/>
      </c>
      <c r="H272" s="49">
        <f>IF(E272="","",$C$9)</f>
        <v/>
      </c>
      <c r="I272" s="49">
        <f>IF(E272="","",-IPMT($C$5/12,E272,$C$6,$C$4))</f>
        <v/>
      </c>
      <c r="J272" s="49">
        <f>IF(E272="","",-PPMT($C$5/12,E272,$C$6,$C$4))</f>
        <v/>
      </c>
      <c r="K272" s="49">
        <f>IF(E272="","",MAX(0,G272-J272))</f>
        <v/>
      </c>
    </row>
    <row r="273">
      <c r="E273" s="41">
        <f>IF(270&gt;$C$6,"",270)</f>
        <v/>
      </c>
      <c r="F273" s="48">
        <f>IF(E273="","",EDATE($C$7,E273-1))</f>
        <v/>
      </c>
      <c r="G273" s="49">
        <f>IF(E273="","",K272)</f>
        <v/>
      </c>
      <c r="H273" s="49">
        <f>IF(E273="","",$C$9)</f>
        <v/>
      </c>
      <c r="I273" s="49">
        <f>IF(E273="","",-IPMT($C$5/12,E273,$C$6,$C$4))</f>
        <v/>
      </c>
      <c r="J273" s="49">
        <f>IF(E273="","",-PPMT($C$5/12,E273,$C$6,$C$4))</f>
        <v/>
      </c>
      <c r="K273" s="49">
        <f>IF(E273="","",MAX(0,G273-J273))</f>
        <v/>
      </c>
    </row>
    <row r="274">
      <c r="E274" s="41">
        <f>IF(271&gt;$C$6,"",271)</f>
        <v/>
      </c>
      <c r="F274" s="48">
        <f>IF(E274="","",EDATE($C$7,E274-1))</f>
        <v/>
      </c>
      <c r="G274" s="49">
        <f>IF(E274="","",K273)</f>
        <v/>
      </c>
      <c r="H274" s="49">
        <f>IF(E274="","",$C$9)</f>
        <v/>
      </c>
      <c r="I274" s="49">
        <f>IF(E274="","",-IPMT($C$5/12,E274,$C$6,$C$4))</f>
        <v/>
      </c>
      <c r="J274" s="49">
        <f>IF(E274="","",-PPMT($C$5/12,E274,$C$6,$C$4))</f>
        <v/>
      </c>
      <c r="K274" s="49">
        <f>IF(E274="","",MAX(0,G274-J274))</f>
        <v/>
      </c>
    </row>
    <row r="275">
      <c r="E275" s="41">
        <f>IF(272&gt;$C$6,"",272)</f>
        <v/>
      </c>
      <c r="F275" s="48">
        <f>IF(E275="","",EDATE($C$7,E275-1))</f>
        <v/>
      </c>
      <c r="G275" s="49">
        <f>IF(E275="","",K274)</f>
        <v/>
      </c>
      <c r="H275" s="49">
        <f>IF(E275="","",$C$9)</f>
        <v/>
      </c>
      <c r="I275" s="49">
        <f>IF(E275="","",-IPMT($C$5/12,E275,$C$6,$C$4))</f>
        <v/>
      </c>
      <c r="J275" s="49">
        <f>IF(E275="","",-PPMT($C$5/12,E275,$C$6,$C$4))</f>
        <v/>
      </c>
      <c r="K275" s="49">
        <f>IF(E275="","",MAX(0,G275-J275))</f>
        <v/>
      </c>
    </row>
    <row r="276">
      <c r="E276" s="41">
        <f>IF(273&gt;$C$6,"",273)</f>
        <v/>
      </c>
      <c r="F276" s="48">
        <f>IF(E276="","",EDATE($C$7,E276-1))</f>
        <v/>
      </c>
      <c r="G276" s="49">
        <f>IF(E276="","",K275)</f>
        <v/>
      </c>
      <c r="H276" s="49">
        <f>IF(E276="","",$C$9)</f>
        <v/>
      </c>
      <c r="I276" s="49">
        <f>IF(E276="","",-IPMT($C$5/12,E276,$C$6,$C$4))</f>
        <v/>
      </c>
      <c r="J276" s="49">
        <f>IF(E276="","",-PPMT($C$5/12,E276,$C$6,$C$4))</f>
        <v/>
      </c>
      <c r="K276" s="49">
        <f>IF(E276="","",MAX(0,G276-J276))</f>
        <v/>
      </c>
    </row>
    <row r="277">
      <c r="E277" s="41">
        <f>IF(274&gt;$C$6,"",274)</f>
        <v/>
      </c>
      <c r="F277" s="48">
        <f>IF(E277="","",EDATE($C$7,E277-1))</f>
        <v/>
      </c>
      <c r="G277" s="49">
        <f>IF(E277="","",K276)</f>
        <v/>
      </c>
      <c r="H277" s="49">
        <f>IF(E277="","",$C$9)</f>
        <v/>
      </c>
      <c r="I277" s="49">
        <f>IF(E277="","",-IPMT($C$5/12,E277,$C$6,$C$4))</f>
        <v/>
      </c>
      <c r="J277" s="49">
        <f>IF(E277="","",-PPMT($C$5/12,E277,$C$6,$C$4))</f>
        <v/>
      </c>
      <c r="K277" s="49">
        <f>IF(E277="","",MAX(0,G277-J277))</f>
        <v/>
      </c>
    </row>
    <row r="278">
      <c r="E278" s="41">
        <f>IF(275&gt;$C$6,"",275)</f>
        <v/>
      </c>
      <c r="F278" s="48">
        <f>IF(E278="","",EDATE($C$7,E278-1))</f>
        <v/>
      </c>
      <c r="G278" s="49">
        <f>IF(E278="","",K277)</f>
        <v/>
      </c>
      <c r="H278" s="49">
        <f>IF(E278="","",$C$9)</f>
        <v/>
      </c>
      <c r="I278" s="49">
        <f>IF(E278="","",-IPMT($C$5/12,E278,$C$6,$C$4))</f>
        <v/>
      </c>
      <c r="J278" s="49">
        <f>IF(E278="","",-PPMT($C$5/12,E278,$C$6,$C$4))</f>
        <v/>
      </c>
      <c r="K278" s="49">
        <f>IF(E278="","",MAX(0,G278-J278))</f>
        <v/>
      </c>
    </row>
    <row r="279">
      <c r="E279" s="41">
        <f>IF(276&gt;$C$6,"",276)</f>
        <v/>
      </c>
      <c r="F279" s="48">
        <f>IF(E279="","",EDATE($C$7,E279-1))</f>
        <v/>
      </c>
      <c r="G279" s="49">
        <f>IF(E279="","",K278)</f>
        <v/>
      </c>
      <c r="H279" s="49">
        <f>IF(E279="","",$C$9)</f>
        <v/>
      </c>
      <c r="I279" s="49">
        <f>IF(E279="","",-IPMT($C$5/12,E279,$C$6,$C$4))</f>
        <v/>
      </c>
      <c r="J279" s="49">
        <f>IF(E279="","",-PPMT($C$5/12,E279,$C$6,$C$4))</f>
        <v/>
      </c>
      <c r="K279" s="49">
        <f>IF(E279="","",MAX(0,G279-J279))</f>
        <v/>
      </c>
    </row>
    <row r="280">
      <c r="E280" s="41">
        <f>IF(277&gt;$C$6,"",277)</f>
        <v/>
      </c>
      <c r="F280" s="48">
        <f>IF(E280="","",EDATE($C$7,E280-1))</f>
        <v/>
      </c>
      <c r="G280" s="49">
        <f>IF(E280="","",K279)</f>
        <v/>
      </c>
      <c r="H280" s="49">
        <f>IF(E280="","",$C$9)</f>
        <v/>
      </c>
      <c r="I280" s="49">
        <f>IF(E280="","",-IPMT($C$5/12,E280,$C$6,$C$4))</f>
        <v/>
      </c>
      <c r="J280" s="49">
        <f>IF(E280="","",-PPMT($C$5/12,E280,$C$6,$C$4))</f>
        <v/>
      </c>
      <c r="K280" s="49">
        <f>IF(E280="","",MAX(0,G280-J280))</f>
        <v/>
      </c>
    </row>
    <row r="281">
      <c r="E281" s="41">
        <f>IF(278&gt;$C$6,"",278)</f>
        <v/>
      </c>
      <c r="F281" s="48">
        <f>IF(E281="","",EDATE($C$7,E281-1))</f>
        <v/>
      </c>
      <c r="G281" s="49">
        <f>IF(E281="","",K280)</f>
        <v/>
      </c>
      <c r="H281" s="49">
        <f>IF(E281="","",$C$9)</f>
        <v/>
      </c>
      <c r="I281" s="49">
        <f>IF(E281="","",-IPMT($C$5/12,E281,$C$6,$C$4))</f>
        <v/>
      </c>
      <c r="J281" s="49">
        <f>IF(E281="","",-PPMT($C$5/12,E281,$C$6,$C$4))</f>
        <v/>
      </c>
      <c r="K281" s="49">
        <f>IF(E281="","",MAX(0,G281-J281))</f>
        <v/>
      </c>
    </row>
    <row r="282">
      <c r="E282" s="41">
        <f>IF(279&gt;$C$6,"",279)</f>
        <v/>
      </c>
      <c r="F282" s="48">
        <f>IF(E282="","",EDATE($C$7,E282-1))</f>
        <v/>
      </c>
      <c r="G282" s="49">
        <f>IF(E282="","",K281)</f>
        <v/>
      </c>
      <c r="H282" s="49">
        <f>IF(E282="","",$C$9)</f>
        <v/>
      </c>
      <c r="I282" s="49">
        <f>IF(E282="","",-IPMT($C$5/12,E282,$C$6,$C$4))</f>
        <v/>
      </c>
      <c r="J282" s="49">
        <f>IF(E282="","",-PPMT($C$5/12,E282,$C$6,$C$4))</f>
        <v/>
      </c>
      <c r="K282" s="49">
        <f>IF(E282="","",MAX(0,G282-J282))</f>
        <v/>
      </c>
    </row>
    <row r="283">
      <c r="E283" s="41">
        <f>IF(280&gt;$C$6,"",280)</f>
        <v/>
      </c>
      <c r="F283" s="48">
        <f>IF(E283="","",EDATE($C$7,E283-1))</f>
        <v/>
      </c>
      <c r="G283" s="49">
        <f>IF(E283="","",K282)</f>
        <v/>
      </c>
      <c r="H283" s="49">
        <f>IF(E283="","",$C$9)</f>
        <v/>
      </c>
      <c r="I283" s="49">
        <f>IF(E283="","",-IPMT($C$5/12,E283,$C$6,$C$4))</f>
        <v/>
      </c>
      <c r="J283" s="49">
        <f>IF(E283="","",-PPMT($C$5/12,E283,$C$6,$C$4))</f>
        <v/>
      </c>
      <c r="K283" s="49">
        <f>IF(E283="","",MAX(0,G283-J283))</f>
        <v/>
      </c>
    </row>
    <row r="284">
      <c r="E284" s="41">
        <f>IF(281&gt;$C$6,"",281)</f>
        <v/>
      </c>
      <c r="F284" s="48">
        <f>IF(E284="","",EDATE($C$7,E284-1))</f>
        <v/>
      </c>
      <c r="G284" s="49">
        <f>IF(E284="","",K283)</f>
        <v/>
      </c>
      <c r="H284" s="49">
        <f>IF(E284="","",$C$9)</f>
        <v/>
      </c>
      <c r="I284" s="49">
        <f>IF(E284="","",-IPMT($C$5/12,E284,$C$6,$C$4))</f>
        <v/>
      </c>
      <c r="J284" s="49">
        <f>IF(E284="","",-PPMT($C$5/12,E284,$C$6,$C$4))</f>
        <v/>
      </c>
      <c r="K284" s="49">
        <f>IF(E284="","",MAX(0,G284-J284))</f>
        <v/>
      </c>
    </row>
    <row r="285">
      <c r="E285" s="41">
        <f>IF(282&gt;$C$6,"",282)</f>
        <v/>
      </c>
      <c r="F285" s="48">
        <f>IF(E285="","",EDATE($C$7,E285-1))</f>
        <v/>
      </c>
      <c r="G285" s="49">
        <f>IF(E285="","",K284)</f>
        <v/>
      </c>
      <c r="H285" s="49">
        <f>IF(E285="","",$C$9)</f>
        <v/>
      </c>
      <c r="I285" s="49">
        <f>IF(E285="","",-IPMT($C$5/12,E285,$C$6,$C$4))</f>
        <v/>
      </c>
      <c r="J285" s="49">
        <f>IF(E285="","",-PPMT($C$5/12,E285,$C$6,$C$4))</f>
        <v/>
      </c>
      <c r="K285" s="49">
        <f>IF(E285="","",MAX(0,G285-J285))</f>
        <v/>
      </c>
    </row>
    <row r="286">
      <c r="E286" s="41">
        <f>IF(283&gt;$C$6,"",283)</f>
        <v/>
      </c>
      <c r="F286" s="48">
        <f>IF(E286="","",EDATE($C$7,E286-1))</f>
        <v/>
      </c>
      <c r="G286" s="49">
        <f>IF(E286="","",K285)</f>
        <v/>
      </c>
      <c r="H286" s="49">
        <f>IF(E286="","",$C$9)</f>
        <v/>
      </c>
      <c r="I286" s="49">
        <f>IF(E286="","",-IPMT($C$5/12,E286,$C$6,$C$4))</f>
        <v/>
      </c>
      <c r="J286" s="49">
        <f>IF(E286="","",-PPMT($C$5/12,E286,$C$6,$C$4))</f>
        <v/>
      </c>
      <c r="K286" s="49">
        <f>IF(E286="","",MAX(0,G286-J286))</f>
        <v/>
      </c>
    </row>
    <row r="287">
      <c r="E287" s="41">
        <f>IF(284&gt;$C$6,"",284)</f>
        <v/>
      </c>
      <c r="F287" s="48">
        <f>IF(E287="","",EDATE($C$7,E287-1))</f>
        <v/>
      </c>
      <c r="G287" s="49">
        <f>IF(E287="","",K286)</f>
        <v/>
      </c>
      <c r="H287" s="49">
        <f>IF(E287="","",$C$9)</f>
        <v/>
      </c>
      <c r="I287" s="49">
        <f>IF(E287="","",-IPMT($C$5/12,E287,$C$6,$C$4))</f>
        <v/>
      </c>
      <c r="J287" s="49">
        <f>IF(E287="","",-PPMT($C$5/12,E287,$C$6,$C$4))</f>
        <v/>
      </c>
      <c r="K287" s="49">
        <f>IF(E287="","",MAX(0,G287-J287))</f>
        <v/>
      </c>
    </row>
    <row r="288">
      <c r="E288" s="41">
        <f>IF(285&gt;$C$6,"",285)</f>
        <v/>
      </c>
      <c r="F288" s="48">
        <f>IF(E288="","",EDATE($C$7,E288-1))</f>
        <v/>
      </c>
      <c r="G288" s="49">
        <f>IF(E288="","",K287)</f>
        <v/>
      </c>
      <c r="H288" s="49">
        <f>IF(E288="","",$C$9)</f>
        <v/>
      </c>
      <c r="I288" s="49">
        <f>IF(E288="","",-IPMT($C$5/12,E288,$C$6,$C$4))</f>
        <v/>
      </c>
      <c r="J288" s="49">
        <f>IF(E288="","",-PPMT($C$5/12,E288,$C$6,$C$4))</f>
        <v/>
      </c>
      <c r="K288" s="49">
        <f>IF(E288="","",MAX(0,G288-J288))</f>
        <v/>
      </c>
    </row>
    <row r="289">
      <c r="E289" s="41">
        <f>IF(286&gt;$C$6,"",286)</f>
        <v/>
      </c>
      <c r="F289" s="48">
        <f>IF(E289="","",EDATE($C$7,E289-1))</f>
        <v/>
      </c>
      <c r="G289" s="49">
        <f>IF(E289="","",K288)</f>
        <v/>
      </c>
      <c r="H289" s="49">
        <f>IF(E289="","",$C$9)</f>
        <v/>
      </c>
      <c r="I289" s="49">
        <f>IF(E289="","",-IPMT($C$5/12,E289,$C$6,$C$4))</f>
        <v/>
      </c>
      <c r="J289" s="49">
        <f>IF(E289="","",-PPMT($C$5/12,E289,$C$6,$C$4))</f>
        <v/>
      </c>
      <c r="K289" s="49">
        <f>IF(E289="","",MAX(0,G289-J289))</f>
        <v/>
      </c>
    </row>
    <row r="290">
      <c r="E290" s="41">
        <f>IF(287&gt;$C$6,"",287)</f>
        <v/>
      </c>
      <c r="F290" s="48">
        <f>IF(E290="","",EDATE($C$7,E290-1))</f>
        <v/>
      </c>
      <c r="G290" s="49">
        <f>IF(E290="","",K289)</f>
        <v/>
      </c>
      <c r="H290" s="49">
        <f>IF(E290="","",$C$9)</f>
        <v/>
      </c>
      <c r="I290" s="49">
        <f>IF(E290="","",-IPMT($C$5/12,E290,$C$6,$C$4))</f>
        <v/>
      </c>
      <c r="J290" s="49">
        <f>IF(E290="","",-PPMT($C$5/12,E290,$C$6,$C$4))</f>
        <v/>
      </c>
      <c r="K290" s="49">
        <f>IF(E290="","",MAX(0,G290-J290))</f>
        <v/>
      </c>
    </row>
    <row r="291">
      <c r="E291" s="41">
        <f>IF(288&gt;$C$6,"",288)</f>
        <v/>
      </c>
      <c r="F291" s="48">
        <f>IF(E291="","",EDATE($C$7,E291-1))</f>
        <v/>
      </c>
      <c r="G291" s="49">
        <f>IF(E291="","",K290)</f>
        <v/>
      </c>
      <c r="H291" s="49">
        <f>IF(E291="","",$C$9)</f>
        <v/>
      </c>
      <c r="I291" s="49">
        <f>IF(E291="","",-IPMT($C$5/12,E291,$C$6,$C$4))</f>
        <v/>
      </c>
      <c r="J291" s="49">
        <f>IF(E291="","",-PPMT($C$5/12,E291,$C$6,$C$4))</f>
        <v/>
      </c>
      <c r="K291" s="49">
        <f>IF(E291="","",MAX(0,G291-J291))</f>
        <v/>
      </c>
    </row>
    <row r="292">
      <c r="E292" s="41">
        <f>IF(289&gt;$C$6,"",289)</f>
        <v/>
      </c>
      <c r="F292" s="48">
        <f>IF(E292="","",EDATE($C$7,E292-1))</f>
        <v/>
      </c>
      <c r="G292" s="49">
        <f>IF(E292="","",K291)</f>
        <v/>
      </c>
      <c r="H292" s="49">
        <f>IF(E292="","",$C$9)</f>
        <v/>
      </c>
      <c r="I292" s="49">
        <f>IF(E292="","",-IPMT($C$5/12,E292,$C$6,$C$4))</f>
        <v/>
      </c>
      <c r="J292" s="49">
        <f>IF(E292="","",-PPMT($C$5/12,E292,$C$6,$C$4))</f>
        <v/>
      </c>
      <c r="K292" s="49">
        <f>IF(E292="","",MAX(0,G292-J292))</f>
        <v/>
      </c>
    </row>
    <row r="293">
      <c r="E293" s="41">
        <f>IF(290&gt;$C$6,"",290)</f>
        <v/>
      </c>
      <c r="F293" s="48">
        <f>IF(E293="","",EDATE($C$7,E293-1))</f>
        <v/>
      </c>
      <c r="G293" s="49">
        <f>IF(E293="","",K292)</f>
        <v/>
      </c>
      <c r="H293" s="49">
        <f>IF(E293="","",$C$9)</f>
        <v/>
      </c>
      <c r="I293" s="49">
        <f>IF(E293="","",-IPMT($C$5/12,E293,$C$6,$C$4))</f>
        <v/>
      </c>
      <c r="J293" s="49">
        <f>IF(E293="","",-PPMT($C$5/12,E293,$C$6,$C$4))</f>
        <v/>
      </c>
      <c r="K293" s="49">
        <f>IF(E293="","",MAX(0,G293-J293))</f>
        <v/>
      </c>
    </row>
    <row r="294">
      <c r="E294" s="41">
        <f>IF(291&gt;$C$6,"",291)</f>
        <v/>
      </c>
      <c r="F294" s="48">
        <f>IF(E294="","",EDATE($C$7,E294-1))</f>
        <v/>
      </c>
      <c r="G294" s="49">
        <f>IF(E294="","",K293)</f>
        <v/>
      </c>
      <c r="H294" s="49">
        <f>IF(E294="","",$C$9)</f>
        <v/>
      </c>
      <c r="I294" s="49">
        <f>IF(E294="","",-IPMT($C$5/12,E294,$C$6,$C$4))</f>
        <v/>
      </c>
      <c r="J294" s="49">
        <f>IF(E294="","",-PPMT($C$5/12,E294,$C$6,$C$4))</f>
        <v/>
      </c>
      <c r="K294" s="49">
        <f>IF(E294="","",MAX(0,G294-J294))</f>
        <v/>
      </c>
    </row>
    <row r="295">
      <c r="E295" s="41">
        <f>IF(292&gt;$C$6,"",292)</f>
        <v/>
      </c>
      <c r="F295" s="48">
        <f>IF(E295="","",EDATE($C$7,E295-1))</f>
        <v/>
      </c>
      <c r="G295" s="49">
        <f>IF(E295="","",K294)</f>
        <v/>
      </c>
      <c r="H295" s="49">
        <f>IF(E295="","",$C$9)</f>
        <v/>
      </c>
      <c r="I295" s="49">
        <f>IF(E295="","",-IPMT($C$5/12,E295,$C$6,$C$4))</f>
        <v/>
      </c>
      <c r="J295" s="49">
        <f>IF(E295="","",-PPMT($C$5/12,E295,$C$6,$C$4))</f>
        <v/>
      </c>
      <c r="K295" s="49">
        <f>IF(E295="","",MAX(0,G295-J295))</f>
        <v/>
      </c>
    </row>
    <row r="296">
      <c r="E296" s="41">
        <f>IF(293&gt;$C$6,"",293)</f>
        <v/>
      </c>
      <c r="F296" s="48">
        <f>IF(E296="","",EDATE($C$7,E296-1))</f>
        <v/>
      </c>
      <c r="G296" s="49">
        <f>IF(E296="","",K295)</f>
        <v/>
      </c>
      <c r="H296" s="49">
        <f>IF(E296="","",$C$9)</f>
        <v/>
      </c>
      <c r="I296" s="49">
        <f>IF(E296="","",-IPMT($C$5/12,E296,$C$6,$C$4))</f>
        <v/>
      </c>
      <c r="J296" s="49">
        <f>IF(E296="","",-PPMT($C$5/12,E296,$C$6,$C$4))</f>
        <v/>
      </c>
      <c r="K296" s="49">
        <f>IF(E296="","",MAX(0,G296-J296))</f>
        <v/>
      </c>
    </row>
    <row r="297">
      <c r="E297" s="41">
        <f>IF(294&gt;$C$6,"",294)</f>
        <v/>
      </c>
      <c r="F297" s="48">
        <f>IF(E297="","",EDATE($C$7,E297-1))</f>
        <v/>
      </c>
      <c r="G297" s="49">
        <f>IF(E297="","",K296)</f>
        <v/>
      </c>
      <c r="H297" s="49">
        <f>IF(E297="","",$C$9)</f>
        <v/>
      </c>
      <c r="I297" s="49">
        <f>IF(E297="","",-IPMT($C$5/12,E297,$C$6,$C$4))</f>
        <v/>
      </c>
      <c r="J297" s="49">
        <f>IF(E297="","",-PPMT($C$5/12,E297,$C$6,$C$4))</f>
        <v/>
      </c>
      <c r="K297" s="49">
        <f>IF(E297="","",MAX(0,G297-J297))</f>
        <v/>
      </c>
    </row>
    <row r="298">
      <c r="E298" s="41">
        <f>IF(295&gt;$C$6,"",295)</f>
        <v/>
      </c>
      <c r="F298" s="48">
        <f>IF(E298="","",EDATE($C$7,E298-1))</f>
        <v/>
      </c>
      <c r="G298" s="49">
        <f>IF(E298="","",K297)</f>
        <v/>
      </c>
      <c r="H298" s="49">
        <f>IF(E298="","",$C$9)</f>
        <v/>
      </c>
      <c r="I298" s="49">
        <f>IF(E298="","",-IPMT($C$5/12,E298,$C$6,$C$4))</f>
        <v/>
      </c>
      <c r="J298" s="49">
        <f>IF(E298="","",-PPMT($C$5/12,E298,$C$6,$C$4))</f>
        <v/>
      </c>
      <c r="K298" s="49">
        <f>IF(E298="","",MAX(0,G298-J298))</f>
        <v/>
      </c>
    </row>
    <row r="299">
      <c r="E299" s="41">
        <f>IF(296&gt;$C$6,"",296)</f>
        <v/>
      </c>
      <c r="F299" s="48">
        <f>IF(E299="","",EDATE($C$7,E299-1))</f>
        <v/>
      </c>
      <c r="G299" s="49">
        <f>IF(E299="","",K298)</f>
        <v/>
      </c>
      <c r="H299" s="49">
        <f>IF(E299="","",$C$9)</f>
        <v/>
      </c>
      <c r="I299" s="49">
        <f>IF(E299="","",-IPMT($C$5/12,E299,$C$6,$C$4))</f>
        <v/>
      </c>
      <c r="J299" s="49">
        <f>IF(E299="","",-PPMT($C$5/12,E299,$C$6,$C$4))</f>
        <v/>
      </c>
      <c r="K299" s="49">
        <f>IF(E299="","",MAX(0,G299-J299))</f>
        <v/>
      </c>
    </row>
    <row r="300">
      <c r="E300" s="41">
        <f>IF(297&gt;$C$6,"",297)</f>
        <v/>
      </c>
      <c r="F300" s="48">
        <f>IF(E300="","",EDATE($C$7,E300-1))</f>
        <v/>
      </c>
      <c r="G300" s="49">
        <f>IF(E300="","",K299)</f>
        <v/>
      </c>
      <c r="H300" s="49">
        <f>IF(E300="","",$C$9)</f>
        <v/>
      </c>
      <c r="I300" s="49">
        <f>IF(E300="","",-IPMT($C$5/12,E300,$C$6,$C$4))</f>
        <v/>
      </c>
      <c r="J300" s="49">
        <f>IF(E300="","",-PPMT($C$5/12,E300,$C$6,$C$4))</f>
        <v/>
      </c>
      <c r="K300" s="49">
        <f>IF(E300="","",MAX(0,G300-J300))</f>
        <v/>
      </c>
    </row>
    <row r="301">
      <c r="E301" s="41">
        <f>IF(298&gt;$C$6,"",298)</f>
        <v/>
      </c>
      <c r="F301" s="48">
        <f>IF(E301="","",EDATE($C$7,E301-1))</f>
        <v/>
      </c>
      <c r="G301" s="49">
        <f>IF(E301="","",K300)</f>
        <v/>
      </c>
      <c r="H301" s="49">
        <f>IF(E301="","",$C$9)</f>
        <v/>
      </c>
      <c r="I301" s="49">
        <f>IF(E301="","",-IPMT($C$5/12,E301,$C$6,$C$4))</f>
        <v/>
      </c>
      <c r="J301" s="49">
        <f>IF(E301="","",-PPMT($C$5/12,E301,$C$6,$C$4))</f>
        <v/>
      </c>
      <c r="K301" s="49">
        <f>IF(E301="","",MAX(0,G301-J301))</f>
        <v/>
      </c>
    </row>
    <row r="302">
      <c r="E302" s="41">
        <f>IF(299&gt;$C$6,"",299)</f>
        <v/>
      </c>
      <c r="F302" s="48">
        <f>IF(E302="","",EDATE($C$7,E302-1))</f>
        <v/>
      </c>
      <c r="G302" s="49">
        <f>IF(E302="","",K301)</f>
        <v/>
      </c>
      <c r="H302" s="49">
        <f>IF(E302="","",$C$9)</f>
        <v/>
      </c>
      <c r="I302" s="49">
        <f>IF(E302="","",-IPMT($C$5/12,E302,$C$6,$C$4))</f>
        <v/>
      </c>
      <c r="J302" s="49">
        <f>IF(E302="","",-PPMT($C$5/12,E302,$C$6,$C$4))</f>
        <v/>
      </c>
      <c r="K302" s="49">
        <f>IF(E302="","",MAX(0,G302-J302))</f>
        <v/>
      </c>
    </row>
    <row r="303">
      <c r="E303" s="41">
        <f>IF(300&gt;$C$6,"",300)</f>
        <v/>
      </c>
      <c r="F303" s="48">
        <f>IF(E303="","",EDATE($C$7,E303-1))</f>
        <v/>
      </c>
      <c r="G303" s="49">
        <f>IF(E303="","",K302)</f>
        <v/>
      </c>
      <c r="H303" s="49">
        <f>IF(E303="","",$C$9)</f>
        <v/>
      </c>
      <c r="I303" s="49">
        <f>IF(E303="","",-IPMT($C$5/12,E303,$C$6,$C$4))</f>
        <v/>
      </c>
      <c r="J303" s="49">
        <f>IF(E303="","",-PPMT($C$5/12,E303,$C$6,$C$4))</f>
        <v/>
      </c>
      <c r="K303" s="49">
        <f>IF(E303="","",MAX(0,G303-J303))</f>
        <v/>
      </c>
    </row>
    <row r="304">
      <c r="E304" s="41">
        <f>IF(301&gt;$C$6,"",301)</f>
        <v/>
      </c>
      <c r="F304" s="48">
        <f>IF(E304="","",EDATE($C$7,E304-1))</f>
        <v/>
      </c>
      <c r="G304" s="49">
        <f>IF(E304="","",K303)</f>
        <v/>
      </c>
      <c r="H304" s="49">
        <f>IF(E304="","",$C$9)</f>
        <v/>
      </c>
      <c r="I304" s="49">
        <f>IF(E304="","",-IPMT($C$5/12,E304,$C$6,$C$4))</f>
        <v/>
      </c>
      <c r="J304" s="49">
        <f>IF(E304="","",-PPMT($C$5/12,E304,$C$6,$C$4))</f>
        <v/>
      </c>
      <c r="K304" s="49">
        <f>IF(E304="","",MAX(0,G304-J304))</f>
        <v/>
      </c>
    </row>
    <row r="305">
      <c r="E305" s="41">
        <f>IF(302&gt;$C$6,"",302)</f>
        <v/>
      </c>
      <c r="F305" s="48">
        <f>IF(E305="","",EDATE($C$7,E305-1))</f>
        <v/>
      </c>
      <c r="G305" s="49">
        <f>IF(E305="","",K304)</f>
        <v/>
      </c>
      <c r="H305" s="49">
        <f>IF(E305="","",$C$9)</f>
        <v/>
      </c>
      <c r="I305" s="49">
        <f>IF(E305="","",-IPMT($C$5/12,E305,$C$6,$C$4))</f>
        <v/>
      </c>
      <c r="J305" s="49">
        <f>IF(E305="","",-PPMT($C$5/12,E305,$C$6,$C$4))</f>
        <v/>
      </c>
      <c r="K305" s="49">
        <f>IF(E305="","",MAX(0,G305-J305))</f>
        <v/>
      </c>
    </row>
    <row r="306">
      <c r="E306" s="41">
        <f>IF(303&gt;$C$6,"",303)</f>
        <v/>
      </c>
      <c r="F306" s="48">
        <f>IF(E306="","",EDATE($C$7,E306-1))</f>
        <v/>
      </c>
      <c r="G306" s="49">
        <f>IF(E306="","",K305)</f>
        <v/>
      </c>
      <c r="H306" s="49">
        <f>IF(E306="","",$C$9)</f>
        <v/>
      </c>
      <c r="I306" s="49">
        <f>IF(E306="","",-IPMT($C$5/12,E306,$C$6,$C$4))</f>
        <v/>
      </c>
      <c r="J306" s="49">
        <f>IF(E306="","",-PPMT($C$5/12,E306,$C$6,$C$4))</f>
        <v/>
      </c>
      <c r="K306" s="49">
        <f>IF(E306="","",MAX(0,G306-J306))</f>
        <v/>
      </c>
    </row>
    <row r="307">
      <c r="E307" s="41">
        <f>IF(304&gt;$C$6,"",304)</f>
        <v/>
      </c>
      <c r="F307" s="48">
        <f>IF(E307="","",EDATE($C$7,E307-1))</f>
        <v/>
      </c>
      <c r="G307" s="49">
        <f>IF(E307="","",K306)</f>
        <v/>
      </c>
      <c r="H307" s="49">
        <f>IF(E307="","",$C$9)</f>
        <v/>
      </c>
      <c r="I307" s="49">
        <f>IF(E307="","",-IPMT($C$5/12,E307,$C$6,$C$4))</f>
        <v/>
      </c>
      <c r="J307" s="49">
        <f>IF(E307="","",-PPMT($C$5/12,E307,$C$6,$C$4))</f>
        <v/>
      </c>
      <c r="K307" s="49">
        <f>IF(E307="","",MAX(0,G307-J307))</f>
        <v/>
      </c>
    </row>
    <row r="308">
      <c r="E308" s="41">
        <f>IF(305&gt;$C$6,"",305)</f>
        <v/>
      </c>
      <c r="F308" s="48">
        <f>IF(E308="","",EDATE($C$7,E308-1))</f>
        <v/>
      </c>
      <c r="G308" s="49">
        <f>IF(E308="","",K307)</f>
        <v/>
      </c>
      <c r="H308" s="49">
        <f>IF(E308="","",$C$9)</f>
        <v/>
      </c>
      <c r="I308" s="49">
        <f>IF(E308="","",-IPMT($C$5/12,E308,$C$6,$C$4))</f>
        <v/>
      </c>
      <c r="J308" s="49">
        <f>IF(E308="","",-PPMT($C$5/12,E308,$C$6,$C$4))</f>
        <v/>
      </c>
      <c r="K308" s="49">
        <f>IF(E308="","",MAX(0,G308-J308))</f>
        <v/>
      </c>
    </row>
    <row r="309">
      <c r="E309" s="41">
        <f>IF(306&gt;$C$6,"",306)</f>
        <v/>
      </c>
      <c r="F309" s="48">
        <f>IF(E309="","",EDATE($C$7,E309-1))</f>
        <v/>
      </c>
      <c r="G309" s="49">
        <f>IF(E309="","",K308)</f>
        <v/>
      </c>
      <c r="H309" s="49">
        <f>IF(E309="","",$C$9)</f>
        <v/>
      </c>
      <c r="I309" s="49">
        <f>IF(E309="","",-IPMT($C$5/12,E309,$C$6,$C$4))</f>
        <v/>
      </c>
      <c r="J309" s="49">
        <f>IF(E309="","",-PPMT($C$5/12,E309,$C$6,$C$4))</f>
        <v/>
      </c>
      <c r="K309" s="49">
        <f>IF(E309="","",MAX(0,G309-J309))</f>
        <v/>
      </c>
    </row>
    <row r="310">
      <c r="E310" s="41">
        <f>IF(307&gt;$C$6,"",307)</f>
        <v/>
      </c>
      <c r="F310" s="48">
        <f>IF(E310="","",EDATE($C$7,E310-1))</f>
        <v/>
      </c>
      <c r="G310" s="49">
        <f>IF(E310="","",K309)</f>
        <v/>
      </c>
      <c r="H310" s="49">
        <f>IF(E310="","",$C$9)</f>
        <v/>
      </c>
      <c r="I310" s="49">
        <f>IF(E310="","",-IPMT($C$5/12,E310,$C$6,$C$4))</f>
        <v/>
      </c>
      <c r="J310" s="49">
        <f>IF(E310="","",-PPMT($C$5/12,E310,$C$6,$C$4))</f>
        <v/>
      </c>
      <c r="K310" s="49">
        <f>IF(E310="","",MAX(0,G310-J310))</f>
        <v/>
      </c>
    </row>
    <row r="311">
      <c r="E311" s="41">
        <f>IF(308&gt;$C$6,"",308)</f>
        <v/>
      </c>
      <c r="F311" s="48">
        <f>IF(E311="","",EDATE($C$7,E311-1))</f>
        <v/>
      </c>
      <c r="G311" s="49">
        <f>IF(E311="","",K310)</f>
        <v/>
      </c>
      <c r="H311" s="49">
        <f>IF(E311="","",$C$9)</f>
        <v/>
      </c>
      <c r="I311" s="49">
        <f>IF(E311="","",-IPMT($C$5/12,E311,$C$6,$C$4))</f>
        <v/>
      </c>
      <c r="J311" s="49">
        <f>IF(E311="","",-PPMT($C$5/12,E311,$C$6,$C$4))</f>
        <v/>
      </c>
      <c r="K311" s="49">
        <f>IF(E311="","",MAX(0,G311-J311))</f>
        <v/>
      </c>
    </row>
    <row r="312">
      <c r="E312" s="41">
        <f>IF(309&gt;$C$6,"",309)</f>
        <v/>
      </c>
      <c r="F312" s="48">
        <f>IF(E312="","",EDATE($C$7,E312-1))</f>
        <v/>
      </c>
      <c r="G312" s="49">
        <f>IF(E312="","",K311)</f>
        <v/>
      </c>
      <c r="H312" s="49">
        <f>IF(E312="","",$C$9)</f>
        <v/>
      </c>
      <c r="I312" s="49">
        <f>IF(E312="","",-IPMT($C$5/12,E312,$C$6,$C$4))</f>
        <v/>
      </c>
      <c r="J312" s="49">
        <f>IF(E312="","",-PPMT($C$5/12,E312,$C$6,$C$4))</f>
        <v/>
      </c>
      <c r="K312" s="49">
        <f>IF(E312="","",MAX(0,G312-J312))</f>
        <v/>
      </c>
    </row>
    <row r="313">
      <c r="E313" s="41">
        <f>IF(310&gt;$C$6,"",310)</f>
        <v/>
      </c>
      <c r="F313" s="48">
        <f>IF(E313="","",EDATE($C$7,E313-1))</f>
        <v/>
      </c>
      <c r="G313" s="49">
        <f>IF(E313="","",K312)</f>
        <v/>
      </c>
      <c r="H313" s="49">
        <f>IF(E313="","",$C$9)</f>
        <v/>
      </c>
      <c r="I313" s="49">
        <f>IF(E313="","",-IPMT($C$5/12,E313,$C$6,$C$4))</f>
        <v/>
      </c>
      <c r="J313" s="49">
        <f>IF(E313="","",-PPMT($C$5/12,E313,$C$6,$C$4))</f>
        <v/>
      </c>
      <c r="K313" s="49">
        <f>IF(E313="","",MAX(0,G313-J313))</f>
        <v/>
      </c>
    </row>
    <row r="314">
      <c r="E314" s="41">
        <f>IF(311&gt;$C$6,"",311)</f>
        <v/>
      </c>
      <c r="F314" s="48">
        <f>IF(E314="","",EDATE($C$7,E314-1))</f>
        <v/>
      </c>
      <c r="G314" s="49">
        <f>IF(E314="","",K313)</f>
        <v/>
      </c>
      <c r="H314" s="49">
        <f>IF(E314="","",$C$9)</f>
        <v/>
      </c>
      <c r="I314" s="49">
        <f>IF(E314="","",-IPMT($C$5/12,E314,$C$6,$C$4))</f>
        <v/>
      </c>
      <c r="J314" s="49">
        <f>IF(E314="","",-PPMT($C$5/12,E314,$C$6,$C$4))</f>
        <v/>
      </c>
      <c r="K314" s="49">
        <f>IF(E314="","",MAX(0,G314-J314))</f>
        <v/>
      </c>
    </row>
    <row r="315">
      <c r="E315" s="41">
        <f>IF(312&gt;$C$6,"",312)</f>
        <v/>
      </c>
      <c r="F315" s="48">
        <f>IF(E315="","",EDATE($C$7,E315-1))</f>
        <v/>
      </c>
      <c r="G315" s="49">
        <f>IF(E315="","",K314)</f>
        <v/>
      </c>
      <c r="H315" s="49">
        <f>IF(E315="","",$C$9)</f>
        <v/>
      </c>
      <c r="I315" s="49">
        <f>IF(E315="","",-IPMT($C$5/12,E315,$C$6,$C$4))</f>
        <v/>
      </c>
      <c r="J315" s="49">
        <f>IF(E315="","",-PPMT($C$5/12,E315,$C$6,$C$4))</f>
        <v/>
      </c>
      <c r="K315" s="49">
        <f>IF(E315="","",MAX(0,G315-J315))</f>
        <v/>
      </c>
    </row>
    <row r="316">
      <c r="E316" s="41">
        <f>IF(313&gt;$C$6,"",313)</f>
        <v/>
      </c>
      <c r="F316" s="48">
        <f>IF(E316="","",EDATE($C$7,E316-1))</f>
        <v/>
      </c>
      <c r="G316" s="49">
        <f>IF(E316="","",K315)</f>
        <v/>
      </c>
      <c r="H316" s="49">
        <f>IF(E316="","",$C$9)</f>
        <v/>
      </c>
      <c r="I316" s="49">
        <f>IF(E316="","",-IPMT($C$5/12,E316,$C$6,$C$4))</f>
        <v/>
      </c>
      <c r="J316" s="49">
        <f>IF(E316="","",-PPMT($C$5/12,E316,$C$6,$C$4))</f>
        <v/>
      </c>
      <c r="K316" s="49">
        <f>IF(E316="","",MAX(0,G316-J316))</f>
        <v/>
      </c>
    </row>
    <row r="317">
      <c r="E317" s="41">
        <f>IF(314&gt;$C$6,"",314)</f>
        <v/>
      </c>
      <c r="F317" s="48">
        <f>IF(E317="","",EDATE($C$7,E317-1))</f>
        <v/>
      </c>
      <c r="G317" s="49">
        <f>IF(E317="","",K316)</f>
        <v/>
      </c>
      <c r="H317" s="49">
        <f>IF(E317="","",$C$9)</f>
        <v/>
      </c>
      <c r="I317" s="49">
        <f>IF(E317="","",-IPMT($C$5/12,E317,$C$6,$C$4))</f>
        <v/>
      </c>
      <c r="J317" s="49">
        <f>IF(E317="","",-PPMT($C$5/12,E317,$C$6,$C$4))</f>
        <v/>
      </c>
      <c r="K317" s="49">
        <f>IF(E317="","",MAX(0,G317-J317))</f>
        <v/>
      </c>
    </row>
    <row r="318">
      <c r="E318" s="41">
        <f>IF(315&gt;$C$6,"",315)</f>
        <v/>
      </c>
      <c r="F318" s="48">
        <f>IF(E318="","",EDATE($C$7,E318-1))</f>
        <v/>
      </c>
      <c r="G318" s="49">
        <f>IF(E318="","",K317)</f>
        <v/>
      </c>
      <c r="H318" s="49">
        <f>IF(E318="","",$C$9)</f>
        <v/>
      </c>
      <c r="I318" s="49">
        <f>IF(E318="","",-IPMT($C$5/12,E318,$C$6,$C$4))</f>
        <v/>
      </c>
      <c r="J318" s="49">
        <f>IF(E318="","",-PPMT($C$5/12,E318,$C$6,$C$4))</f>
        <v/>
      </c>
      <c r="K318" s="49">
        <f>IF(E318="","",MAX(0,G318-J318))</f>
        <v/>
      </c>
    </row>
    <row r="319">
      <c r="E319" s="41">
        <f>IF(316&gt;$C$6,"",316)</f>
        <v/>
      </c>
      <c r="F319" s="48">
        <f>IF(E319="","",EDATE($C$7,E319-1))</f>
        <v/>
      </c>
      <c r="G319" s="49">
        <f>IF(E319="","",K318)</f>
        <v/>
      </c>
      <c r="H319" s="49">
        <f>IF(E319="","",$C$9)</f>
        <v/>
      </c>
      <c r="I319" s="49">
        <f>IF(E319="","",-IPMT($C$5/12,E319,$C$6,$C$4))</f>
        <v/>
      </c>
      <c r="J319" s="49">
        <f>IF(E319="","",-PPMT($C$5/12,E319,$C$6,$C$4))</f>
        <v/>
      </c>
      <c r="K319" s="49">
        <f>IF(E319="","",MAX(0,G319-J319))</f>
        <v/>
      </c>
    </row>
    <row r="320">
      <c r="E320" s="41">
        <f>IF(317&gt;$C$6,"",317)</f>
        <v/>
      </c>
      <c r="F320" s="48">
        <f>IF(E320="","",EDATE($C$7,E320-1))</f>
        <v/>
      </c>
      <c r="G320" s="49">
        <f>IF(E320="","",K319)</f>
        <v/>
      </c>
      <c r="H320" s="49">
        <f>IF(E320="","",$C$9)</f>
        <v/>
      </c>
      <c r="I320" s="49">
        <f>IF(E320="","",-IPMT($C$5/12,E320,$C$6,$C$4))</f>
        <v/>
      </c>
      <c r="J320" s="49">
        <f>IF(E320="","",-PPMT($C$5/12,E320,$C$6,$C$4))</f>
        <v/>
      </c>
      <c r="K320" s="49">
        <f>IF(E320="","",MAX(0,G320-J320))</f>
        <v/>
      </c>
    </row>
    <row r="321">
      <c r="E321" s="41">
        <f>IF(318&gt;$C$6,"",318)</f>
        <v/>
      </c>
      <c r="F321" s="48">
        <f>IF(E321="","",EDATE($C$7,E321-1))</f>
        <v/>
      </c>
      <c r="G321" s="49">
        <f>IF(E321="","",K320)</f>
        <v/>
      </c>
      <c r="H321" s="49">
        <f>IF(E321="","",$C$9)</f>
        <v/>
      </c>
      <c r="I321" s="49">
        <f>IF(E321="","",-IPMT($C$5/12,E321,$C$6,$C$4))</f>
        <v/>
      </c>
      <c r="J321" s="49">
        <f>IF(E321="","",-PPMT($C$5/12,E321,$C$6,$C$4))</f>
        <v/>
      </c>
      <c r="K321" s="49">
        <f>IF(E321="","",MAX(0,G321-J321))</f>
        <v/>
      </c>
    </row>
    <row r="322">
      <c r="E322" s="41">
        <f>IF(319&gt;$C$6,"",319)</f>
        <v/>
      </c>
      <c r="F322" s="48">
        <f>IF(E322="","",EDATE($C$7,E322-1))</f>
        <v/>
      </c>
      <c r="G322" s="49">
        <f>IF(E322="","",K321)</f>
        <v/>
      </c>
      <c r="H322" s="49">
        <f>IF(E322="","",$C$9)</f>
        <v/>
      </c>
      <c r="I322" s="49">
        <f>IF(E322="","",-IPMT($C$5/12,E322,$C$6,$C$4))</f>
        <v/>
      </c>
      <c r="J322" s="49">
        <f>IF(E322="","",-PPMT($C$5/12,E322,$C$6,$C$4))</f>
        <v/>
      </c>
      <c r="K322" s="49">
        <f>IF(E322="","",MAX(0,G322-J322))</f>
        <v/>
      </c>
    </row>
    <row r="323">
      <c r="E323" s="41">
        <f>IF(320&gt;$C$6,"",320)</f>
        <v/>
      </c>
      <c r="F323" s="48">
        <f>IF(E323="","",EDATE($C$7,E323-1))</f>
        <v/>
      </c>
      <c r="G323" s="49">
        <f>IF(E323="","",K322)</f>
        <v/>
      </c>
      <c r="H323" s="49">
        <f>IF(E323="","",$C$9)</f>
        <v/>
      </c>
      <c r="I323" s="49">
        <f>IF(E323="","",-IPMT($C$5/12,E323,$C$6,$C$4))</f>
        <v/>
      </c>
      <c r="J323" s="49">
        <f>IF(E323="","",-PPMT($C$5/12,E323,$C$6,$C$4))</f>
        <v/>
      </c>
      <c r="K323" s="49">
        <f>IF(E323="","",MAX(0,G323-J323))</f>
        <v/>
      </c>
    </row>
    <row r="324">
      <c r="E324" s="41">
        <f>IF(321&gt;$C$6,"",321)</f>
        <v/>
      </c>
      <c r="F324" s="48">
        <f>IF(E324="","",EDATE($C$7,E324-1))</f>
        <v/>
      </c>
      <c r="G324" s="49">
        <f>IF(E324="","",K323)</f>
        <v/>
      </c>
      <c r="H324" s="49">
        <f>IF(E324="","",$C$9)</f>
        <v/>
      </c>
      <c r="I324" s="49">
        <f>IF(E324="","",-IPMT($C$5/12,E324,$C$6,$C$4))</f>
        <v/>
      </c>
      <c r="J324" s="49">
        <f>IF(E324="","",-PPMT($C$5/12,E324,$C$6,$C$4))</f>
        <v/>
      </c>
      <c r="K324" s="49">
        <f>IF(E324="","",MAX(0,G324-J324))</f>
        <v/>
      </c>
    </row>
    <row r="325">
      <c r="E325" s="41">
        <f>IF(322&gt;$C$6,"",322)</f>
        <v/>
      </c>
      <c r="F325" s="48">
        <f>IF(E325="","",EDATE($C$7,E325-1))</f>
        <v/>
      </c>
      <c r="G325" s="49">
        <f>IF(E325="","",K324)</f>
        <v/>
      </c>
      <c r="H325" s="49">
        <f>IF(E325="","",$C$9)</f>
        <v/>
      </c>
      <c r="I325" s="49">
        <f>IF(E325="","",-IPMT($C$5/12,E325,$C$6,$C$4))</f>
        <v/>
      </c>
      <c r="J325" s="49">
        <f>IF(E325="","",-PPMT($C$5/12,E325,$C$6,$C$4))</f>
        <v/>
      </c>
      <c r="K325" s="49">
        <f>IF(E325="","",MAX(0,G325-J325))</f>
        <v/>
      </c>
    </row>
    <row r="326">
      <c r="E326" s="41">
        <f>IF(323&gt;$C$6,"",323)</f>
        <v/>
      </c>
      <c r="F326" s="48">
        <f>IF(E326="","",EDATE($C$7,E326-1))</f>
        <v/>
      </c>
      <c r="G326" s="49">
        <f>IF(E326="","",K325)</f>
        <v/>
      </c>
      <c r="H326" s="49">
        <f>IF(E326="","",$C$9)</f>
        <v/>
      </c>
      <c r="I326" s="49">
        <f>IF(E326="","",-IPMT($C$5/12,E326,$C$6,$C$4))</f>
        <v/>
      </c>
      <c r="J326" s="49">
        <f>IF(E326="","",-PPMT($C$5/12,E326,$C$6,$C$4))</f>
        <v/>
      </c>
      <c r="K326" s="49">
        <f>IF(E326="","",MAX(0,G326-J326))</f>
        <v/>
      </c>
    </row>
    <row r="327">
      <c r="E327" s="41">
        <f>IF(324&gt;$C$6,"",324)</f>
        <v/>
      </c>
      <c r="F327" s="48">
        <f>IF(E327="","",EDATE($C$7,E327-1))</f>
        <v/>
      </c>
      <c r="G327" s="49">
        <f>IF(E327="","",K326)</f>
        <v/>
      </c>
      <c r="H327" s="49">
        <f>IF(E327="","",$C$9)</f>
        <v/>
      </c>
      <c r="I327" s="49">
        <f>IF(E327="","",-IPMT($C$5/12,E327,$C$6,$C$4))</f>
        <v/>
      </c>
      <c r="J327" s="49">
        <f>IF(E327="","",-PPMT($C$5/12,E327,$C$6,$C$4))</f>
        <v/>
      </c>
      <c r="K327" s="49">
        <f>IF(E327="","",MAX(0,G327-J327))</f>
        <v/>
      </c>
    </row>
    <row r="328">
      <c r="E328" s="41">
        <f>IF(325&gt;$C$6,"",325)</f>
        <v/>
      </c>
      <c r="F328" s="48">
        <f>IF(E328="","",EDATE($C$7,E328-1))</f>
        <v/>
      </c>
      <c r="G328" s="49">
        <f>IF(E328="","",K327)</f>
        <v/>
      </c>
      <c r="H328" s="49">
        <f>IF(E328="","",$C$9)</f>
        <v/>
      </c>
      <c r="I328" s="49">
        <f>IF(E328="","",-IPMT($C$5/12,E328,$C$6,$C$4))</f>
        <v/>
      </c>
      <c r="J328" s="49">
        <f>IF(E328="","",-PPMT($C$5/12,E328,$C$6,$C$4))</f>
        <v/>
      </c>
      <c r="K328" s="49">
        <f>IF(E328="","",MAX(0,G328-J328))</f>
        <v/>
      </c>
    </row>
    <row r="329">
      <c r="E329" s="41">
        <f>IF(326&gt;$C$6,"",326)</f>
        <v/>
      </c>
      <c r="F329" s="48">
        <f>IF(E329="","",EDATE($C$7,E329-1))</f>
        <v/>
      </c>
      <c r="G329" s="49">
        <f>IF(E329="","",K328)</f>
        <v/>
      </c>
      <c r="H329" s="49">
        <f>IF(E329="","",$C$9)</f>
        <v/>
      </c>
      <c r="I329" s="49">
        <f>IF(E329="","",-IPMT($C$5/12,E329,$C$6,$C$4))</f>
        <v/>
      </c>
      <c r="J329" s="49">
        <f>IF(E329="","",-PPMT($C$5/12,E329,$C$6,$C$4))</f>
        <v/>
      </c>
      <c r="K329" s="49">
        <f>IF(E329="","",MAX(0,G329-J329))</f>
        <v/>
      </c>
    </row>
    <row r="330">
      <c r="E330" s="41">
        <f>IF(327&gt;$C$6,"",327)</f>
        <v/>
      </c>
      <c r="F330" s="48">
        <f>IF(E330="","",EDATE($C$7,E330-1))</f>
        <v/>
      </c>
      <c r="G330" s="49">
        <f>IF(E330="","",K329)</f>
        <v/>
      </c>
      <c r="H330" s="49">
        <f>IF(E330="","",$C$9)</f>
        <v/>
      </c>
      <c r="I330" s="49">
        <f>IF(E330="","",-IPMT($C$5/12,E330,$C$6,$C$4))</f>
        <v/>
      </c>
      <c r="J330" s="49">
        <f>IF(E330="","",-PPMT($C$5/12,E330,$C$6,$C$4))</f>
        <v/>
      </c>
      <c r="K330" s="49">
        <f>IF(E330="","",MAX(0,G330-J330))</f>
        <v/>
      </c>
    </row>
    <row r="331">
      <c r="E331" s="41">
        <f>IF(328&gt;$C$6,"",328)</f>
        <v/>
      </c>
      <c r="F331" s="48">
        <f>IF(E331="","",EDATE($C$7,E331-1))</f>
        <v/>
      </c>
      <c r="G331" s="49">
        <f>IF(E331="","",K330)</f>
        <v/>
      </c>
      <c r="H331" s="49">
        <f>IF(E331="","",$C$9)</f>
        <v/>
      </c>
      <c r="I331" s="49">
        <f>IF(E331="","",-IPMT($C$5/12,E331,$C$6,$C$4))</f>
        <v/>
      </c>
      <c r="J331" s="49">
        <f>IF(E331="","",-PPMT($C$5/12,E331,$C$6,$C$4))</f>
        <v/>
      </c>
      <c r="K331" s="49">
        <f>IF(E331="","",MAX(0,G331-J331))</f>
        <v/>
      </c>
    </row>
    <row r="332">
      <c r="E332" s="41">
        <f>IF(329&gt;$C$6,"",329)</f>
        <v/>
      </c>
      <c r="F332" s="48">
        <f>IF(E332="","",EDATE($C$7,E332-1))</f>
        <v/>
      </c>
      <c r="G332" s="49">
        <f>IF(E332="","",K331)</f>
        <v/>
      </c>
      <c r="H332" s="49">
        <f>IF(E332="","",$C$9)</f>
        <v/>
      </c>
      <c r="I332" s="49">
        <f>IF(E332="","",-IPMT($C$5/12,E332,$C$6,$C$4))</f>
        <v/>
      </c>
      <c r="J332" s="49">
        <f>IF(E332="","",-PPMT($C$5/12,E332,$C$6,$C$4))</f>
        <v/>
      </c>
      <c r="K332" s="49">
        <f>IF(E332="","",MAX(0,G332-J332))</f>
        <v/>
      </c>
    </row>
    <row r="333">
      <c r="E333" s="41">
        <f>IF(330&gt;$C$6,"",330)</f>
        <v/>
      </c>
      <c r="F333" s="48">
        <f>IF(E333="","",EDATE($C$7,E333-1))</f>
        <v/>
      </c>
      <c r="G333" s="49">
        <f>IF(E333="","",K332)</f>
        <v/>
      </c>
      <c r="H333" s="49">
        <f>IF(E333="","",$C$9)</f>
        <v/>
      </c>
      <c r="I333" s="49">
        <f>IF(E333="","",-IPMT($C$5/12,E333,$C$6,$C$4))</f>
        <v/>
      </c>
      <c r="J333" s="49">
        <f>IF(E333="","",-PPMT($C$5/12,E333,$C$6,$C$4))</f>
        <v/>
      </c>
      <c r="K333" s="49">
        <f>IF(E333="","",MAX(0,G333-J333))</f>
        <v/>
      </c>
    </row>
    <row r="334">
      <c r="E334" s="41">
        <f>IF(331&gt;$C$6,"",331)</f>
        <v/>
      </c>
      <c r="F334" s="48">
        <f>IF(E334="","",EDATE($C$7,E334-1))</f>
        <v/>
      </c>
      <c r="G334" s="49">
        <f>IF(E334="","",K333)</f>
        <v/>
      </c>
      <c r="H334" s="49">
        <f>IF(E334="","",$C$9)</f>
        <v/>
      </c>
      <c r="I334" s="49">
        <f>IF(E334="","",-IPMT($C$5/12,E334,$C$6,$C$4))</f>
        <v/>
      </c>
      <c r="J334" s="49">
        <f>IF(E334="","",-PPMT($C$5/12,E334,$C$6,$C$4))</f>
        <v/>
      </c>
      <c r="K334" s="49">
        <f>IF(E334="","",MAX(0,G334-J334))</f>
        <v/>
      </c>
    </row>
    <row r="335">
      <c r="E335" s="41">
        <f>IF(332&gt;$C$6,"",332)</f>
        <v/>
      </c>
      <c r="F335" s="48">
        <f>IF(E335="","",EDATE($C$7,E335-1))</f>
        <v/>
      </c>
      <c r="G335" s="49">
        <f>IF(E335="","",K334)</f>
        <v/>
      </c>
      <c r="H335" s="49">
        <f>IF(E335="","",$C$9)</f>
        <v/>
      </c>
      <c r="I335" s="49">
        <f>IF(E335="","",-IPMT($C$5/12,E335,$C$6,$C$4))</f>
        <v/>
      </c>
      <c r="J335" s="49">
        <f>IF(E335="","",-PPMT($C$5/12,E335,$C$6,$C$4))</f>
        <v/>
      </c>
      <c r="K335" s="49">
        <f>IF(E335="","",MAX(0,G335-J335))</f>
        <v/>
      </c>
    </row>
    <row r="336">
      <c r="E336" s="41">
        <f>IF(333&gt;$C$6,"",333)</f>
        <v/>
      </c>
      <c r="F336" s="48">
        <f>IF(E336="","",EDATE($C$7,E336-1))</f>
        <v/>
      </c>
      <c r="G336" s="49">
        <f>IF(E336="","",K335)</f>
        <v/>
      </c>
      <c r="H336" s="49">
        <f>IF(E336="","",$C$9)</f>
        <v/>
      </c>
      <c r="I336" s="49">
        <f>IF(E336="","",-IPMT($C$5/12,E336,$C$6,$C$4))</f>
        <v/>
      </c>
      <c r="J336" s="49">
        <f>IF(E336="","",-PPMT($C$5/12,E336,$C$6,$C$4))</f>
        <v/>
      </c>
      <c r="K336" s="49">
        <f>IF(E336="","",MAX(0,G336-J336))</f>
        <v/>
      </c>
    </row>
    <row r="337">
      <c r="E337" s="41">
        <f>IF(334&gt;$C$6,"",334)</f>
        <v/>
      </c>
      <c r="F337" s="48">
        <f>IF(E337="","",EDATE($C$7,E337-1))</f>
        <v/>
      </c>
      <c r="G337" s="49">
        <f>IF(E337="","",K336)</f>
        <v/>
      </c>
      <c r="H337" s="49">
        <f>IF(E337="","",$C$9)</f>
        <v/>
      </c>
      <c r="I337" s="49">
        <f>IF(E337="","",-IPMT($C$5/12,E337,$C$6,$C$4))</f>
        <v/>
      </c>
      <c r="J337" s="49">
        <f>IF(E337="","",-PPMT($C$5/12,E337,$C$6,$C$4))</f>
        <v/>
      </c>
      <c r="K337" s="49">
        <f>IF(E337="","",MAX(0,G337-J337))</f>
        <v/>
      </c>
    </row>
    <row r="338">
      <c r="E338" s="41">
        <f>IF(335&gt;$C$6,"",335)</f>
        <v/>
      </c>
      <c r="F338" s="48">
        <f>IF(E338="","",EDATE($C$7,E338-1))</f>
        <v/>
      </c>
      <c r="G338" s="49">
        <f>IF(E338="","",K337)</f>
        <v/>
      </c>
      <c r="H338" s="49">
        <f>IF(E338="","",$C$9)</f>
        <v/>
      </c>
      <c r="I338" s="49">
        <f>IF(E338="","",-IPMT($C$5/12,E338,$C$6,$C$4))</f>
        <v/>
      </c>
      <c r="J338" s="49">
        <f>IF(E338="","",-PPMT($C$5/12,E338,$C$6,$C$4))</f>
        <v/>
      </c>
      <c r="K338" s="49">
        <f>IF(E338="","",MAX(0,G338-J338))</f>
        <v/>
      </c>
    </row>
    <row r="339">
      <c r="E339" s="41">
        <f>IF(336&gt;$C$6,"",336)</f>
        <v/>
      </c>
      <c r="F339" s="48">
        <f>IF(E339="","",EDATE($C$7,E339-1))</f>
        <v/>
      </c>
      <c r="G339" s="49">
        <f>IF(E339="","",K338)</f>
        <v/>
      </c>
      <c r="H339" s="49">
        <f>IF(E339="","",$C$9)</f>
        <v/>
      </c>
      <c r="I339" s="49">
        <f>IF(E339="","",-IPMT($C$5/12,E339,$C$6,$C$4))</f>
        <v/>
      </c>
      <c r="J339" s="49">
        <f>IF(E339="","",-PPMT($C$5/12,E339,$C$6,$C$4))</f>
        <v/>
      </c>
      <c r="K339" s="49">
        <f>IF(E339="","",MAX(0,G339-J339))</f>
        <v/>
      </c>
    </row>
    <row r="340">
      <c r="E340" s="41">
        <f>IF(337&gt;$C$6,"",337)</f>
        <v/>
      </c>
      <c r="F340" s="48">
        <f>IF(E340="","",EDATE($C$7,E340-1))</f>
        <v/>
      </c>
      <c r="G340" s="49">
        <f>IF(E340="","",K339)</f>
        <v/>
      </c>
      <c r="H340" s="49">
        <f>IF(E340="","",$C$9)</f>
        <v/>
      </c>
      <c r="I340" s="49">
        <f>IF(E340="","",-IPMT($C$5/12,E340,$C$6,$C$4))</f>
        <v/>
      </c>
      <c r="J340" s="49">
        <f>IF(E340="","",-PPMT($C$5/12,E340,$C$6,$C$4))</f>
        <v/>
      </c>
      <c r="K340" s="49">
        <f>IF(E340="","",MAX(0,G340-J340))</f>
        <v/>
      </c>
    </row>
    <row r="341">
      <c r="E341" s="41">
        <f>IF(338&gt;$C$6,"",338)</f>
        <v/>
      </c>
      <c r="F341" s="48">
        <f>IF(E341="","",EDATE($C$7,E341-1))</f>
        <v/>
      </c>
      <c r="G341" s="49">
        <f>IF(E341="","",K340)</f>
        <v/>
      </c>
      <c r="H341" s="49">
        <f>IF(E341="","",$C$9)</f>
        <v/>
      </c>
      <c r="I341" s="49">
        <f>IF(E341="","",-IPMT($C$5/12,E341,$C$6,$C$4))</f>
        <v/>
      </c>
      <c r="J341" s="49">
        <f>IF(E341="","",-PPMT($C$5/12,E341,$C$6,$C$4))</f>
        <v/>
      </c>
      <c r="K341" s="49">
        <f>IF(E341="","",MAX(0,G341-J341))</f>
        <v/>
      </c>
    </row>
    <row r="342">
      <c r="E342" s="41">
        <f>IF(339&gt;$C$6,"",339)</f>
        <v/>
      </c>
      <c r="F342" s="48">
        <f>IF(E342="","",EDATE($C$7,E342-1))</f>
        <v/>
      </c>
      <c r="G342" s="49">
        <f>IF(E342="","",K341)</f>
        <v/>
      </c>
      <c r="H342" s="49">
        <f>IF(E342="","",$C$9)</f>
        <v/>
      </c>
      <c r="I342" s="49">
        <f>IF(E342="","",-IPMT($C$5/12,E342,$C$6,$C$4))</f>
        <v/>
      </c>
      <c r="J342" s="49">
        <f>IF(E342="","",-PPMT($C$5/12,E342,$C$6,$C$4))</f>
        <v/>
      </c>
      <c r="K342" s="49">
        <f>IF(E342="","",MAX(0,G342-J342))</f>
        <v/>
      </c>
    </row>
    <row r="343">
      <c r="E343" s="41">
        <f>IF(340&gt;$C$6,"",340)</f>
        <v/>
      </c>
      <c r="F343" s="48">
        <f>IF(E343="","",EDATE($C$7,E343-1))</f>
        <v/>
      </c>
      <c r="G343" s="49">
        <f>IF(E343="","",K342)</f>
        <v/>
      </c>
      <c r="H343" s="49">
        <f>IF(E343="","",$C$9)</f>
        <v/>
      </c>
      <c r="I343" s="49">
        <f>IF(E343="","",-IPMT($C$5/12,E343,$C$6,$C$4))</f>
        <v/>
      </c>
      <c r="J343" s="49">
        <f>IF(E343="","",-PPMT($C$5/12,E343,$C$6,$C$4))</f>
        <v/>
      </c>
      <c r="K343" s="49">
        <f>IF(E343="","",MAX(0,G343-J343))</f>
        <v/>
      </c>
    </row>
    <row r="344">
      <c r="E344" s="41">
        <f>IF(341&gt;$C$6,"",341)</f>
        <v/>
      </c>
      <c r="F344" s="48">
        <f>IF(E344="","",EDATE($C$7,E344-1))</f>
        <v/>
      </c>
      <c r="G344" s="49">
        <f>IF(E344="","",K343)</f>
        <v/>
      </c>
      <c r="H344" s="49">
        <f>IF(E344="","",$C$9)</f>
        <v/>
      </c>
      <c r="I344" s="49">
        <f>IF(E344="","",-IPMT($C$5/12,E344,$C$6,$C$4))</f>
        <v/>
      </c>
      <c r="J344" s="49">
        <f>IF(E344="","",-PPMT($C$5/12,E344,$C$6,$C$4))</f>
        <v/>
      </c>
      <c r="K344" s="49">
        <f>IF(E344="","",MAX(0,G344-J344))</f>
        <v/>
      </c>
    </row>
    <row r="345">
      <c r="E345" s="41">
        <f>IF(342&gt;$C$6,"",342)</f>
        <v/>
      </c>
      <c r="F345" s="48">
        <f>IF(E345="","",EDATE($C$7,E345-1))</f>
        <v/>
      </c>
      <c r="G345" s="49">
        <f>IF(E345="","",K344)</f>
        <v/>
      </c>
      <c r="H345" s="49">
        <f>IF(E345="","",$C$9)</f>
        <v/>
      </c>
      <c r="I345" s="49">
        <f>IF(E345="","",-IPMT($C$5/12,E345,$C$6,$C$4))</f>
        <v/>
      </c>
      <c r="J345" s="49">
        <f>IF(E345="","",-PPMT($C$5/12,E345,$C$6,$C$4))</f>
        <v/>
      </c>
      <c r="K345" s="49">
        <f>IF(E345="","",MAX(0,G345-J345))</f>
        <v/>
      </c>
    </row>
    <row r="346">
      <c r="E346" s="41">
        <f>IF(343&gt;$C$6,"",343)</f>
        <v/>
      </c>
      <c r="F346" s="48">
        <f>IF(E346="","",EDATE($C$7,E346-1))</f>
        <v/>
      </c>
      <c r="G346" s="49">
        <f>IF(E346="","",K345)</f>
        <v/>
      </c>
      <c r="H346" s="49">
        <f>IF(E346="","",$C$9)</f>
        <v/>
      </c>
      <c r="I346" s="49">
        <f>IF(E346="","",-IPMT($C$5/12,E346,$C$6,$C$4))</f>
        <v/>
      </c>
      <c r="J346" s="49">
        <f>IF(E346="","",-PPMT($C$5/12,E346,$C$6,$C$4))</f>
        <v/>
      </c>
      <c r="K346" s="49">
        <f>IF(E346="","",MAX(0,G346-J346))</f>
        <v/>
      </c>
    </row>
    <row r="347">
      <c r="E347" s="41">
        <f>IF(344&gt;$C$6,"",344)</f>
        <v/>
      </c>
      <c r="F347" s="48">
        <f>IF(E347="","",EDATE($C$7,E347-1))</f>
        <v/>
      </c>
      <c r="G347" s="49">
        <f>IF(E347="","",K346)</f>
        <v/>
      </c>
      <c r="H347" s="49">
        <f>IF(E347="","",$C$9)</f>
        <v/>
      </c>
      <c r="I347" s="49">
        <f>IF(E347="","",-IPMT($C$5/12,E347,$C$6,$C$4))</f>
        <v/>
      </c>
      <c r="J347" s="49">
        <f>IF(E347="","",-PPMT($C$5/12,E347,$C$6,$C$4))</f>
        <v/>
      </c>
      <c r="K347" s="49">
        <f>IF(E347="","",MAX(0,G347-J347))</f>
        <v/>
      </c>
    </row>
    <row r="348">
      <c r="E348" s="41">
        <f>IF(345&gt;$C$6,"",345)</f>
        <v/>
      </c>
      <c r="F348" s="48">
        <f>IF(E348="","",EDATE($C$7,E348-1))</f>
        <v/>
      </c>
      <c r="G348" s="49">
        <f>IF(E348="","",K347)</f>
        <v/>
      </c>
      <c r="H348" s="49">
        <f>IF(E348="","",$C$9)</f>
        <v/>
      </c>
      <c r="I348" s="49">
        <f>IF(E348="","",-IPMT($C$5/12,E348,$C$6,$C$4))</f>
        <v/>
      </c>
      <c r="J348" s="49">
        <f>IF(E348="","",-PPMT($C$5/12,E348,$C$6,$C$4))</f>
        <v/>
      </c>
      <c r="K348" s="49">
        <f>IF(E348="","",MAX(0,G348-J348))</f>
        <v/>
      </c>
    </row>
    <row r="349">
      <c r="E349" s="41">
        <f>IF(346&gt;$C$6,"",346)</f>
        <v/>
      </c>
      <c r="F349" s="48">
        <f>IF(E349="","",EDATE($C$7,E349-1))</f>
        <v/>
      </c>
      <c r="G349" s="49">
        <f>IF(E349="","",K348)</f>
        <v/>
      </c>
      <c r="H349" s="49">
        <f>IF(E349="","",$C$9)</f>
        <v/>
      </c>
      <c r="I349" s="49">
        <f>IF(E349="","",-IPMT($C$5/12,E349,$C$6,$C$4))</f>
        <v/>
      </c>
      <c r="J349" s="49">
        <f>IF(E349="","",-PPMT($C$5/12,E349,$C$6,$C$4))</f>
        <v/>
      </c>
      <c r="K349" s="49">
        <f>IF(E349="","",MAX(0,G349-J349))</f>
        <v/>
      </c>
    </row>
    <row r="350">
      <c r="E350" s="41">
        <f>IF(347&gt;$C$6,"",347)</f>
        <v/>
      </c>
      <c r="F350" s="48">
        <f>IF(E350="","",EDATE($C$7,E350-1))</f>
        <v/>
      </c>
      <c r="G350" s="49">
        <f>IF(E350="","",K349)</f>
        <v/>
      </c>
      <c r="H350" s="49">
        <f>IF(E350="","",$C$9)</f>
        <v/>
      </c>
      <c r="I350" s="49">
        <f>IF(E350="","",-IPMT($C$5/12,E350,$C$6,$C$4))</f>
        <v/>
      </c>
      <c r="J350" s="49">
        <f>IF(E350="","",-PPMT($C$5/12,E350,$C$6,$C$4))</f>
        <v/>
      </c>
      <c r="K350" s="49">
        <f>IF(E350="","",MAX(0,G350-J350))</f>
        <v/>
      </c>
    </row>
    <row r="351">
      <c r="E351" s="41">
        <f>IF(348&gt;$C$6,"",348)</f>
        <v/>
      </c>
      <c r="F351" s="48">
        <f>IF(E351="","",EDATE($C$7,E351-1))</f>
        <v/>
      </c>
      <c r="G351" s="49">
        <f>IF(E351="","",K350)</f>
        <v/>
      </c>
      <c r="H351" s="49">
        <f>IF(E351="","",$C$9)</f>
        <v/>
      </c>
      <c r="I351" s="49">
        <f>IF(E351="","",-IPMT($C$5/12,E351,$C$6,$C$4))</f>
        <v/>
      </c>
      <c r="J351" s="49">
        <f>IF(E351="","",-PPMT($C$5/12,E351,$C$6,$C$4))</f>
        <v/>
      </c>
      <c r="K351" s="49">
        <f>IF(E351="","",MAX(0,G351-J351))</f>
        <v/>
      </c>
    </row>
    <row r="352">
      <c r="E352" s="41">
        <f>IF(349&gt;$C$6,"",349)</f>
        <v/>
      </c>
      <c r="F352" s="48">
        <f>IF(E352="","",EDATE($C$7,E352-1))</f>
        <v/>
      </c>
      <c r="G352" s="49">
        <f>IF(E352="","",K351)</f>
        <v/>
      </c>
      <c r="H352" s="49">
        <f>IF(E352="","",$C$9)</f>
        <v/>
      </c>
      <c r="I352" s="49">
        <f>IF(E352="","",-IPMT($C$5/12,E352,$C$6,$C$4))</f>
        <v/>
      </c>
      <c r="J352" s="49">
        <f>IF(E352="","",-PPMT($C$5/12,E352,$C$6,$C$4))</f>
        <v/>
      </c>
      <c r="K352" s="49">
        <f>IF(E352="","",MAX(0,G352-J352))</f>
        <v/>
      </c>
    </row>
    <row r="353">
      <c r="E353" s="41">
        <f>IF(350&gt;$C$6,"",350)</f>
        <v/>
      </c>
      <c r="F353" s="48">
        <f>IF(E353="","",EDATE($C$7,E353-1))</f>
        <v/>
      </c>
      <c r="G353" s="49">
        <f>IF(E353="","",K352)</f>
        <v/>
      </c>
      <c r="H353" s="49">
        <f>IF(E353="","",$C$9)</f>
        <v/>
      </c>
      <c r="I353" s="49">
        <f>IF(E353="","",-IPMT($C$5/12,E353,$C$6,$C$4))</f>
        <v/>
      </c>
      <c r="J353" s="49">
        <f>IF(E353="","",-PPMT($C$5/12,E353,$C$6,$C$4))</f>
        <v/>
      </c>
      <c r="K353" s="49">
        <f>IF(E353="","",MAX(0,G353-J353))</f>
        <v/>
      </c>
    </row>
    <row r="354">
      <c r="E354" s="41">
        <f>IF(351&gt;$C$6,"",351)</f>
        <v/>
      </c>
      <c r="F354" s="48">
        <f>IF(E354="","",EDATE($C$7,E354-1))</f>
        <v/>
      </c>
      <c r="G354" s="49">
        <f>IF(E354="","",K353)</f>
        <v/>
      </c>
      <c r="H354" s="49">
        <f>IF(E354="","",$C$9)</f>
        <v/>
      </c>
      <c r="I354" s="49">
        <f>IF(E354="","",-IPMT($C$5/12,E354,$C$6,$C$4))</f>
        <v/>
      </c>
      <c r="J354" s="49">
        <f>IF(E354="","",-PPMT($C$5/12,E354,$C$6,$C$4))</f>
        <v/>
      </c>
      <c r="K354" s="49">
        <f>IF(E354="","",MAX(0,G354-J354))</f>
        <v/>
      </c>
    </row>
    <row r="355">
      <c r="E355" s="41">
        <f>IF(352&gt;$C$6,"",352)</f>
        <v/>
      </c>
      <c r="F355" s="48">
        <f>IF(E355="","",EDATE($C$7,E355-1))</f>
        <v/>
      </c>
      <c r="G355" s="49">
        <f>IF(E355="","",K354)</f>
        <v/>
      </c>
      <c r="H355" s="49">
        <f>IF(E355="","",$C$9)</f>
        <v/>
      </c>
      <c r="I355" s="49">
        <f>IF(E355="","",-IPMT($C$5/12,E355,$C$6,$C$4))</f>
        <v/>
      </c>
      <c r="J355" s="49">
        <f>IF(E355="","",-PPMT($C$5/12,E355,$C$6,$C$4))</f>
        <v/>
      </c>
      <c r="K355" s="49">
        <f>IF(E355="","",MAX(0,G355-J355))</f>
        <v/>
      </c>
    </row>
    <row r="356">
      <c r="E356" s="41">
        <f>IF(353&gt;$C$6,"",353)</f>
        <v/>
      </c>
      <c r="F356" s="48">
        <f>IF(E356="","",EDATE($C$7,E356-1))</f>
        <v/>
      </c>
      <c r="G356" s="49">
        <f>IF(E356="","",K355)</f>
        <v/>
      </c>
      <c r="H356" s="49">
        <f>IF(E356="","",$C$9)</f>
        <v/>
      </c>
      <c r="I356" s="49">
        <f>IF(E356="","",-IPMT($C$5/12,E356,$C$6,$C$4))</f>
        <v/>
      </c>
      <c r="J356" s="49">
        <f>IF(E356="","",-PPMT($C$5/12,E356,$C$6,$C$4))</f>
        <v/>
      </c>
      <c r="K356" s="49">
        <f>IF(E356="","",MAX(0,G356-J356))</f>
        <v/>
      </c>
    </row>
    <row r="357">
      <c r="E357" s="41">
        <f>IF(354&gt;$C$6,"",354)</f>
        <v/>
      </c>
      <c r="F357" s="48">
        <f>IF(E357="","",EDATE($C$7,E357-1))</f>
        <v/>
      </c>
      <c r="G357" s="49">
        <f>IF(E357="","",K356)</f>
        <v/>
      </c>
      <c r="H357" s="49">
        <f>IF(E357="","",$C$9)</f>
        <v/>
      </c>
      <c r="I357" s="49">
        <f>IF(E357="","",-IPMT($C$5/12,E357,$C$6,$C$4))</f>
        <v/>
      </c>
      <c r="J357" s="49">
        <f>IF(E357="","",-PPMT($C$5/12,E357,$C$6,$C$4))</f>
        <v/>
      </c>
      <c r="K357" s="49">
        <f>IF(E357="","",MAX(0,G357-J357))</f>
        <v/>
      </c>
    </row>
    <row r="358">
      <c r="E358" s="41">
        <f>IF(355&gt;$C$6,"",355)</f>
        <v/>
      </c>
      <c r="F358" s="48">
        <f>IF(E358="","",EDATE($C$7,E358-1))</f>
        <v/>
      </c>
      <c r="G358" s="49">
        <f>IF(E358="","",K357)</f>
        <v/>
      </c>
      <c r="H358" s="49">
        <f>IF(E358="","",$C$9)</f>
        <v/>
      </c>
      <c r="I358" s="49">
        <f>IF(E358="","",-IPMT($C$5/12,E358,$C$6,$C$4))</f>
        <v/>
      </c>
      <c r="J358" s="49">
        <f>IF(E358="","",-PPMT($C$5/12,E358,$C$6,$C$4))</f>
        <v/>
      </c>
      <c r="K358" s="49">
        <f>IF(E358="","",MAX(0,G358-J358))</f>
        <v/>
      </c>
    </row>
    <row r="359">
      <c r="E359" s="41">
        <f>IF(356&gt;$C$6,"",356)</f>
        <v/>
      </c>
      <c r="F359" s="48">
        <f>IF(E359="","",EDATE($C$7,E359-1))</f>
        <v/>
      </c>
      <c r="G359" s="49">
        <f>IF(E359="","",K358)</f>
        <v/>
      </c>
      <c r="H359" s="49">
        <f>IF(E359="","",$C$9)</f>
        <v/>
      </c>
      <c r="I359" s="49">
        <f>IF(E359="","",-IPMT($C$5/12,E359,$C$6,$C$4))</f>
        <v/>
      </c>
      <c r="J359" s="49">
        <f>IF(E359="","",-PPMT($C$5/12,E359,$C$6,$C$4))</f>
        <v/>
      </c>
      <c r="K359" s="49">
        <f>IF(E359="","",MAX(0,G359-J359))</f>
        <v/>
      </c>
    </row>
    <row r="360">
      <c r="E360" s="41">
        <f>IF(357&gt;$C$6,"",357)</f>
        <v/>
      </c>
      <c r="F360" s="48">
        <f>IF(E360="","",EDATE($C$7,E360-1))</f>
        <v/>
      </c>
      <c r="G360" s="49">
        <f>IF(E360="","",K359)</f>
        <v/>
      </c>
      <c r="H360" s="49">
        <f>IF(E360="","",$C$9)</f>
        <v/>
      </c>
      <c r="I360" s="49">
        <f>IF(E360="","",-IPMT($C$5/12,E360,$C$6,$C$4))</f>
        <v/>
      </c>
      <c r="J360" s="49">
        <f>IF(E360="","",-PPMT($C$5/12,E360,$C$6,$C$4))</f>
        <v/>
      </c>
      <c r="K360" s="49">
        <f>IF(E360="","",MAX(0,G360-J360))</f>
        <v/>
      </c>
    </row>
    <row r="361">
      <c r="E361" s="41">
        <f>IF(358&gt;$C$6,"",358)</f>
        <v/>
      </c>
      <c r="F361" s="48">
        <f>IF(E361="","",EDATE($C$7,E361-1))</f>
        <v/>
      </c>
      <c r="G361" s="49">
        <f>IF(E361="","",K360)</f>
        <v/>
      </c>
      <c r="H361" s="49">
        <f>IF(E361="","",$C$9)</f>
        <v/>
      </c>
      <c r="I361" s="49">
        <f>IF(E361="","",-IPMT($C$5/12,E361,$C$6,$C$4))</f>
        <v/>
      </c>
      <c r="J361" s="49">
        <f>IF(E361="","",-PPMT($C$5/12,E361,$C$6,$C$4))</f>
        <v/>
      </c>
      <c r="K361" s="49">
        <f>IF(E361="","",MAX(0,G361-J361))</f>
        <v/>
      </c>
    </row>
    <row r="362">
      <c r="E362" s="41">
        <f>IF(359&gt;$C$6,"",359)</f>
        <v/>
      </c>
      <c r="F362" s="48">
        <f>IF(E362="","",EDATE($C$7,E362-1))</f>
        <v/>
      </c>
      <c r="G362" s="49">
        <f>IF(E362="","",K361)</f>
        <v/>
      </c>
      <c r="H362" s="49">
        <f>IF(E362="","",$C$9)</f>
        <v/>
      </c>
      <c r="I362" s="49">
        <f>IF(E362="","",-IPMT($C$5/12,E362,$C$6,$C$4))</f>
        <v/>
      </c>
      <c r="J362" s="49">
        <f>IF(E362="","",-PPMT($C$5/12,E362,$C$6,$C$4))</f>
        <v/>
      </c>
      <c r="K362" s="49">
        <f>IF(E362="","",MAX(0,G362-J362))</f>
        <v/>
      </c>
    </row>
    <row r="363">
      <c r="E363" s="41">
        <f>IF(360&gt;$C$6,"",360)</f>
        <v/>
      </c>
      <c r="F363" s="48">
        <f>IF(E363="","",EDATE($C$7,E363-1))</f>
        <v/>
      </c>
      <c r="G363" s="49">
        <f>IF(E363="","",K362)</f>
        <v/>
      </c>
      <c r="H363" s="49">
        <f>IF(E363="","",$C$9)</f>
        <v/>
      </c>
      <c r="I363" s="49">
        <f>IF(E363="","",-IPMT($C$5/12,E363,$C$6,$C$4))</f>
        <v/>
      </c>
      <c r="J363" s="49">
        <f>IF(E363="","",-PPMT($C$5/12,E363,$C$6,$C$4))</f>
        <v/>
      </c>
      <c r="K363" s="49">
        <f>IF(E363="","",MAX(0,G363-J363))</f>
        <v/>
      </c>
    </row>
  </sheetData>
  <dataValidations count="1">
    <dataValidation sqref="C6" showDropDown="0" showInputMessage="0" showErrorMessage="1" allowBlank="0" error="Tenure must be 1–360 months" type="whole" operator="between">
      <formula1>1</formula1>
      <formula2>360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6" customWidth="1" min="4" max="4"/>
    <col width="14" customWidth="1" min="5" max="5"/>
    <col width="12" customWidth="1" min="6" max="6"/>
    <col width="3" customWidth="1" min="7" max="7"/>
    <col width="16" customWidth="1" min="8" max="8"/>
    <col width="16" customWidth="1" min="9" max="9"/>
  </cols>
  <sheetData>
    <row r="2">
      <c r="B2" s="1" t="inlineStr">
        <is>
          <t>Model Assumptions</t>
        </is>
      </c>
    </row>
    <row r="4">
      <c r="B4" s="10" t="inlineStr">
        <is>
          <t>As-of (reporting) date</t>
        </is>
      </c>
      <c r="C4" s="52" t="n">
        <v>46203</v>
      </c>
    </row>
    <row r="6">
      <c r="B6" s="22" t="inlineStr">
        <is>
          <t>Asset Classification &amp; Provisioning (by DPD)</t>
        </is>
      </c>
      <c r="H6" s="22" t="inlineStr">
        <is>
          <t>Risk Grade by CIBIL</t>
        </is>
      </c>
    </row>
    <row r="7" ht="30" customHeight="1">
      <c r="B7" s="3" t="inlineStr">
        <is>
          <t>DPD From</t>
        </is>
      </c>
      <c r="C7" s="3" t="inlineStr">
        <is>
          <t>Bucket</t>
        </is>
      </c>
      <c r="D7" s="3" t="inlineStr">
        <is>
          <t>Asset Class</t>
        </is>
      </c>
      <c r="E7" s="3" t="inlineStr">
        <is>
          <t>NPA?</t>
        </is>
      </c>
      <c r="F7" s="3" t="inlineStr">
        <is>
          <t>Provision %</t>
        </is>
      </c>
      <c r="H7" s="3" t="inlineStr">
        <is>
          <t>CIBIL From</t>
        </is>
      </c>
      <c r="I7" s="3" t="inlineStr">
        <is>
          <t>Grade</t>
        </is>
      </c>
    </row>
    <row r="8">
      <c r="B8" s="56" t="n">
        <v>0</v>
      </c>
      <c r="C8" s="56" t="inlineStr">
        <is>
          <t>Current</t>
        </is>
      </c>
      <c r="D8" s="56" t="inlineStr">
        <is>
          <t>Standard</t>
        </is>
      </c>
      <c r="E8" s="56" t="inlineStr">
        <is>
          <t>No</t>
        </is>
      </c>
      <c r="F8" s="57" t="n">
        <v>0.004</v>
      </c>
      <c r="H8" s="56" t="n">
        <v>300</v>
      </c>
      <c r="I8" s="56" t="inlineStr">
        <is>
          <t>D - High Risk</t>
        </is>
      </c>
    </row>
    <row r="9">
      <c r="B9" s="56" t="n">
        <v>1</v>
      </c>
      <c r="C9" s="56" t="inlineStr">
        <is>
          <t>SMA-0</t>
        </is>
      </c>
      <c r="D9" s="56" t="inlineStr">
        <is>
          <t>Standard</t>
        </is>
      </c>
      <c r="E9" s="56" t="inlineStr">
        <is>
          <t>No</t>
        </is>
      </c>
      <c r="F9" s="57" t="n">
        <v>0.004</v>
      </c>
      <c r="H9" s="56" t="n">
        <v>650</v>
      </c>
      <c r="I9" s="56" t="inlineStr">
        <is>
          <t>C - Watch</t>
        </is>
      </c>
    </row>
    <row r="10">
      <c r="B10" s="56" t="n">
        <v>31</v>
      </c>
      <c r="C10" s="56" t="inlineStr">
        <is>
          <t>SMA-1</t>
        </is>
      </c>
      <c r="D10" s="56" t="inlineStr">
        <is>
          <t>Standard</t>
        </is>
      </c>
      <c r="E10" s="56" t="inlineStr">
        <is>
          <t>No</t>
        </is>
      </c>
      <c r="F10" s="57" t="n">
        <v>0.004</v>
      </c>
      <c r="H10" s="56" t="n">
        <v>700</v>
      </c>
      <c r="I10" s="56" t="inlineStr">
        <is>
          <t>B - Moderate</t>
        </is>
      </c>
    </row>
    <row r="11">
      <c r="B11" s="56" t="n">
        <v>61</v>
      </c>
      <c r="C11" s="56" t="inlineStr">
        <is>
          <t>SMA-2</t>
        </is>
      </c>
      <c r="D11" s="56" t="inlineStr">
        <is>
          <t>Standard</t>
        </is>
      </c>
      <c r="E11" s="56" t="inlineStr">
        <is>
          <t>No</t>
        </is>
      </c>
      <c r="F11" s="57" t="n">
        <v>0.004</v>
      </c>
      <c r="H11" s="56" t="n">
        <v>750</v>
      </c>
      <c r="I11" s="56" t="inlineStr">
        <is>
          <t>A - Prime</t>
        </is>
      </c>
    </row>
    <row r="12">
      <c r="B12" s="56" t="n">
        <v>91</v>
      </c>
      <c r="C12" s="56" t="inlineStr">
        <is>
          <t>Sub-standard</t>
        </is>
      </c>
      <c r="D12" s="56" t="inlineStr">
        <is>
          <t>NPA</t>
        </is>
      </c>
      <c r="E12" s="56" t="inlineStr">
        <is>
          <t>Yes</t>
        </is>
      </c>
      <c r="F12" s="57" t="n">
        <v>0.15</v>
      </c>
    </row>
    <row r="13">
      <c r="B13" s="56" t="n">
        <v>366</v>
      </c>
      <c r="C13" s="56" t="inlineStr">
        <is>
          <t>Doubtful</t>
        </is>
      </c>
      <c r="D13" s="56" t="inlineStr">
        <is>
          <t>NPA</t>
        </is>
      </c>
      <c r="E13" s="56" t="inlineStr">
        <is>
          <t>Yes</t>
        </is>
      </c>
      <c r="F13" s="57" t="n">
        <v>0.4</v>
      </c>
      <c r="H13" s="2" t="inlineStr">
        <is>
          <t>Source: model convention (bands chosen by analyst).</t>
        </is>
      </c>
    </row>
    <row r="14">
      <c r="B14" s="56" t="n">
        <v>731</v>
      </c>
      <c r="C14" s="56" t="inlineStr">
        <is>
          <t>Loss</t>
        </is>
      </c>
      <c r="D14" s="56" t="inlineStr">
        <is>
          <t>NPA</t>
        </is>
      </c>
      <c r="E14" s="56" t="inlineStr">
        <is>
          <t>Yes</t>
        </is>
      </c>
      <c r="F14" s="57" t="n">
        <v>1</v>
      </c>
    </row>
    <row r="16">
      <c r="B16" s="2" t="inlineStr">
        <is>
          <t>Source: simplified from RBI Master Circular on IRACP norms (SMA classification &amp; NPA at 90+ DPD). Doubtful provision blended at 40%; illustrative only.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</cols>
  <sheetData>
    <row r="1" ht="30" customHeight="1">
      <c r="A1" s="3" t="inlineStr">
        <is>
          <t>Branch</t>
        </is>
      </c>
      <c r="B1" s="3" t="inlineStr">
        <is>
          <t>City</t>
        </is>
      </c>
      <c r="C1" s="3" t="inlineStr">
        <is>
          <t>Region</t>
        </is>
      </c>
    </row>
    <row r="2">
      <c r="A2" s="58" t="inlineStr">
        <is>
          <t>BLR-01</t>
        </is>
      </c>
      <c r="B2" s="58" t="inlineStr">
        <is>
          <t>Bengaluru</t>
        </is>
      </c>
      <c r="C2" s="58" t="inlineStr">
        <is>
          <t>South</t>
        </is>
      </c>
    </row>
    <row r="3">
      <c r="A3" s="58" t="inlineStr">
        <is>
          <t>CHN-01</t>
        </is>
      </c>
      <c r="B3" s="58" t="inlineStr">
        <is>
          <t>Chennai</t>
        </is>
      </c>
      <c r="C3" s="58" t="inlineStr">
        <is>
          <t>South</t>
        </is>
      </c>
    </row>
    <row r="4">
      <c r="A4" s="58" t="inlineStr">
        <is>
          <t>HYD-01</t>
        </is>
      </c>
      <c r="B4" s="58" t="inlineStr">
        <is>
          <t>Hyderabad</t>
        </is>
      </c>
      <c r="C4" s="58" t="inlineStr">
        <is>
          <t>South</t>
        </is>
      </c>
    </row>
    <row r="5">
      <c r="A5" s="58" t="inlineStr">
        <is>
          <t>KOC-01</t>
        </is>
      </c>
      <c r="B5" s="58" t="inlineStr">
        <is>
          <t>Kochi</t>
        </is>
      </c>
      <c r="C5" s="58" t="inlineStr">
        <is>
          <t>South</t>
        </is>
      </c>
    </row>
    <row r="6">
      <c r="A6" s="58" t="inlineStr">
        <is>
          <t>MUM-01</t>
        </is>
      </c>
      <c r="B6" s="58" t="inlineStr">
        <is>
          <t>Mumbai</t>
        </is>
      </c>
      <c r="C6" s="58" t="inlineStr">
        <is>
          <t>West</t>
        </is>
      </c>
    </row>
    <row r="7">
      <c r="A7" s="58" t="inlineStr">
        <is>
          <t>PUN-01</t>
        </is>
      </c>
      <c r="B7" s="58" t="inlineStr">
        <is>
          <t>Pune</t>
        </is>
      </c>
      <c r="C7" s="58" t="inlineStr">
        <is>
          <t>West</t>
        </is>
      </c>
    </row>
    <row r="8">
      <c r="A8" s="58" t="inlineStr">
        <is>
          <t>AMD-01</t>
        </is>
      </c>
      <c r="B8" s="58" t="inlineStr">
        <is>
          <t>Ahmedabad</t>
        </is>
      </c>
      <c r="C8" s="58" t="inlineStr">
        <is>
          <t>West</t>
        </is>
      </c>
    </row>
    <row r="9">
      <c r="A9" s="58" t="inlineStr">
        <is>
          <t>DEL-01</t>
        </is>
      </c>
      <c r="B9" s="58" t="inlineStr">
        <is>
          <t>New Delhi</t>
        </is>
      </c>
      <c r="C9" s="58" t="inlineStr">
        <is>
          <t>North</t>
        </is>
      </c>
    </row>
    <row r="10">
      <c r="A10" s="58" t="inlineStr">
        <is>
          <t>LKO-01</t>
        </is>
      </c>
      <c r="B10" s="58" t="inlineStr">
        <is>
          <t>Lucknow</t>
        </is>
      </c>
      <c r="C10" s="58" t="inlineStr">
        <is>
          <t>North</t>
        </is>
      </c>
    </row>
    <row r="11">
      <c r="A11" s="58" t="inlineStr">
        <is>
          <t>JAI-01</t>
        </is>
      </c>
      <c r="B11" s="58" t="inlineStr">
        <is>
          <t>Jaipur</t>
        </is>
      </c>
      <c r="C11" s="58" t="inlineStr">
        <is>
          <t>North</t>
        </is>
      </c>
    </row>
    <row r="12">
      <c r="A12" s="58" t="inlineStr">
        <is>
          <t>KOL-01</t>
        </is>
      </c>
      <c r="B12" s="58" t="inlineStr">
        <is>
          <t>Kolkata</t>
        </is>
      </c>
      <c r="C12" s="58" t="inlineStr">
        <is>
          <t>East</t>
        </is>
      </c>
    </row>
    <row r="13">
      <c r="A13" s="58" t="inlineStr">
        <is>
          <t>BBS-01</t>
        </is>
      </c>
      <c r="B13" s="58" t="inlineStr">
        <is>
          <t>Bhubaneswar</t>
        </is>
      </c>
      <c r="C13" s="58" t="inlineStr">
        <is>
          <t>East</t>
        </is>
      </c>
    </row>
    <row r="14">
      <c r="A14" s="58" t="inlineStr">
        <is>
          <t>PAT-01</t>
        </is>
      </c>
      <c r="B14" s="58" t="inlineStr">
        <is>
          <t>Patna</t>
        </is>
      </c>
      <c r="C14" s="58" t="inlineStr">
        <is>
          <t>East</t>
        </is>
      </c>
    </row>
    <row r="15">
      <c r="A15" s="58" t="inlineStr">
        <is>
          <t>GUW-01</t>
        </is>
      </c>
      <c r="B15" s="58" t="inlineStr">
        <is>
          <t>Guwahati</t>
        </is>
      </c>
      <c r="C15" s="58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2026-09-23T07:55:53Z</dcterms:created>
  <dcterms:modified xsi:type="dcterms:W3CDTF">2026-09-23T07:55:54Z</dcterms:modified>
</cp:coreProperties>
</file>